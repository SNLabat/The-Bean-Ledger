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Bean Summary" sheetId="1" r:id="rId5"/>
    <sheet state="visible" name="Beans" sheetId="2" r:id="rId6"/>
    <sheet state="visible" name="Not Beans" sheetId="3" r:id="rId7"/>
    <sheet state="visible" name="Graphs" sheetId="4" r:id="rId8"/>
    <sheet state="visible" name="2026 Bean Description" sheetId="5" r:id="rId9"/>
    <sheet state="visible" name="2026 Summary" sheetId="6" r:id="rId10"/>
    <sheet state="visible" name="2025 Bean Description" sheetId="7" r:id="rId11"/>
    <sheet state="visible" name="2025 Summary" sheetId="8" r:id="rId12"/>
    <sheet state="visible" name="2025 Bean Bring Back" sheetId="9" r:id="rId13"/>
    <sheet state="visible" name="2024 Bean Description" sheetId="10" r:id="rId14"/>
    <sheet state="visible" name="2024 Summary" sheetId="11" r:id="rId15"/>
    <sheet state="visible" name="2023 Bean Description" sheetId="12" r:id="rId16"/>
    <sheet state="visible" name="2023 Summary" sheetId="13" r:id="rId17"/>
    <sheet state="visible" name="2022 Bean Description" sheetId="14" r:id="rId18"/>
    <sheet state="visible" name="2022 Summary" sheetId="15" r:id="rId19"/>
    <sheet state="visible" name="Pivot Table 2" sheetId="16" r:id="rId20"/>
    <sheet state="visible" name="Sylvies Playground (testing are" sheetId="17" r:id="rId21"/>
    <sheet state="visible" name="Baby Steps Fall Count" sheetId="18" r:id="rId22"/>
  </sheets>
  <definedNames>
    <definedName hidden="1" localSheetId="1" name="_xlnm._FilterDatabase">Beans!$C$1:$C$1250</definedName>
    <definedName hidden="1" localSheetId="2" name="_xlnm._FilterDatabase">'Not Beans'!$C$1:$C$1101</definedName>
  </definedNames>
  <calcPr/>
  <pivotCaches>
    <pivotCache cacheId="0" r:id="rId23"/>
    <pivotCache cacheId="1" r:id="rId24"/>
  </pivotCaches>
</workbook>
</file>

<file path=xl/sharedStrings.xml><?xml version="1.0" encoding="utf-8"?>
<sst xmlns="http://schemas.openxmlformats.org/spreadsheetml/2006/main" count="2887" uniqueCount="408">
  <si>
    <t>Date</t>
  </si>
  <si>
    <t>Flavor</t>
  </si>
  <si>
    <t>Type look up</t>
  </si>
  <si>
    <t>Type</t>
  </si>
  <si>
    <t>Good in a row</t>
  </si>
  <si>
    <t>Bad in a row</t>
  </si>
  <si>
    <t>Beans in a row</t>
  </si>
  <si>
    <t>Bean of the Day</t>
  </si>
  <si>
    <t>Bean of the Month</t>
  </si>
  <si>
    <t>Bean of the Year</t>
  </si>
  <si>
    <t>Vod</t>
  </si>
  <si>
    <t>Notes</t>
  </si>
  <si>
    <t>Pickled Egg</t>
  </si>
  <si>
    <t>Egg</t>
  </si>
  <si>
    <t>Dirty Dishwater</t>
  </si>
  <si>
    <t>Sweet - Sour Grape?</t>
  </si>
  <si>
    <t>Good</t>
  </si>
  <si>
    <t>Sweet or Spicy (ghostpepper) candy rope</t>
  </si>
  <si>
    <t>Sweet - Sour Rhasberry?</t>
  </si>
  <si>
    <t>Bean Episode 1</t>
  </si>
  <si>
    <t>NEW BOX</t>
  </si>
  <si>
    <t>Bad</t>
  </si>
  <si>
    <t>Good/Bad</t>
  </si>
  <si>
    <t>Seasons</t>
  </si>
  <si>
    <t>Bean</t>
  </si>
  <si>
    <t>Total</t>
  </si>
  <si>
    <t>%</t>
  </si>
  <si>
    <t>Spicy</t>
  </si>
  <si>
    <t>/day</t>
  </si>
  <si>
    <t>Toasted Marshmallow</t>
  </si>
  <si>
    <t>/weekday</t>
  </si>
  <si>
    <t>/week</t>
  </si>
  <si>
    <t>First Bean</t>
  </si>
  <si>
    <t>Last Bean</t>
  </si>
  <si>
    <t>Juicy Pear</t>
  </si>
  <si>
    <t>1st-Curr</t>
  </si>
  <si>
    <t>2022</t>
  </si>
  <si>
    <t>Sweet - Blueberry?</t>
  </si>
  <si>
    <t>Bean Episode 2</t>
  </si>
  <si>
    <t>Spicy - ?</t>
  </si>
  <si>
    <t>Booger</t>
  </si>
  <si>
    <t>Toothpaste</t>
  </si>
  <si>
    <t>2023</t>
  </si>
  <si>
    <t>Bean Episode 3</t>
  </si>
  <si>
    <t>Tutti Fruitti</t>
  </si>
  <si>
    <t>Strawberry Smoothie</t>
  </si>
  <si>
    <t>4th-Curr</t>
  </si>
  <si>
    <t>Bean Episode 4</t>
  </si>
  <si>
    <t>Dead Fish (Rotten)</t>
  </si>
  <si>
    <t>2024</t>
  </si>
  <si>
    <t>Bean Episode 5</t>
  </si>
  <si>
    <t>Liver &amp; Onion</t>
  </si>
  <si>
    <t>Bean Episode 6</t>
  </si>
  <si>
    <t>Birthday Cake</t>
  </si>
  <si>
    <t>2025</t>
  </si>
  <si>
    <t>Bean Episode 7</t>
  </si>
  <si>
    <t>Peach</t>
  </si>
  <si>
    <t>Bean Episode 8</t>
  </si>
  <si>
    <t>Stinky Socks</t>
  </si>
  <si>
    <t>Berry Blue</t>
  </si>
  <si>
    <t>Bean Episode 9</t>
  </si>
  <si>
    <t>2026</t>
  </si>
  <si>
    <t>Bean Episode 10</t>
  </si>
  <si>
    <t>Stink Bug</t>
  </si>
  <si>
    <t>Bean Episode 11</t>
  </si>
  <si>
    <t>Bean Episode 12</t>
  </si>
  <si>
    <t>Bean Episode 13</t>
  </si>
  <si>
    <t>Buttered Popcorn</t>
  </si>
  <si>
    <t>Bean Episode 14</t>
  </si>
  <si>
    <t>Old Bandage</t>
  </si>
  <si>
    <t>Bean Episode 15</t>
  </si>
  <si>
    <t>Bean Episode 16</t>
  </si>
  <si>
    <t>Rotten Egg</t>
  </si>
  <si>
    <t>5th-6th</t>
  </si>
  <si>
    <t>Bean Episode 17</t>
  </si>
  <si>
    <t>Kay Bean</t>
  </si>
  <si>
    <t>Bean Episode 18</t>
  </si>
  <si>
    <t>Bean Episode 19</t>
  </si>
  <si>
    <t>Korygg - Techsmith 351</t>
  </si>
  <si>
    <t>Bean Episode 20</t>
  </si>
  <si>
    <t>Barf</t>
  </si>
  <si>
    <t>Count</t>
  </si>
  <si>
    <t>Beans</t>
  </si>
  <si>
    <t># Streams</t>
  </si>
  <si>
    <t>Bean Episode 21</t>
  </si>
  <si>
    <t>Cappuccino</t>
  </si>
  <si>
    <t>Bean Episode 22</t>
  </si>
  <si>
    <t>Bean Episode 23</t>
  </si>
  <si>
    <t>Bean Episode 24</t>
  </si>
  <si>
    <t>3rd-Curr</t>
  </si>
  <si>
    <t>Bean Episode 25</t>
  </si>
  <si>
    <t>Bean Episode 26</t>
  </si>
  <si>
    <t>Bean Episode 27</t>
  </si>
  <si>
    <t>Bean Episode 28</t>
  </si>
  <si>
    <t>Bean Episode 29</t>
  </si>
  <si>
    <t>Pomegranate</t>
  </si>
  <si>
    <t>6th-Curr</t>
  </si>
  <si>
    <t>Bean Episode 30</t>
  </si>
  <si>
    <t>Bean Episode 31</t>
  </si>
  <si>
    <t>Mystery Bean (Good)</t>
  </si>
  <si>
    <t>Kay Good: 1 Bad: 3 Spicy 2</t>
  </si>
  <si>
    <t>Milton Good 0: Bad 3: Spicy 0</t>
  </si>
  <si>
    <t>5th-Curr</t>
  </si>
  <si>
    <t>Bean Episode 32</t>
  </si>
  <si>
    <t>Bubblegum?!</t>
  </si>
  <si>
    <t>Bean Episode 33</t>
  </si>
  <si>
    <t>(no VOD)</t>
  </si>
  <si>
    <t>Bean Episode 34</t>
  </si>
  <si>
    <t>Techsmith 356 - Drock424 - Techsmith of Dirty Dishwater</t>
  </si>
  <si>
    <t>Bean Episode 35</t>
  </si>
  <si>
    <t>Techsmith 357 - Malwatch Mando - Toxic Fucks</t>
  </si>
  <si>
    <t>Mystery Bean (Bad)</t>
  </si>
  <si>
    <t>(unsure about bean - Tutti/Stinky Sock)</t>
  </si>
  <si>
    <t>1st-6th</t>
  </si>
  <si>
    <t>Bean Episode 36</t>
  </si>
  <si>
    <t>Techsmith 358 - NotThatBright - Barfsmith</t>
  </si>
  <si>
    <t>Bean Episode 37</t>
  </si>
  <si>
    <t>Bean Episode 38</t>
  </si>
  <si>
    <t>Chocolate Pudding</t>
  </si>
  <si>
    <t>2nd-5th</t>
  </si>
  <si>
    <t>Bean Episode 39</t>
  </si>
  <si>
    <t>Bean Episode 40</t>
  </si>
  <si>
    <t>Dog Food</t>
  </si>
  <si>
    <t>Bean Episode 41</t>
  </si>
  <si>
    <t>Coconut</t>
  </si>
  <si>
    <t>4th-5th</t>
  </si>
  <si>
    <t>Bean Episode 42</t>
  </si>
  <si>
    <t>Spoiled Milk</t>
  </si>
  <si>
    <t>Top Banana</t>
  </si>
  <si>
    <t>7th-Curr</t>
  </si>
  <si>
    <t>Bean Episode 43</t>
  </si>
  <si>
    <t>Bean Episode 44</t>
  </si>
  <si>
    <t>Wet Dog</t>
  </si>
  <si>
    <t>Bean Episode 45</t>
  </si>
  <si>
    <t>Licorice</t>
  </si>
  <si>
    <t>Bean Episode 46</t>
  </si>
  <si>
    <t>Burnt Rubber</t>
  </si>
  <si>
    <t>Sriracha</t>
  </si>
  <si>
    <t>Firey Five</t>
  </si>
  <si>
    <t>Jalapeño</t>
  </si>
  <si>
    <t>Cayenne</t>
  </si>
  <si>
    <t>Habanero</t>
  </si>
  <si>
    <t>(offstream)</t>
  </si>
  <si>
    <t>Kay Bean - Jalapeno</t>
  </si>
  <si>
    <t>Bean Episode 47</t>
  </si>
  <si>
    <t>Carolina Reaper</t>
  </si>
  <si>
    <t>?</t>
  </si>
  <si>
    <t>Bean Episode 48</t>
  </si>
  <si>
    <t>Bean Episode 49</t>
  </si>
  <si>
    <t>Bean Episode 50</t>
  </si>
  <si>
    <t>S2:E1</t>
  </si>
  <si>
    <t>S2:E2</t>
  </si>
  <si>
    <t>S2:E3</t>
  </si>
  <si>
    <t>S2:E4</t>
  </si>
  <si>
    <t>S2:E5</t>
  </si>
  <si>
    <t>S2:E6</t>
  </si>
  <si>
    <t>S2:E7</t>
  </si>
  <si>
    <t>S2:E8</t>
  </si>
  <si>
    <t>S2:E9</t>
  </si>
  <si>
    <t>S2:E10</t>
  </si>
  <si>
    <t>S2:E11</t>
  </si>
  <si>
    <t>S2:E12</t>
  </si>
  <si>
    <t>S2:E13</t>
  </si>
  <si>
    <t>S2:E14</t>
  </si>
  <si>
    <t>(first $100 bean)</t>
  </si>
  <si>
    <t>($100 bean)</t>
  </si>
  <si>
    <t>S2:E15</t>
  </si>
  <si>
    <t>S2:E16</t>
  </si>
  <si>
    <t>S2:E17</t>
  </si>
  <si>
    <t>S2:E18</t>
  </si>
  <si>
    <t>S2:E19</t>
  </si>
  <si>
    <t>S2:E20</t>
  </si>
  <si>
    <t>S2:E21</t>
  </si>
  <si>
    <t>NEW BOX!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</si>
  <si>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</si>
  <si>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</si>
  <si>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</si>
  <si>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</si>
  <si>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</si>
  <si>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</si>
  <si>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</si>
  <si>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</si>
  <si>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</si>
  <si>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</si>
  <si>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</si>
  <si>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</si>
  <si>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(no idea what the bean was, but wasn't bad)</t>
  </si>
  <si>
    <t>(not completely sure if it was stink bug, but was bad)</t>
  </si>
  <si>
    <t>(Kay: Dog Food)</t>
  </si>
  <si>
    <t>(Mystery Bad - not sure the flavor, think it was Cayenne)</t>
  </si>
  <si>
    <t>(Kay: Carolina Reaper)</t>
  </si>
  <si>
    <t>(snuck a bean to cover up taste of booger)</t>
  </si>
  <si>
    <t>(pallet cleanser bean)</t>
  </si>
  <si>
    <t>(Elden Bean)</t>
  </si>
  <si>
    <t>(Elden Bean Phase 2)</t>
  </si>
  <si>
    <t>(Happy Bean-narock)</t>
  </si>
  <si>
    <t>("nice" bean)</t>
  </si>
  <si>
    <t>(before the beans -- 1 pickled egg)</t>
  </si>
  <si>
    <t>(Described as having the taste of strawberry?!)</t>
  </si>
  <si>
    <t>Need to audit this</t>
  </si>
  <si>
    <t>4 for 1 blue beans</t>
  </si>
  <si>
    <t>"+1"</t>
  </si>
  <si>
    <t>Milton Bean</t>
  </si>
  <si>
    <t>Ran out of beans</t>
  </si>
  <si>
    <t>(front page of twitch)</t>
  </si>
  <si>
    <t>Techsmith314</t>
  </si>
  <si>
    <t>Beanboozle Scoreboard 2026</t>
  </si>
  <si>
    <t>???</t>
  </si>
  <si>
    <t>(good)</t>
  </si>
  <si>
    <t>Spreadsheet by:</t>
  </si>
  <si>
    <t>mgFray</t>
  </si>
  <si>
    <t>amothyrie</t>
  </si>
  <si>
    <t>Mystery Bean</t>
  </si>
  <si>
    <t>Beans/Weekday</t>
  </si>
  <si>
    <t>Techsmith441 - FATESMITH - Azureangel</t>
  </si>
  <si>
    <t>COUNTA of Flavor</t>
  </si>
  <si>
    <t>Bad Total</t>
  </si>
  <si>
    <t>Good Total</t>
  </si>
  <si>
    <t>"Toated Marhsmallow"</t>
  </si>
  <si>
    <t>Spicy Total</t>
  </si>
  <si>
    <t>Grand Total</t>
  </si>
  <si>
    <t>Bean/Day</t>
  </si>
  <si>
    <t>Kay Good: 0 Bad: 0 Spicy: 0</t>
  </si>
  <si>
    <t>Estimated 2025</t>
  </si>
  <si>
    <t>443 - Nuarru - Jamsmith</t>
  </si>
  <si>
    <t>(return from 4 days of vacation)</t>
  </si>
  <si>
    <t>Beanboozle Scoreboard 2025</t>
  </si>
  <si>
    <t>451 -MRTIZZO - THANKSSMITH</t>
  </si>
  <si>
    <t xml:space="preserve">452 - </t>
  </si>
  <si>
    <t>GenCoupe_ assistent bean accountant for the day</t>
  </si>
  <si>
    <t>453 - THE_AMAZING_BLUE - IGNORED SMITH</t>
  </si>
  <si>
    <t>Need to review</t>
  </si>
  <si>
    <t>457 - All In Smith - Boytownboyo</t>
  </si>
  <si>
    <t>458 - myrd1n - Vintersmith</t>
  </si>
  <si>
    <t>(Delayed to the 27th)</t>
  </si>
  <si>
    <t>459 - Winged Kitten - GodRodsmith</t>
  </si>
  <si>
    <t>460 - The_Fleens - Distractedsmith</t>
  </si>
  <si>
    <t>461 - WHYWOULDYOUDOTHAT327 -  snaccsmith</t>
  </si>
  <si>
    <t>314 - Techsmith314 - The Streamer</t>
  </si>
  <si>
    <t>(2024-01-09)</t>
  </si>
  <si>
    <t>461 - Elephant In the Chat - mailsmith</t>
  </si>
  <si>
    <t>(Thanks ImjustKG)</t>
  </si>
  <si>
    <t>Birthday Bean</t>
  </si>
  <si>
    <t>KEEDAPUFF - techsmith464 - haggissmith</t>
  </si>
  <si>
    <t>Delayed Bean</t>
  </si>
  <si>
    <t>arryl01 - techsmith465 - peesmith</t>
  </si>
  <si>
    <t>(bean interest)</t>
  </si>
  <si>
    <t>casualrespawn - techsmith466 - cockringsmith</t>
  </si>
  <si>
    <t>XDonnieDarkoX - techsmith467 - DoubleBeanSmith</t>
  </si>
  <si>
    <t>partner-versary</t>
  </si>
  <si>
    <t>Wookeenfenix, techsmith468 = Edgesmith</t>
  </si>
  <si>
    <t>(actual 700th bean)</t>
  </si>
  <si>
    <t>NaterTot69 - techsmith469 - DoubleNicesmith</t>
  </si>
  <si>
    <t>700th BEAN!</t>
  </si>
  <si>
    <t>major_papercut - techsmith470 - ChipiChipiChapaSmith</t>
  </si>
  <si>
    <t>littlepinkpwnie - techsmith472 - archsmith</t>
  </si>
  <si>
    <t>aurora_boreialice - techsmith 473 - missfiresmith (or mis)</t>
  </si>
  <si>
    <t>peachtengoku - techsmith474 - peachsmith</t>
  </si>
  <si>
    <t>467p</t>
  </si>
  <si>
    <t>oOAzraelOo - techsmith475 - extendsmith</t>
  </si>
  <si>
    <t>250 Dono Est</t>
  </si>
  <si>
    <t>330 Dono Est</t>
  </si>
  <si>
    <t>Running Estimate</t>
  </si>
  <si>
    <t>Actual Bloints</t>
  </si>
  <si>
    <t>Contributions</t>
  </si>
  <si>
    <t>% to target</t>
  </si>
  <si>
    <t># Max Donations</t>
  </si>
  <si>
    <t>(estimate)</t>
  </si>
  <si>
    <t>Techsmith 477 - Greenishmeat - Fixed it for real smith</t>
  </si>
  <si>
    <t>Techsmith 479 - Adele Miss - Bedebopbopborpbopsmith</t>
  </si>
  <si>
    <t>weekend</t>
  </si>
  <si>
    <t>Techsmith 480 - Lighthawk - Delaysmith</t>
  </si>
  <si>
    <t>Techsmith 481 - Babybearishjew - Bear smith</t>
  </si>
  <si>
    <t>Right after stream started</t>
  </si>
  <si>
    <t>Techsmiht 482 - Lexomator - Anomalysmith (a.k.a. Anal Mommy Smith)</t>
  </si>
  <si>
    <t>Techsmith 483 - wiliestsoup - soupsmith</t>
  </si>
  <si>
    <t>Techsmith 485 - MsSilver - Pinchsmith</t>
  </si>
  <si>
    <t>Techsmith 486 - JohnnyTClemson - NattySmith</t>
  </si>
  <si>
    <t>(long)</t>
  </si>
  <si>
    <t>Techsmith 487 - Talali - MapSmith</t>
  </si>
  <si>
    <t>(family day)</t>
  </si>
  <si>
    <t>Kay bean - Toothpaste</t>
  </si>
  <si>
    <t>Techsmith 488 - chawkenbawken - Scotlandsmith!</t>
  </si>
  <si>
    <t>Techsmith 489 - PuffyCloudPerson - NessieSmith</t>
  </si>
  <si>
    <t>techsmith 490 - Recklass_Creation, KlownSmith</t>
  </si>
  <si>
    <t>Techsmith 491 - Smallishone - Sicksmith</t>
  </si>
  <si>
    <t>techsmith 492 - Brokenswimmer - hooksmith</t>
  </si>
  <si>
    <t>techsmith493 - Cruxxiam - crispyfishsmith</t>
  </si>
  <si>
    <t>techsmith 494 - voltstar - big scary clown smith</t>
  </si>
  <si>
    <t>techsmith495 - capt_lurker - last stream smith</t>
  </si>
  <si>
    <t>Mon-Holiday, Tue-No Beans -- delayed Tuesday bean</t>
  </si>
  <si>
    <t>Tue Bean, delayed to Wednesday</t>
  </si>
  <si>
    <t>techsmith497 - alabastercrowbar - ImportantSmith</t>
  </si>
  <si>
    <t>Caldi P'd again!</t>
  </si>
  <si>
    <t>BEANPOCALYPSE!</t>
  </si>
  <si>
    <t>RAN OUT OF BEANS</t>
  </si>
  <si>
    <t>2-for-1 sale at Buttmart!</t>
  </si>
  <si>
    <t>VCNSoup - Dropsmith techsmith498 (July 26)</t>
  </si>
  <si>
    <t>NO MORE BOGO</t>
  </si>
  <si>
    <t>techsmith394 gets a P!</t>
  </si>
  <si>
    <t>techsmith499 - Angersmith - Rustymetalgamez</t>
  </si>
  <si>
    <t xml:space="preserve">techsmith500 - scambled egg smith - BagOfBurittos </t>
  </si>
  <si>
    <t xml:space="preserve">techsmith501 - UmSmith - Spade112 </t>
  </si>
  <si>
    <t>techsmith502 - MilkSmith - DemoBeDmned</t>
  </si>
  <si>
    <t>(end of beanpocalypse)</t>
  </si>
  <si>
    <t>techsmith503 - thankgoodnesssmith - rainbowcloud_176</t>
  </si>
  <si>
    <t>(No streams past two days)</t>
  </si>
  <si>
    <t>techsmith505-towersmith</t>
  </si>
  <si>
    <t>techsmith414 - Nice P</t>
  </si>
  <si>
    <t>techsmith361 - Wayward - P</t>
  </si>
  <si>
    <t>(bought on 3rd)</t>
  </si>
  <si>
    <t>(needs to be audited)</t>
  </si>
  <si>
    <t>techsmith507 - TripplePlaySmith - FibbonaccisSequins</t>
  </si>
  <si>
    <t>techsmith508 - BeyBladeSmith - Joker5950 (first winner)</t>
  </si>
  <si>
    <t>(tuesday deferred bean)</t>
  </si>
  <si>
    <t>2024-09-27 Deferred bloints bean</t>
  </si>
  <si>
    <t>techsmith514- Pocketgn0me</t>
  </si>
  <si>
    <t>Beanboozle Scoreboard 2024</t>
  </si>
  <si>
    <t>techsmith515 - floral__green - SilentSmith515</t>
  </si>
  <si>
    <t>techsmith516 - sylviesprout - HalsinSmith</t>
  </si>
  <si>
    <t>techsmith517 - Chronolith_ - ThursdaySmith</t>
  </si>
  <si>
    <t>Kay stream</t>
  </si>
  <si>
    <t>Kay Bean Tutti Fruiti</t>
  </si>
  <si>
    <t>techsmith518 - friscorpg - BeaverNuggetSmith</t>
  </si>
  <si>
    <t>techsmith519 - Mounds7  - WednesdaySmith a.k.a. HumpdaySmith</t>
  </si>
  <si>
    <t>techsmith378 - mgFray - first P!</t>
  </si>
  <si>
    <t>techsmith427 - SweetSmith - DiscoZombie - PEE!</t>
  </si>
  <si>
    <t>techsmith520 - mountainSmith - idios_</t>
  </si>
  <si>
    <t>techsmith521 - YouDon'tGetToPlayVideoGamesSmith - penumbra6879</t>
  </si>
  <si>
    <t>techsmith522 - ShakeSmith - Inasnum_Mitis</t>
  </si>
  <si>
    <t>techsmith523 - ClitSmith - Danky</t>
  </si>
  <si>
    <t>(bean bought on 2024-11-28)</t>
  </si>
  <si>
    <t>techsmith387 - P! - Awdsamurai</t>
  </si>
  <si>
    <t>techsmith524 - CSPOEPOE - burgersmith</t>
  </si>
  <si>
    <t>Capuccino</t>
  </si>
  <si>
    <t>techsmith525 - godsdemon09 - screamsmith</t>
  </si>
  <si>
    <t>techsmith526 - bptex - grandpasmith</t>
  </si>
  <si>
    <t>techsmith527 - tygrr - AwardSmith</t>
  </si>
  <si>
    <t>paid</t>
  </si>
  <si>
    <t>lighthawk bought a bean for shooting a horse (while tech's on beanhiatus)</t>
  </si>
  <si>
    <t>late bean processed for fivecats</t>
  </si>
  <si>
    <t>tech got beaned for being bad at DTI</t>
  </si>
  <si>
    <t>BEANS ARE BACK BABY!!!!</t>
  </si>
  <si>
    <t>techsmith529 - maddy_obx - DorseSmith</t>
  </si>
  <si>
    <t>techsmith531 - lankysasquash - mafiasmith</t>
  </si>
  <si>
    <t>tech promised 100 beans if he does not call eye doctor by 1/24/25</t>
  </si>
  <si>
    <t>techsmith532 - d4rkmerchant - fireSmith</t>
  </si>
  <si>
    <t>techsmith533 - txkicker - pepperonismith</t>
  </si>
  <si>
    <t>AHA</t>
  </si>
  <si>
    <t>Mystery (Good)</t>
  </si>
  <si>
    <t>Mystery (Bad)</t>
  </si>
  <si>
    <t>Last bean of tin</t>
  </si>
  <si>
    <t>New glasses bean!!!</t>
  </si>
  <si>
    <t>New Box</t>
  </si>
  <si>
    <t>First time flavor!</t>
  </si>
  <si>
    <t>"cause he wanted to"</t>
  </si>
  <si>
    <t>(back to previous box)</t>
  </si>
  <si>
    <t>PREVIOUS BOX</t>
  </si>
  <si>
    <t>techsmith537 - DarkestSmith - gangleprime</t>
  </si>
  <si>
    <t>techsmith538 - circagirl92 - F5smith a.k.a. quickest savesmith</t>
  </si>
  <si>
    <t>techsmith543 - kartSmith - Roxoromg</t>
  </si>
  <si>
    <t>techsmith544 - gottemsmith - Tritopus</t>
  </si>
  <si>
    <t>techsmith545 - WayTheFuckTooMuchSmith - Kryptis1</t>
  </si>
  <si>
    <t>3 bean salad</t>
  </si>
  <si>
    <t>Made fun of 'Devin Smith movies'</t>
  </si>
  <si>
    <t>both bad, one dead dish - GGG before 5:20 in vod</t>
  </si>
  <si>
    <t>Kay Good: 1 Bad: 1 Spicy: 0</t>
  </si>
  <si>
    <t>Estimated 2024</t>
  </si>
  <si>
    <t>Beanboozle Scoreboard 2023</t>
  </si>
  <si>
    <t>2 bean salad</t>
  </si>
  <si>
    <t>tech475 - extendsmith PP</t>
  </si>
  <si>
    <t>Kay Good: 0 Bad: 1 Spicy: 1</t>
  </si>
  <si>
    <t>Good - 20 / Bad - 44 / Both - 1</t>
  </si>
  <si>
    <t>Good:</t>
  </si>
  <si>
    <t>Bad:</t>
  </si>
  <si>
    <t>Spicy:</t>
  </si>
  <si>
    <t>Tech Good: 20 / Bad: 43 / Unsure: 1 - Kayleigh Good: 0 / Bad: 1</t>
  </si>
  <si>
    <t>(includes deleted good bean)</t>
  </si>
  <si>
    <t>Beanboozle Scoreboard</t>
  </si>
  <si>
    <t>Total:</t>
  </si>
  <si>
    <t>Unsure †</t>
  </si>
  <si>
    <t>Techsmith314:</t>
  </si>
  <si>
    <t>Kayleigh:</t>
  </si>
  <si>
    <t>* includes 1 good bean w/o VOD</t>
  </si>
  <si>
    <t>† Indeterminate bean at 5:44</t>
  </si>
  <si>
    <t>Milton Good:0 Bad 3: Spicy: 0</t>
  </si>
  <si>
    <t>Spicy Beanboozle Scoreboard</t>
  </si>
  <si>
    <t>Scale</t>
  </si>
  <si>
    <t>Number</t>
  </si>
  <si>
    <t>Episode 1 - 10/19/22</t>
  </si>
  <si>
    <t>Estimated 2023</t>
  </si>
  <si>
    <t>COUNTA of Type look up</t>
  </si>
  <si>
    <t>Date - Month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</si>
  <si>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</si>
  <si>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</si>
  <si>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</si>
  <si>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</si>
  <si>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</si>
  <si>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</si>
  <si>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</si>
  <si>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</si>
  <si>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</si>
  <si>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</si>
  <si>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</si>
  <si>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# of Falls</t>
  </si>
  <si>
    <t>(to get the hat at the top of the tree)</t>
  </si>
  <si>
    <t>Good Beans</t>
  </si>
  <si>
    <t>Bad Beans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</si>
</sst>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&quot;-&quot;mm&quot;-&quot;dd"/>
    <numFmt numFmtId="165" formatCode="yyyy-mm-dd"/>
    <numFmt numFmtId="166" formatCode="m/d/yyyy h:mm:ss"/>
  </numFmts>
  <fonts count="3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b/>
      <sz val="10.0"/>
      <color rgb="FF000000"/>
      <name val="Arial"/>
      <scheme val="minor"/>
    </font>
    <font>
      <color rgb="FF000000"/>
      <name val="Arial"/>
      <scheme val="minor"/>
    </font>
    <font>
      <sz val="9.0"/>
      <color rgb="FF000000"/>
      <name val="&quot;Google Sans Mono&quot;"/>
    </font>
    <font>
      <sz val="10.0"/>
      <color rgb="FF1F1F1F"/>
      <name val="Arial"/>
      <scheme val="minor"/>
    </font>
    <font>
      <color rgb="FFB7B7B7"/>
      <name val="Arial"/>
      <scheme val="minor"/>
    </font>
    <font>
      <sz val="9.0"/>
      <color rgb="FFB7B7B7"/>
      <name val="&quot;Google Sans Mono&quot;"/>
    </font>
    <font>
      <sz val="12.0"/>
      <color rgb="FF000000"/>
      <name val="Calibri"/>
    </font>
    <font>
      <sz val="12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rgb="FF000000"/>
      <name val="Calibri"/>
    </font>
    <font>
      <b/>
      <sz val="12.0"/>
      <color theme="1"/>
      <name val="Arial"/>
    </font>
    <font>
      <sz val="12.0"/>
      <color theme="1"/>
      <name val="Arial"/>
    </font>
    <font>
      <color theme="1"/>
      <name val="Arial"/>
    </font>
    <font>
      <i/>
      <sz val="8.0"/>
      <color theme="1"/>
      <name val="Arial"/>
    </font>
    <font>
      <i/>
      <sz val="8.0"/>
      <color theme="1"/>
      <name val="Calibri"/>
    </font>
    <font>
      <b/>
      <i/>
      <sz val="12.0"/>
      <color rgb="FF000000"/>
      <name val="Calibri"/>
    </font>
    <font>
      <b/>
      <sz val="12.0"/>
      <color theme="1"/>
      <name val="Calibri"/>
    </font>
    <font>
      <sz val="12.0"/>
      <color theme="1"/>
      <name val="Calibri"/>
    </font>
    <font>
      <b/>
      <i/>
      <sz val="12.0"/>
      <color theme="1"/>
      <name val="Calibri"/>
    </font>
    <font>
      <i/>
      <sz val="10.0"/>
      <color theme="1"/>
      <name val="Arial"/>
      <scheme val="minor"/>
    </font>
    <font>
      <i/>
      <color theme="1"/>
      <name val="Arial"/>
      <scheme val="minor"/>
    </font>
    <font>
      <i/>
      <color rgb="FFD9D9D9"/>
      <name val="Arial"/>
      <scheme val="minor"/>
    </font>
    <font>
      <sz val="9.0"/>
      <color theme="1"/>
      <name val="-apple-system-font"/>
    </font>
    <font>
      <i/>
      <sz val="9.0"/>
      <color theme="1"/>
      <name val="Arial"/>
    </font>
    <font>
      <i/>
      <sz val="9.0"/>
      <color theme="1"/>
      <name val="-apple-system-font"/>
    </font>
    <font>
      <sz val="9.0"/>
      <color theme="1"/>
      <name val="Arial"/>
    </font>
    <font>
      <sz val="9.0"/>
      <color rgb="FF000000"/>
      <name val="-apple-system-font"/>
    </font>
    <font>
      <b/>
      <sz val="30.0"/>
      <color rgb="FFFF9900"/>
      <name val="Verdana"/>
    </font>
    <font>
      <b/>
      <sz val="7.0"/>
      <color theme="1"/>
      <name val="Arial"/>
      <scheme val="minor"/>
    </font>
    <font>
      <sz val="7.0"/>
      <color rgb="FF000000"/>
      <name val="Arial"/>
      <scheme val="minor"/>
    </font>
    <font>
      <sz val="7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F6F8"/>
        <bgColor rgb="FFF4F6F8"/>
      </patternFill>
    </fill>
    <fill>
      <patternFill patternType="solid">
        <fgColor rgb="FF000000"/>
        <bgColor rgb="FF000000"/>
      </patternFill>
    </fill>
  </fills>
  <borders count="5">
    <border/>
    <border>
      <left style="thin">
        <color rgb="FF000000"/>
      </left>
    </border>
    <border>
      <top style="thin">
        <color rgb="FF000000"/>
      </top>
    </border>
    <border>
      <bottom style="thin">
        <color rgb="FF000000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0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vertical="bottom" wrapText="0"/>
    </xf>
    <xf borderId="0" fillId="0" fontId="0" numFmtId="10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readingOrder="0"/>
    </xf>
    <xf borderId="0" fillId="0" fontId="3" numFmtId="10" xfId="0" applyFont="1" applyNumberFormat="1"/>
    <xf borderId="0" fillId="0" fontId="0" numFmtId="0" xfId="0" applyFont="1"/>
    <xf borderId="1" fillId="0" fontId="5" numFmtId="0" xfId="0" applyAlignment="1" applyBorder="1" applyFont="1">
      <alignment shrinkToFit="0" vertical="bottom" wrapText="0"/>
    </xf>
    <xf borderId="0" fillId="0" fontId="3" numFmtId="4" xfId="0" applyFont="1" applyNumberFormat="1"/>
    <xf borderId="0" fillId="0" fontId="0" numFmtId="4" xfId="0" applyAlignment="1" applyFont="1" applyNumberFormat="1">
      <alignment shrinkToFit="0" vertical="bottom" wrapText="0"/>
    </xf>
    <xf borderId="0" fillId="2" fontId="6" numFmtId="0" xfId="0" applyAlignment="1" applyFill="1" applyFont="1">
      <alignment readingOrder="0"/>
    </xf>
    <xf borderId="0" fillId="0" fontId="0" numFmtId="165" xfId="0" applyAlignment="1" applyFont="1" applyNumberFormat="1">
      <alignment readingOrder="0"/>
    </xf>
    <xf borderId="0" fillId="0" fontId="3" numFmtId="165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Fill="1" applyFont="1"/>
    <xf borderId="0" fillId="0" fontId="7" numFmtId="0" xfId="0" applyFont="1"/>
    <xf borderId="0" fillId="0" fontId="1" numFmtId="10" xfId="0" applyFont="1" applyNumberFormat="1"/>
    <xf borderId="0" fillId="2" fontId="8" numFmtId="0" xfId="0" applyAlignment="1" applyFill="1" applyFont="1">
      <alignment readingOrder="0"/>
    </xf>
    <xf borderId="2" fillId="0" fontId="5" numFmtId="0" xfId="0" applyBorder="1" applyFont="1"/>
    <xf borderId="2" fillId="0" fontId="5" numFmtId="10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4" numFmtId="10" xfId="0" applyBorder="1" applyFont="1" applyNumberFormat="1"/>
    <xf borderId="0" fillId="0" fontId="5" numFmtId="0" xfId="0" applyAlignment="1" applyFont="1">
      <alignment shrinkToFit="0" vertical="bottom" wrapText="0"/>
    </xf>
    <xf borderId="0" fillId="0" fontId="3" numFmtId="164" xfId="0" applyFont="1" applyNumberFormat="1"/>
    <xf borderId="0" fillId="0" fontId="3" numFmtId="0" xfId="0" applyAlignment="1" applyFont="1">
      <alignment vertical="bottom"/>
    </xf>
    <xf borderId="0" fillId="0" fontId="1" numFmtId="164" xfId="0" applyFont="1" applyNumberFormat="1"/>
    <xf borderId="0" fillId="0" fontId="1" numFmtId="0" xfId="0" applyFont="1"/>
    <xf borderId="0" fillId="0" fontId="9" numFmtId="0" xfId="0" applyAlignment="1" applyFont="1">
      <alignment readingOrder="0"/>
    </xf>
    <xf borderId="0" fillId="0" fontId="9" numFmtId="0" xfId="0" applyFont="1"/>
    <xf borderId="0" fillId="0" fontId="10" numFmtId="0" xfId="0" applyFont="1"/>
    <xf borderId="0" fillId="0" fontId="9" numFmtId="10" xfId="0" applyFont="1" applyNumberFormat="1"/>
    <xf borderId="0" fillId="0" fontId="3" numFmtId="0" xfId="0" applyFont="1"/>
    <xf borderId="0" fillId="0" fontId="1" numFmtId="20" xfId="0" applyAlignment="1" applyFont="1" applyNumberFormat="1">
      <alignment readingOrder="0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shrinkToFit="0" vertical="bottom" wrapText="0"/>
    </xf>
    <xf borderId="3" fillId="0" fontId="13" numFmtId="0" xfId="0" applyAlignment="1" applyBorder="1" applyFont="1">
      <alignment readingOrder="0" vertical="bottom"/>
    </xf>
    <xf borderId="0" fillId="0" fontId="12" numFmtId="0" xfId="0" applyAlignment="1" applyFont="1">
      <alignment horizontal="right" readingOrder="0" shrinkToFit="0" vertical="bottom" wrapText="0"/>
    </xf>
    <xf borderId="0" fillId="0" fontId="14" numFmtId="0" xfId="0" applyFont="1"/>
    <xf borderId="0" fillId="0" fontId="12" numFmtId="0" xfId="0" applyAlignment="1" applyFont="1">
      <alignment readingOrder="0" shrinkToFit="0" vertical="bottom" wrapText="0"/>
    </xf>
    <xf borderId="0" fillId="0" fontId="1" numFmtId="0" xfId="0" applyFont="1"/>
    <xf borderId="0" fillId="0" fontId="11" numFmtId="0" xfId="0" applyAlignment="1" applyFon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2" numFmtId="0" xfId="0" applyAlignment="1" applyFont="1">
      <alignment vertical="bottom"/>
    </xf>
    <xf borderId="0" fillId="0" fontId="12" numFmtId="0" xfId="0" applyFont="1"/>
    <xf borderId="0" fillId="0" fontId="12" numFmtId="0" xfId="0" applyFont="1"/>
    <xf borderId="0" fillId="0" fontId="14" numFmtId="0" xfId="0" applyAlignment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4" numFmtId="0" xfId="0" applyAlignment="1" applyFont="1">
      <alignment shrinkToFit="0" vertical="bottom" wrapText="0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horizontal="right" vertical="bottom"/>
    </xf>
    <xf borderId="0" fillId="0" fontId="18" numFmtId="0" xfId="0" applyAlignment="1" applyFont="1">
      <alignment vertical="bottom"/>
    </xf>
    <xf borderId="0" fillId="2" fontId="18" numFmtId="0" xfId="0" applyAlignment="1" applyFill="1" applyFont="1">
      <alignment horizontal="right" vertical="bottom"/>
    </xf>
    <xf borderId="0" fillId="2" fontId="18" numFmtId="0" xfId="0" applyAlignment="1" applyFill="1" applyFont="1">
      <alignment vertical="bottom"/>
    </xf>
    <xf borderId="0" fillId="0" fontId="19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0" fontId="22" numFmtId="0" xfId="0" applyAlignment="1" applyFont="1">
      <alignment readingOrder="0"/>
    </xf>
    <xf borderId="0" fillId="0" fontId="11" numFmtId="0" xfId="0" applyAlignment="1" applyFont="1">
      <alignment horizontal="right" readingOrder="0" shrinkToFit="0" vertical="bottom" wrapText="0"/>
    </xf>
    <xf borderId="0" fillId="0" fontId="23" numFmtId="0" xfId="0" applyFont="1"/>
    <xf borderId="0" fillId="0" fontId="1" numFmtId="4" xfId="0" applyFont="1" applyNumberFormat="1"/>
    <xf borderId="0" fillId="0" fontId="24" numFmtId="0" xfId="0" applyAlignment="1" applyFont="1">
      <alignment readingOrder="0"/>
    </xf>
    <xf borderId="2" fillId="0" fontId="1" numFmtId="0" xfId="0" applyBorder="1" applyFont="1"/>
    <xf borderId="0" fillId="0" fontId="1" numFmtId="2" xfId="0" applyFont="1" applyNumberFormat="1"/>
    <xf borderId="0" fillId="0" fontId="25" numFmtId="0" xfId="0" applyAlignment="1" applyFont="1">
      <alignment readingOrder="0"/>
    </xf>
    <xf borderId="0" fillId="0" fontId="25" numFmtId="1" xfId="0" applyAlignment="1" applyFont="1" applyNumberFormat="1">
      <alignment readingOrder="0"/>
    </xf>
    <xf borderId="0" fillId="0" fontId="25" numFmtId="1" xfId="0" applyFont="1" applyNumberFormat="1"/>
    <xf borderId="0" fillId="0" fontId="3" numFmtId="0" xfId="0" applyAlignment="1" applyFont="1">
      <alignment readingOrder="0" shrinkToFit="0" vertical="bottom" wrapText="0"/>
    </xf>
    <xf borderId="0" fillId="0" fontId="18" numFmtId="0" xfId="0" applyAlignment="1" applyFont="1">
      <alignment horizontal="right" vertical="bottom"/>
    </xf>
    <xf borderId="0" fillId="0" fontId="1" numFmtId="3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6" numFmtId="165" xfId="0" applyAlignment="1" applyFont="1" applyNumberFormat="1">
      <alignment readingOrder="0"/>
    </xf>
    <xf borderId="0" fillId="0" fontId="26" numFmtId="0" xfId="0" applyFont="1"/>
    <xf borderId="0" fillId="0" fontId="26" numFmtId="3" xfId="0" applyAlignment="1" applyFont="1" applyNumberFormat="1">
      <alignment readingOrder="0"/>
    </xf>
    <xf borderId="0" fillId="0" fontId="26" numFmtId="3" xfId="0" applyFont="1" applyNumberFormat="1"/>
    <xf borderId="0" fillId="0" fontId="26" numFmtId="10" xfId="0" applyFont="1" applyNumberFormat="1"/>
    <xf borderId="0" fillId="0" fontId="26" numFmtId="0" xfId="0" applyAlignment="1" applyFont="1">
      <alignment readingOrder="0"/>
    </xf>
    <xf borderId="0" fillId="0" fontId="27" numFmtId="165" xfId="0" applyAlignment="1" applyFont="1" applyNumberFormat="1">
      <alignment readingOrder="0"/>
    </xf>
    <xf borderId="0" fillId="0" fontId="27" numFmtId="3" xfId="0" applyFont="1" applyNumberFormat="1"/>
    <xf borderId="0" fillId="0" fontId="27" numFmtId="10" xfId="0" applyFont="1" applyNumberFormat="1"/>
    <xf borderId="0" fillId="0" fontId="27" numFmtId="0" xfId="0" applyAlignment="1" applyFont="1">
      <alignment readingOrder="0"/>
    </xf>
    <xf borderId="0" fillId="0" fontId="27" numFmtId="0" xfId="0" applyFont="1"/>
    <xf borderId="0" fillId="0" fontId="1" numFmtId="3" xfId="0" applyFont="1" applyNumberFormat="1"/>
    <xf borderId="0" fillId="0" fontId="2" numFmtId="165" xfId="0" applyAlignment="1" applyFont="1" applyNumberFormat="1">
      <alignment readingOrder="0"/>
    </xf>
    <xf borderId="0" fillId="0" fontId="2" numFmtId="0" xfId="0" applyFont="1"/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0" fontId="2" numFmtId="10" xfId="0" applyFont="1" applyNumberFormat="1"/>
    <xf borderId="3" fillId="0" fontId="13" numFmtId="0" xfId="0" applyAlignment="1" applyBorder="1" applyFont="1">
      <alignment readingOrder="0" shrinkToFit="0" vertical="bottom" wrapText="0"/>
    </xf>
    <xf borderId="3" fillId="0" fontId="4" numFmtId="0" xfId="0" applyAlignment="1" applyBorder="1" applyFont="1">
      <alignment readingOrder="0" vertical="bottom"/>
    </xf>
    <xf borderId="0" fillId="0" fontId="15" numFmtId="0" xfId="0" applyAlignment="1" applyFont="1">
      <alignment vertical="bottom"/>
    </xf>
    <xf borderId="4" fillId="3" fontId="23" numFmtId="166" xfId="0" applyAlignment="1" applyBorder="1" applyFill="1" applyFont="1" applyNumberFormat="1">
      <alignment vertical="bottom"/>
    </xf>
    <xf borderId="0" fillId="2" fontId="23" numFmtId="0" xfId="0" applyAlignment="1" applyFill="1" applyFont="1">
      <alignment horizontal="right" vertical="bottom"/>
    </xf>
    <xf borderId="0" fillId="0" fontId="0" numFmtId="10" xfId="0" applyFont="1" applyNumberFormat="1"/>
    <xf borderId="0" fillId="0" fontId="28" numFmtId="0" xfId="0" applyAlignment="1" applyFont="1">
      <alignment readingOrder="0"/>
    </xf>
    <xf borderId="0" fillId="0" fontId="28" numFmtId="0" xfId="0" applyFont="1"/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0" numFmtId="0" xfId="0" applyFont="1"/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1" numFmtId="166" xfId="0" applyFont="1" applyNumberFormat="1"/>
    <xf borderId="0" fillId="4" fontId="33" numFmtId="0" xfId="0" applyAlignment="1" applyFill="1" applyFont="1">
      <alignment readingOrder="0"/>
    </xf>
    <xf borderId="0" fillId="0" fontId="34" numFmtId="0" xfId="0" applyAlignment="1" applyFont="1">
      <alignment readingOrder="0" shrinkToFit="0" wrapText="1"/>
    </xf>
    <xf borderId="0" fillId="0" fontId="35" numFmtId="0" xfId="0" applyAlignment="1" applyFont="1">
      <alignment readingOrder="0" shrinkToFit="0" vertical="bottom" wrapText="1"/>
    </xf>
    <xf borderId="0" fillId="0" fontId="36" numFmtId="0" xfId="0" applyAlignment="1" applyFont="1">
      <alignment shrinkToFit="0" wrapText="1"/>
    </xf>
    <xf borderId="0" fillId="0" fontId="36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pivotCacheDefinition" Target="pivotCache/pivotCacheDefinition2.xml"/><Relationship Id="rId12" Type="http://schemas.openxmlformats.org/officeDocument/2006/relationships/worksheet" Target="worksheets/sheet8.xml"/><Relationship Id="rId23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# Streams vs. Beans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Graphs!$H$1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Graphs!$G$2:$G$36</c:f>
            </c:strRef>
          </c:cat>
          <c:val>
            <c:numRef>
              <c:f>Graphs!$H$2:$H$36</c:f>
              <c:numCache/>
            </c:numRef>
          </c:val>
        </c:ser>
        <c:axId val="1873427694"/>
        <c:axId val="598877226"/>
      </c:barChart>
      <c:catAx>
        <c:axId val="187342769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Beans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8877226"/>
      </c:catAx>
      <c:valAx>
        <c:axId val="5988772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# Streams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342769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Good and Bad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Graphs!$C$1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Graphs!$A$2:$A$446</c:f>
            </c:strRef>
          </c:cat>
          <c:val>
            <c:numRef>
              <c:f>Graphs!$C$2:$C$446</c:f>
              <c:numCache/>
            </c:numRef>
          </c:val>
        </c:ser>
        <c:ser>
          <c:idx val="1"/>
          <c:order val="1"/>
          <c:tx>
            <c:strRef>
              <c:f>Graphs!$D$1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Graphs!$A$2:$A$446</c:f>
            </c:strRef>
          </c:cat>
          <c:val>
            <c:numRef>
              <c:f>Graphs!$D$2:$D$446</c:f>
              <c:numCache/>
            </c:numRef>
          </c:val>
        </c:ser>
        <c:overlap val="100"/>
        <c:axId val="495366818"/>
        <c:axId val="1876679871"/>
      </c:barChart>
      <c:catAx>
        <c:axId val="4953668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679871"/>
      </c:catAx>
      <c:valAx>
        <c:axId val="1876679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953668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'2025 Bean Bring Back'!$B$1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'2025 Bean Bring Back'!$A$2:$A$1006</c:f>
            </c:strRef>
          </c:cat>
          <c:val>
            <c:numRef>
              <c:f>'2025 Bean Bring Back'!$B$2:$B$1006</c:f>
              <c:numCache/>
            </c:numRef>
          </c:val>
          <c:smooth val="0"/>
        </c:ser>
        <c:ser>
          <c:idx val="1"/>
          <c:order val="1"/>
          <c:tx>
            <c:strRef>
              <c:f>'2025 Bean Bring Back'!$C$1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'2025 Bean Bring Back'!$A$2:$A$1006</c:f>
            </c:strRef>
          </c:cat>
          <c:val>
            <c:numRef>
              <c:f>'2025 Bean Bring Back'!$C$2:$C$1006</c:f>
              <c:numCache/>
            </c:numRef>
          </c:val>
          <c:smooth val="0"/>
        </c:ser>
        <c:ser>
          <c:idx val="2"/>
          <c:order val="2"/>
          <c:tx>
            <c:strRef>
              <c:f>'2025 Bean Bring Back'!$D$1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'2025 Bean Bring Back'!$A$2:$A$1006</c:f>
            </c:strRef>
          </c:cat>
          <c:val>
            <c:numRef>
              <c:f>'2025 Bean Bring Back'!$D$2:$D$1006</c:f>
              <c:numCache/>
            </c:numRef>
          </c:val>
          <c:smooth val="0"/>
        </c:ser>
        <c:ser>
          <c:idx val="3"/>
          <c:order val="3"/>
          <c:tx>
            <c:strRef>
              <c:f>'2025 Bean Bring Back'!$E$1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'2025 Bean Bring Back'!$A$2:$A$1006</c:f>
            </c:strRef>
          </c:cat>
          <c:val>
            <c:numRef>
              <c:f>'2025 Bean Bring Back'!$E$2:$E$1006</c:f>
              <c:numCache/>
            </c:numRef>
          </c:val>
          <c:smooth val="0"/>
        </c:ser>
        <c:axId val="269917411"/>
        <c:axId val="1528731819"/>
      </c:lineChart>
      <c:catAx>
        <c:axId val="269917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8731819"/>
      </c:catAx>
      <c:valAx>
        <c:axId val="152873181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991741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0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Good Beans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6FA8DC"/>
              </a:solidFill>
            </c:spPr>
          </c:dPt>
          <c:dPt>
            <c:idx val="3"/>
            <c:spPr>
              <a:solidFill>
                <a:srgbClr val="EFEFEF"/>
              </a:solidFill>
            </c:spPr>
          </c:dPt>
          <c:dPt>
            <c:idx val="4"/>
            <c:spPr>
              <a:solidFill>
                <a:srgbClr val="FFB095"/>
              </a:solidFill>
            </c:spPr>
          </c:dPt>
          <c:dPt>
            <c:idx val="5"/>
            <c:spPr>
              <a:solidFill>
                <a:srgbClr val="FFA9BB"/>
              </a:solidFill>
            </c:spPr>
          </c:dPt>
          <c:dPt>
            <c:idx val="6"/>
            <c:spPr>
              <a:solidFill>
                <a:srgbClr val="AB2138"/>
              </a:solidFill>
            </c:spPr>
          </c:dPt>
          <c:dPt>
            <c:idx val="7"/>
            <c:spPr>
              <a:solidFill>
                <a:srgbClr val="F4E3D4"/>
              </a:solidFill>
            </c:spPr>
          </c:dPt>
          <c:dPt>
            <c:idx val="8"/>
            <c:spPr>
              <a:solidFill>
                <a:srgbClr val="A77A5E"/>
              </a:solidFill>
            </c:spPr>
          </c:dPt>
          <c:dPt>
            <c:idx val="9"/>
            <c:spPr>
              <a:solidFill>
                <a:srgbClr val="FFD966"/>
              </a:solidFill>
            </c:spPr>
          </c:dPt>
          <c:dPt>
            <c:idx val="10"/>
            <c:spPr>
              <a:solidFill>
                <a:srgbClr val="3F2F29"/>
              </a:solidFill>
            </c:spPr>
          </c:dPt>
          <c:dPt>
            <c:idx val="11"/>
            <c:spPr>
              <a:solidFill>
                <a:srgbClr val="7E6256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'Sylvies Playground (testing are'!$A$2:$A$15</c:f>
            </c:strRef>
          </c:cat>
          <c:val>
            <c:numRef>
              <c:f>'Sylvies Playground (testing are'!$B$2:$B$15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Bad Beans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93C47D"/>
              </a:solidFill>
            </c:spPr>
          </c:dPt>
          <c:dPt>
            <c:idx val="1"/>
            <c:spPr>
              <a:solidFill>
                <a:srgbClr val="E06666"/>
              </a:solidFill>
            </c:spPr>
          </c:dPt>
          <c:dPt>
            <c:idx val="2"/>
            <c:spPr>
              <a:solidFill>
                <a:srgbClr val="6FA8DC"/>
              </a:solidFill>
            </c:spPr>
          </c:dPt>
          <c:dPt>
            <c:idx val="3"/>
            <c:spPr>
              <a:solidFill>
                <a:srgbClr val="EFEFEF"/>
              </a:solidFill>
            </c:spPr>
          </c:dPt>
          <c:dPt>
            <c:idx val="4"/>
            <c:spPr>
              <a:solidFill>
                <a:srgbClr val="FFB095"/>
              </a:solidFill>
            </c:spPr>
          </c:dPt>
          <c:dPt>
            <c:idx val="5"/>
            <c:spPr>
              <a:solidFill>
                <a:srgbClr val="FFA9BB"/>
              </a:solidFill>
            </c:spPr>
          </c:dPt>
          <c:dPt>
            <c:idx val="6"/>
            <c:spPr>
              <a:solidFill>
                <a:srgbClr val="AB2138"/>
              </a:solidFill>
            </c:spPr>
          </c:dPt>
          <c:dPt>
            <c:idx val="7"/>
            <c:spPr>
              <a:solidFill>
                <a:srgbClr val="F4E3D4"/>
              </a:solidFill>
            </c:spPr>
          </c:dPt>
          <c:dPt>
            <c:idx val="8"/>
            <c:spPr>
              <a:solidFill>
                <a:srgbClr val="A77A5E"/>
              </a:solidFill>
            </c:spPr>
          </c:dPt>
          <c:dPt>
            <c:idx val="9"/>
            <c:spPr>
              <a:solidFill>
                <a:srgbClr val="FFD966"/>
              </a:solidFill>
            </c:spPr>
          </c:dPt>
          <c:dPt>
            <c:idx val="10"/>
            <c:spPr>
              <a:solidFill>
                <a:srgbClr val="3F2F29"/>
              </a:solidFill>
            </c:spPr>
          </c:dPt>
          <c:dPt>
            <c:idx val="11"/>
            <c:spPr>
              <a:solidFill>
                <a:srgbClr val="7E6256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'Sylvies Playground (testing are'!$C$2:$C$15</c:f>
            </c:strRef>
          </c:cat>
          <c:val>
            <c:numRef>
              <c:f>'Sylvies Playground (testing are'!$D$2:$D$15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3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12.png"/><Relationship Id="rId14" Type="http://schemas.openxmlformats.org/officeDocument/2006/relationships/image" Target="../media/image14.png"/><Relationship Id="rId17" Type="http://schemas.openxmlformats.org/officeDocument/2006/relationships/image" Target="../media/image9.png"/><Relationship Id="rId16" Type="http://schemas.openxmlformats.org/officeDocument/2006/relationships/image" Target="../media/image17.png"/><Relationship Id="rId5" Type="http://schemas.openxmlformats.org/officeDocument/2006/relationships/image" Target="../media/image8.png"/><Relationship Id="rId19" Type="http://schemas.openxmlformats.org/officeDocument/2006/relationships/image" Target="../media/image13.png"/><Relationship Id="rId6" Type="http://schemas.openxmlformats.org/officeDocument/2006/relationships/image" Target="../media/image6.png"/><Relationship Id="rId18" Type="http://schemas.openxmlformats.org/officeDocument/2006/relationships/image" Target="../media/image15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5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7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7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7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7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1" Type="http://schemas.openxmlformats.org/officeDocument/2006/relationships/image" Target="../media/image16.png"/><Relationship Id="rId10" Type="http://schemas.openxmlformats.org/officeDocument/2006/relationships/image" Target="../media/image2.png"/><Relationship Id="rId13" Type="http://schemas.openxmlformats.org/officeDocument/2006/relationships/image" Target="../media/image12.png"/><Relationship Id="rId12" Type="http://schemas.openxmlformats.org/officeDocument/2006/relationships/image" Target="../media/image5.png"/><Relationship Id="rId1" Type="http://schemas.openxmlformats.org/officeDocument/2006/relationships/image" Target="../media/image4.png"/><Relationship Id="rId2" Type="http://schemas.openxmlformats.org/officeDocument/2006/relationships/image" Target="../media/image20.png"/><Relationship Id="rId3" Type="http://schemas.openxmlformats.org/officeDocument/2006/relationships/image" Target="../media/image7.png"/><Relationship Id="rId4" Type="http://schemas.openxmlformats.org/officeDocument/2006/relationships/image" Target="../media/image1.png"/><Relationship Id="rId9" Type="http://schemas.openxmlformats.org/officeDocument/2006/relationships/image" Target="../media/image10.png"/><Relationship Id="rId15" Type="http://schemas.openxmlformats.org/officeDocument/2006/relationships/image" Target="../media/image9.png"/><Relationship Id="rId14" Type="http://schemas.openxmlformats.org/officeDocument/2006/relationships/image" Target="../media/image17.png"/><Relationship Id="rId17" Type="http://schemas.openxmlformats.org/officeDocument/2006/relationships/image" Target="../media/image13.png"/><Relationship Id="rId16" Type="http://schemas.openxmlformats.org/officeDocument/2006/relationships/image" Target="../media/image15.png"/><Relationship Id="rId5" Type="http://schemas.openxmlformats.org/officeDocument/2006/relationships/image" Target="../media/image8.png"/><Relationship Id="rId6" Type="http://schemas.openxmlformats.org/officeDocument/2006/relationships/image" Target="../media/image6.png"/><Relationship Id="rId7" Type="http://schemas.openxmlformats.org/officeDocument/2006/relationships/image" Target="../media/image19.png"/><Relationship Id="rId8" Type="http://schemas.openxmlformats.org/officeDocument/2006/relationships/image" Target="../media/image1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09600" cy="60960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704850" cy="447675"/>
    <xdr:pic>
      <xdr:nvPicPr>
        <xdr:cNvPr id="0" name="image3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704850" cy="447675"/>
    <xdr:pic>
      <xdr:nvPicPr>
        <xdr:cNvPr id="0" name="image14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479</xdr:row>
      <xdr:rowOff>38100</xdr:rowOff>
    </xdr:from>
    <xdr:ext cx="3009900" cy="22479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400050</xdr:colOff>
      <xdr:row>480</xdr:row>
      <xdr:rowOff>38100</xdr:rowOff>
    </xdr:from>
    <xdr:ext cx="3009900" cy="22479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76200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38100</xdr:colOff>
      <xdr:row>40</xdr:row>
      <xdr:rowOff>85725</xdr:rowOff>
    </xdr:from>
    <xdr:ext cx="27841575" cy="86677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28650" cy="6286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28650" cy="6286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247650</xdr:colOff>
      <xdr:row>0</xdr:row>
      <xdr:rowOff>114300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23</xdr:row>
      <xdr:rowOff>0</xdr:rowOff>
    </xdr:from>
    <xdr:ext cx="3124200" cy="2828925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28650" cy="6286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30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31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32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33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28650" cy="6286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609600" cy="3905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619125" cy="400050"/>
    <xdr:pic>
      <xdr:nvPicPr>
        <xdr:cNvPr id="0" name="image20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638175" cy="409575"/>
    <xdr:pic>
      <xdr:nvPicPr>
        <xdr:cNvPr id="0" name="image7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590550" cy="3810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609600" cy="390525"/>
    <xdr:pic>
      <xdr:nvPicPr>
        <xdr:cNvPr id="0" name="image8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12</xdr:row>
      <xdr:rowOff>0</xdr:rowOff>
    </xdr:from>
    <xdr:ext cx="619125" cy="400050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14</xdr:row>
      <xdr:rowOff>0</xdr:rowOff>
    </xdr:from>
    <xdr:ext cx="609600" cy="390525"/>
    <xdr:pic>
      <xdr:nvPicPr>
        <xdr:cNvPr id="0" name="image19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16</xdr:row>
      <xdr:rowOff>0</xdr:rowOff>
    </xdr:from>
    <xdr:ext cx="609600" cy="390525"/>
    <xdr:pic>
      <xdr:nvPicPr>
        <xdr:cNvPr id="0" name="image11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18</xdr:row>
      <xdr:rowOff>0</xdr:rowOff>
    </xdr:from>
    <xdr:ext cx="619125" cy="400050"/>
    <xdr:pic>
      <xdr:nvPicPr>
        <xdr:cNvPr id="0" name="image10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628650" cy="628650"/>
    <xdr:pic>
      <xdr:nvPicPr>
        <xdr:cNvPr id="0" name="image2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619125" cy="400050"/>
    <xdr:pic>
      <xdr:nvPicPr>
        <xdr:cNvPr id="0" name="image16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24</xdr:row>
      <xdr:rowOff>0</xdr:rowOff>
    </xdr:from>
    <xdr:ext cx="657225" cy="457200"/>
    <xdr:pic>
      <xdr:nvPicPr>
        <xdr:cNvPr id="0" name="image5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25</xdr:row>
      <xdr:rowOff>0</xdr:rowOff>
    </xdr:from>
    <xdr:ext cx="704850" cy="514350"/>
    <xdr:pic>
      <xdr:nvPicPr>
        <xdr:cNvPr id="0" name="image12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26</xdr:row>
      <xdr:rowOff>0</xdr:rowOff>
    </xdr:from>
    <xdr:ext cx="704850" cy="514350"/>
    <xdr:pic>
      <xdr:nvPicPr>
        <xdr:cNvPr id="0" name="image17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27</xdr:row>
      <xdr:rowOff>0</xdr:rowOff>
    </xdr:from>
    <xdr:ext cx="704850" cy="514350"/>
    <xdr:pic>
      <xdr:nvPicPr>
        <xdr:cNvPr id="0" name="image9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28</xdr:row>
      <xdr:rowOff>0</xdr:rowOff>
    </xdr:from>
    <xdr:ext cx="704850" cy="514350"/>
    <xdr:pic>
      <xdr:nvPicPr>
        <xdr:cNvPr id="0" name="image15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29</xdr:row>
      <xdr:rowOff>0</xdr:rowOff>
    </xdr:from>
    <xdr:ext cx="704850" cy="514350"/>
    <xdr:pic>
      <xdr:nvPicPr>
        <xdr:cNvPr id="0" name="image13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16</xdr:row>
      <xdr:rowOff>0</xdr:rowOff>
    </xdr:from>
    <xdr:ext cx="5972175" cy="3695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228600</xdr:colOff>
      <xdr:row>16</xdr:row>
      <xdr:rowOff>0</xdr:rowOff>
    </xdr:from>
    <xdr:ext cx="5715000" cy="3695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250" sheet="Beans"/>
  </cacheSource>
  <cacheFields>
    <cacheField name="Date" numFmtId="164">
      <sharedItems containsDate="1" containsString="0" containsBlank="1">
        <d v="2022-10-18T00:00:00Z"/>
        <d v="2022-10-19T00:00:00Z"/>
        <d v="2022-10-20T00:00:00Z"/>
        <d v="2022-10-21T00:00:00Z"/>
        <d v="2022-10-24T00:00:00Z"/>
        <d v="2022-10-25T00:00:00Z"/>
        <d v="2022-10-26T00:00:00Z"/>
        <d v="2022-10-27T00:00:00Z"/>
        <d v="2022-10-28T00:00:00Z"/>
        <d v="2022-10-31T00:00:00Z"/>
        <d v="2022-11-01T00:00:00Z"/>
        <d v="2022-11-02T00:00:00Z"/>
        <d v="2022-11-03T00:00:00Z"/>
        <d v="2022-11-04T00:00:00Z"/>
        <d v="2022-11-07T00:00:00Z"/>
        <d v="2022-11-08T00:00:00Z"/>
        <d v="2022-11-09T00:00:00Z"/>
        <d v="2022-11-10T00:00:00Z"/>
        <d v="2022-11-11T00:00:00Z"/>
        <d v="2022-11-14T00:00:00Z"/>
        <d v="2022-11-15T00:00:00Z"/>
        <d v="2022-11-16T00:00:00Z"/>
        <d v="2022-11-17T00:00:00Z"/>
        <d v="2022-11-18T00:00:00Z"/>
        <d v="2022-11-21T00:00:00Z"/>
        <d v="2022-11-22T00:00:00Z"/>
        <d v="2022-11-23T00:00:00Z"/>
        <d v="2022-11-24T00:00:00Z"/>
        <d v="2022-11-25T00:00:00Z"/>
        <d v="2022-11-28T00:00:00Z"/>
        <d v="2022-11-29T00:00:00Z"/>
        <d v="2022-12-01T00:00:00Z"/>
        <d v="2022-12-02T00:00:00Z"/>
        <d v="2022-12-05T00:00:00Z"/>
        <d v="2022-12-06T00:00:00Z"/>
        <d v="2022-12-07T00:00:00Z"/>
        <d v="2022-12-08T00:00:00Z"/>
        <d v="2022-12-09T00:00:00Z"/>
        <d v="2022-12-12T00:00:00Z"/>
        <d v="2022-12-13T00:00:00Z"/>
        <d v="2022-12-14T00:00:00Z"/>
        <d v="2022-12-15T00:00:00Z"/>
        <d v="2022-12-16T00:00:00Z"/>
        <d v="2022-12-19T00:00:00Z"/>
        <d v="2022-12-20T00:00:00Z"/>
        <d v="2022-12-21T00:00:00Z"/>
        <d v="2022-12-22T00:00:00Z"/>
        <d v="2022-12-23T00:00:00Z"/>
        <d v="2022-12-25T00:00:00Z"/>
        <d v="2023-01-03T00:00:00Z"/>
        <d v="2023-01-04T00:00:00Z"/>
        <d v="2023-01-05T00:00:00Z"/>
        <d v="2023-01-09T00:00:00Z"/>
        <d v="2023-01-10T00:00:00Z"/>
        <d v="2023-01-11T00:00:00Z"/>
        <d v="2023-01-12T00:00:00Z"/>
        <d v="2023-01-13T00:00:00Z"/>
        <d v="2023-01-16T00:00:00Z"/>
        <d v="2023-01-17T00:00:00Z"/>
        <d v="2023-01-18T00:00:00Z"/>
        <d v="2023-01-19T00:00:00Z"/>
        <d v="2023-01-20T00:00:00Z"/>
        <d v="2023-01-23T00:00:00Z"/>
        <d v="2023-01-24T00:00:00Z"/>
        <d v="2023-01-25T00:00:00Z"/>
        <d v="2023-01-30T00:00:00Z"/>
        <d v="2023-01-31T00:00:00Z"/>
        <d v="2023-03-01T00:00:00Z"/>
        <d v="2023-03-02T00:00:00Z"/>
        <d v="2023-03-03T00:00:00Z"/>
        <d v="2023-03-06T00:00:00Z"/>
        <d v="2023-03-07T00:00:00Z"/>
        <d v="2023-03-08T00:00:00Z"/>
        <d v="2023-03-09T00:00:00Z"/>
        <d v="2023-03-10T00:00:00Z"/>
        <d v="2023-03-13T00:00:00Z"/>
        <d v="2023-03-14T00:00:00Z"/>
        <d v="2023-03-15T00:00:00Z"/>
        <d v="2023-03-16T00:00:00Z"/>
        <d v="2023-03-17T00:00:00Z"/>
        <d v="2023-03-20T00:00:00Z"/>
        <d v="2023-03-21T00:00:00Z"/>
        <d v="2023-03-22T00:00:00Z"/>
        <d v="2023-03-23T00:00:00Z"/>
        <d v="2023-03-24T00:00:00Z"/>
        <d v="2023-03-28T00:00:00Z"/>
        <d v="2023-03-29T00:00:00Z"/>
        <d v="2023-03-30T00:00:00Z"/>
        <d v="2023-03-31T00:00:00Z"/>
        <d v="2023-04-03T00:00:00Z"/>
        <d v="2023-04-04T00:00:00Z"/>
        <d v="2023-04-05T00:00:00Z"/>
        <d v="2023-04-06T00:00:00Z"/>
        <d v="2023-04-07T00:00:00Z"/>
        <d v="2023-04-11T00:00:00Z"/>
        <d v="2023-04-14T00:00:00Z"/>
        <d v="2023-04-17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5T00:00:00Z"/>
        <d v="2023-05-08T00:00:00Z"/>
        <d v="2023-05-09T00:00:00Z"/>
        <d v="2023-05-10T00:00:00Z"/>
        <d v="2023-05-11T00:00:00Z"/>
        <d v="2023-05-16T00:00:00Z"/>
        <d v="2023-05-17T00:00:00Z"/>
        <d v="2023-05-18T00:00:00Z"/>
        <d v="2023-05-23T00:00:00Z"/>
        <d v="2023-05-24T00:00:00Z"/>
        <d v="2023-05-25T00:00:00Z"/>
        <d v="2023-05-26T00:00:00Z"/>
        <d v="2023-05-29T00:00:00Z"/>
        <d v="2023-05-30T00:00:00Z"/>
        <d v="2023-05-31T00:00:00Z"/>
        <d v="2023-06-01T00:00:00Z"/>
        <d v="2023-06-02T00:00:00Z"/>
        <d v="2023-06-05T00:00:00Z"/>
        <d v="2023-06-06T00:00:00Z"/>
        <d v="2023-06-07T00:00:00Z"/>
        <d v="2023-06-09T00:00:00Z"/>
        <d v="2023-06-13T00:00:00Z"/>
        <d v="2023-06-14T00:00:00Z"/>
        <d v="2023-06-15T00:00:00Z"/>
        <d v="2023-06-16T00:00:00Z"/>
        <d v="2023-06-19T00:00:00Z"/>
        <d v="2023-06-20T00:00:00Z"/>
        <d v="2023-06-23T00:00:00Z"/>
        <d v="2023-06-26T00:00:00Z"/>
        <d v="2023-06-28T00:00:00Z"/>
        <d v="2023-06-30T00:00:00Z"/>
        <d v="2023-07-04T00:00:00Z"/>
        <d v="2023-07-05T00:00:00Z"/>
        <d v="2023-07-06T00:00:00Z"/>
        <d v="2023-07-07T00:00:00Z"/>
        <d v="2023-07-10T00:00:00Z"/>
        <d v="2023-07-11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5T00:00:00Z"/>
        <d v="2023-07-26T00:00:00Z"/>
        <d v="2023-07-27T00:00:00Z"/>
        <d v="2023-07-28T00:00:00Z"/>
        <d v="2023-07-31T00:00:00Z"/>
        <d v="2023-08-01T00:00:00Z"/>
        <d v="2023-08-02T00:00:00Z"/>
        <d v="2023-08-03T00:00:00Z"/>
        <d v="2023-08-04T00:00:00Z"/>
        <d v="2023-08-08T00:00:00Z"/>
        <d v="2023-08-09T00:00:00Z"/>
        <d v="2023-08-10T00:00:00Z"/>
        <d v="2023-08-14T00:00:00Z"/>
        <d v="2023-08-15T00:00:00Z"/>
        <d v="2023-08-16T00:00:00Z"/>
        <d v="2023-08-18T00:00:00Z"/>
        <d v="2023-08-21T00:00:00Z"/>
        <d v="2023-08-22T00:00:00Z"/>
        <d v="2023-08-23T00:00:00Z"/>
        <d v="2023-08-24T00:00:00Z"/>
        <d v="2023-08-25T00:00:00Z"/>
        <d v="2023-08-28T00:00:00Z"/>
        <d v="2023-08-29T00:00:00Z"/>
        <d v="2023-08-30T00:00:00Z"/>
        <d v="2023-08-31T00:00:00Z"/>
        <d v="2023-09-01T00:00:00Z"/>
        <d v="2023-09-05T00:00:00Z"/>
        <d v="2023-09-06T00:00:00Z"/>
        <d v="2023-09-07T00:00:00Z"/>
        <d v="2023-09-08T00:00:00Z"/>
        <d v="2023-09-09T00:00:00Z"/>
        <d v="2023-09-12T00:00:00Z"/>
        <d v="2023-09-13T00:00:00Z"/>
        <d v="2023-09-14T00:00:00Z"/>
        <d v="2023-09-15T00:00:00Z"/>
        <d v="2023-09-18T00:00:00Z"/>
        <d v="2023-09-19T00:00:00Z"/>
        <d v="2023-09-20T00:00:00Z"/>
        <d v="2023-09-21T00:00:00Z"/>
        <d v="2023-09-22T00:00:00Z"/>
        <d v="2023-09-25T00:00:00Z"/>
        <d v="2023-09-26T00:00:00Z"/>
        <d v="2023-09-27T00:00:00Z"/>
        <d v="2023-09-28T00:00:00Z"/>
        <d v="2023-10-02T00:00:00Z"/>
        <d v="2023-10-03T00:00:00Z"/>
        <d v="2023-10-05T00:00:00Z"/>
        <d v="2023-10-06T00:00:00Z"/>
        <d v="2023-10-10T00:00:00Z"/>
        <d v="2023-10-11T00:00:00Z"/>
        <d v="2023-10-16T00:00:00Z"/>
        <d v="2023-10-17T00:00:00Z"/>
        <d v="2023-10-18T00:00:00Z"/>
        <d v="2023-10-19T00:00:00Z"/>
        <d v="2023-10-20T00:00:00Z"/>
        <d v="2023-10-23T00:00:00Z"/>
        <d v="2023-10-24T00:00:00Z"/>
        <d v="2023-10-25T00:00:00Z"/>
        <d v="2023-10-26T00:00:00Z"/>
        <d v="2023-10-27T00:00:00Z"/>
        <d v="2023-10-30T00:00:00Z"/>
        <d v="2023-10-31T00:00:00Z"/>
        <d v="2023-11-01T00:00:00Z"/>
        <d v="2023-11-02T00:00:00Z"/>
        <d v="2023-11-03T00:00:00Z"/>
        <d v="2023-11-06T00:00:00Z"/>
        <d v="2023-11-13T00:00:00Z"/>
        <d v="2023-11-14T00:00:00Z"/>
        <d v="2023-11-15T00:00:00Z"/>
        <d v="2023-11-17T00:00:00Z"/>
        <d v="2023-11-20T00:00:00Z"/>
        <d v="2023-11-21T00:00:00Z"/>
        <d v="2023-11-22T00:00:00Z"/>
        <d v="2023-11-23T00:00:00Z"/>
        <d v="2023-11-24T00:00:00Z"/>
        <d v="2023-11-27T00:00:00Z"/>
        <d v="2023-11-28T00:00:00Z"/>
        <d v="2023-11-29T00:00:00Z"/>
        <d v="2023-11-30T00:00:00Z"/>
        <d v="2023-12-01T00:00:00Z"/>
        <d v="2023-12-04T00:00:00Z"/>
        <d v="2023-12-05T00:00:00Z"/>
        <d v="2023-12-06T00:00:00Z"/>
        <d v="2023-12-07T00:00:00Z"/>
        <d v="2023-12-08T00:00:00Z"/>
        <d v="2023-12-11T00:00:00Z"/>
        <d v="2023-12-12T00:00:00Z"/>
        <d v="2023-12-13T00:00:00Z"/>
        <d v="2023-12-14T00:00:00Z"/>
        <d v="2023-12-15T00:00:00Z"/>
        <d v="2023-12-20T00:00:00Z"/>
        <d v="2023-12-21T00:00:00Z"/>
        <d v="2023-12-22T00:00:00Z"/>
        <d v="2023-12-25T00:00:00Z"/>
        <d v="2023-12-27T00:00:00Z"/>
        <d v="2023-12-28T00:00:00Z"/>
        <d v="2023-12-29T00:00:00Z"/>
        <d v="2024-01-02T00:00:00Z"/>
        <d v="2024-01-03T00:00:00Z"/>
        <d v="2024-01-04T00:00:00Z"/>
        <d v="2024-01-05T00:00:00Z"/>
        <d v="2024-01-08T00:00:00Z"/>
        <d v="2024-01-10T00:00:00Z"/>
        <d v="2024-01-11T00:00:00Z"/>
        <d v="2024-01-12T00:00:00Z"/>
        <d v="2024-01-15T00:00:00Z"/>
        <d v="2024-01-17T00:00:00Z"/>
        <d v="2024-01-19T00:00:00Z"/>
        <d v="2024-01-22T00:00:00Z"/>
        <d v="2024-01-24T00:00:00Z"/>
        <d v="2024-01-25T00:00:00Z"/>
        <d v="2024-01-31T00:00:00Z"/>
        <d v="2024-02-01T00:00:00Z"/>
        <d v="2024-02-02T00:00:00Z"/>
        <d v="2024-02-05T00:00:00Z"/>
        <d v="2024-02-08T00:00:00Z"/>
        <d v="2024-02-09T00:00:00Z"/>
        <d v="2024-02-12T00:00:00Z"/>
        <d v="2024-02-14T00:00:00Z"/>
        <d v="2024-02-15T00:00:00Z"/>
        <d v="2024-02-16T00:00:00Z"/>
        <d v="2024-02-21T00:00:00Z"/>
        <d v="2024-02-22T00:00:00Z"/>
        <d v="2024-02-23T00:00:00Z"/>
        <d v="2024-02-26T00:00:00Z"/>
        <d v="2024-02-28T00:00:00Z"/>
        <d v="2024-02-29T00:00:00Z"/>
        <d v="2024-03-01T00:00:00Z"/>
        <d v="2024-03-04T00:00:00Z"/>
        <d v="2024-03-05T00:00:00Z"/>
        <d v="2024-03-06T00:00:00Z"/>
        <d v="2024-03-07T00:00:00Z"/>
        <d v="2024-03-08T00:00:00Z"/>
        <d v="2024-03-18T00:00:00Z"/>
        <d v="2024-03-22T00:00:00Z"/>
        <d v="2024-03-27T00:00:00Z"/>
        <d v="2024-03-28T00:00:00Z"/>
        <d v="2024-03-29T00:00:00Z"/>
        <d v="2024-04-03T00:00:00Z"/>
        <d v="2024-04-04T00:00:00Z"/>
        <d v="2024-04-05T00:00:00Z"/>
        <d v="2024-04-08T00:00:00Z"/>
        <d v="2024-04-11T00:00:00Z"/>
        <d v="2024-04-16T00:00:00Z"/>
        <d v="2024-04-17T00:00:00Z"/>
        <d v="2024-04-18T00:00:00Z"/>
        <d v="2024-04-19T00:00:00Z"/>
        <d v="2024-04-22T00:00:00Z"/>
        <d v="2024-04-24T00:00:00Z"/>
        <d v="2024-04-25T00:00:00Z"/>
        <d v="2024-04-29T00:00:00Z"/>
        <d v="2024-05-01T00:00:00Z"/>
        <d v="2024-05-02T00:00:00Z"/>
        <d v="2024-05-03T00:00:00Z"/>
        <d v="2024-05-07T00:00:00Z"/>
        <d v="2024-05-08T00:00:00Z"/>
        <d v="2024-05-09T00:00:00Z"/>
        <d v="2024-05-10T00:00:00Z"/>
        <d v="2024-05-13T00:00:00Z"/>
        <d v="2024-05-15T00:00:00Z"/>
        <d v="2024-05-16T00:00:00Z"/>
        <d v="2024-05-17T00:00:00Z"/>
        <d v="2024-05-20T00:00:00Z"/>
        <d v="2024-05-30T00:00:00Z"/>
        <d v="2024-06-10T00:00:00Z"/>
        <d v="2024-06-12T00:00:00Z"/>
        <d v="2024-06-13T00:00:00Z"/>
        <d v="2024-06-14T00:00:00Z"/>
        <d v="2024-06-17T00:00:00Z"/>
        <d v="2024-06-20T00:00:00Z"/>
        <d v="2024-06-21T00:00:00Z"/>
        <d v="2024-06-27T00:00:00Z"/>
        <d v="2024-07-03T00:00:00Z"/>
        <d v="2024-07-04T00:00:00Z"/>
        <d v="2024-07-05T00:00:00Z"/>
        <d v="2024-07-08T00:00:00Z"/>
        <d v="2024-07-10T00:00:00Z"/>
        <d v="2024-07-11T00:00:00Z"/>
        <d v="2024-07-17T00:00:00Z"/>
        <d v="2024-08-14T00:00:00Z"/>
        <d v="2024-08-15T00:00:00Z"/>
        <d v="2024-08-16T00:00:00Z"/>
        <d v="2024-08-19T00:00:00Z"/>
        <d v="2024-08-22T00:00:00Z"/>
        <d v="2024-08-23T00:00:00Z"/>
        <d v="2024-08-26T00:00:00Z"/>
        <d v="2024-08-28T00:00:00Z"/>
        <d v="2024-08-29T00:00:00Z"/>
        <d v="2024-08-30T00:00:00Z"/>
        <d v="2024-09-04T00:00:00Z"/>
        <d v="2024-09-05T00:00:00Z"/>
        <d v="2024-09-06T00:00:00Z"/>
        <d v="2024-09-09T00:00:00Z"/>
        <d v="2024-09-11T00:00:00Z"/>
        <d v="2024-09-12T00:00:00Z"/>
        <d v="2024-09-13T00:00:00Z"/>
        <d v="2024-09-16T00:00:00Z"/>
        <d v="2024-09-18T00:00:00Z"/>
        <d v="2024-09-19T00:00:00Z"/>
        <d v="2024-09-20T00:00:00Z"/>
        <d v="2024-10-07T00:00:00Z"/>
        <d v="2024-10-08T00:00:00Z"/>
        <d v="2024-10-16T00:00:00Z"/>
        <d v="2024-10-18T00:00:00Z"/>
        <d v="2024-10-21T00:00:00Z"/>
        <d v="2024-10-22T00:00:00Z"/>
        <d v="2024-10-23T00:00:00Z"/>
        <d v="2024-10-24T00:00:00Z"/>
        <d v="2024-10-28T00:00:00Z"/>
        <d v="2024-10-29T00:00:00Z"/>
        <d v="2024-11-01T00:00:00Z"/>
        <d v="2024-11-04T00:00:00Z"/>
        <d v="2024-11-06T00:00:00Z"/>
        <d v="2024-11-07T00:00:00Z"/>
        <d v="2024-11-08T00:00:00Z"/>
        <d v="2024-11-11T00:00:00Z"/>
        <d v="2024-11-13T00:00:00Z"/>
        <d v="2024-11-14T00:00:00Z"/>
        <d v="2024-11-15T00:00:00Z"/>
        <d v="2024-11-18T00:00:00Z"/>
        <d v="2024-11-20T00:00:00Z"/>
        <d v="2024-11-21T00:00:00Z"/>
        <d v="2024-11-22T00:00:00Z"/>
        <d v="2024-11-25T00:00:00Z"/>
        <d v="2024-11-27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1T00:00:00Z"/>
        <d v="2024-12-12T00:00:00Z"/>
        <d v="2024-12-13T00:00:00Z"/>
        <d v="2025-02-24T00:00:00Z"/>
        <d v="2025-02-25T00:00:00Z"/>
        <d v="2025-02-26T00:00:00Z"/>
        <d v="2025-02-27T00:00:00Z"/>
        <d v="2025-02-28T00:00:00Z"/>
        <d v="2025-03-06T00:00:00Z"/>
        <d v="2025-03-07T00:00:00Z"/>
        <d v="2025-03-10T00:00:00Z"/>
        <d v="2025-03-13T00:00:00Z"/>
        <d v="2025-03-14T00:00:00Z"/>
        <d v="2025-03-17T00:00:00Z"/>
        <d v="2025-03-20T00:00:00Z"/>
        <d v="2025-03-24T00:00:00Z"/>
        <d v="2025-03-26T00:00:00Z"/>
        <d v="2025-03-27T00:00:00Z"/>
        <d v="2025-04-02T00:00:00Z"/>
        <d v="2025-04-04T00:00:00Z"/>
        <d v="2025-04-11T00:00:00Z"/>
        <d v="2025-04-15T00:00:00Z"/>
        <d v="2025-04-18T00:00:00Z"/>
        <d v="2025-04-21T00:00:00Z"/>
        <d v="2025-04-23T00:00:00Z"/>
        <d v="2025-04-24T00:00:00Z"/>
        <d v="2025-04-28T00:00:00Z"/>
        <d v="2025-04-29T00:00:00Z"/>
        <d v="2025-05-02T00:00:00Z"/>
        <d v="2025-05-05T00:00:00Z"/>
        <d v="2025-05-12T00:00:00Z"/>
        <d v="2025-05-14T00:00:00Z"/>
        <d v="2025-05-15T00:00:00Z"/>
        <d v="2025-05-21T00:00:00Z"/>
        <d v="2025-05-22T00:00:00Z"/>
        <d v="2025-05-26T00:00:00Z"/>
        <d v="2025-05-29T00:00:00Z"/>
        <d v="2025-06-18T00:00:00Z"/>
        <d v="2025-06-20T00:00:00Z"/>
        <d v="2025-07-03T00:00:00Z"/>
        <d v="2025-07-04T00:00:00Z"/>
        <d v="2025-07-14T00:00:00Z"/>
        <d v="2025-07-16T00:00:00Z"/>
        <d v="2025-07-18T00:00:00Z"/>
        <d v="2025-07-21T00:00:00Z"/>
        <d v="2025-07-23T00:00:00Z"/>
        <d v="2025-07-25T00:00:00Z"/>
        <d v="2025-08-21T00:00:00Z"/>
        <d v="2025-09-18T00:00:00Z"/>
        <d v="2025-09-19T00:00:00Z"/>
        <d v="2025-09-26T00:00:00Z"/>
        <d v="2025-10-03T00:00:00Z"/>
        <d v="2025-10-10T00:00:00Z"/>
        <d v="2025-10-16T00:00:00Z"/>
        <d v="2025-11-06T00:00:00Z"/>
        <d v="2025-11-07T00:00:00Z"/>
        <d v="2025-11-20T00:00:00Z"/>
        <d v="2025-12-24T00:00:00Z"/>
        <d v="2025-12-29T00:00:00Z"/>
        <d v="2025-12-31T00:00:00Z"/>
        <d v="2026-01-05T00:00:00Z"/>
        <d v="2026-01-09T00:00:00Z"/>
        <d v="2026-01-12T00:00:00Z"/>
        <d v="2026-01-19T00:00:00Z"/>
        <d v="2026-01-21T00:00:00Z"/>
        <d v="2026-01-22T00:00:00Z"/>
        <d v="2026-01-26T00:00:00Z"/>
        <d v="2026-01-29T00:00:00Z"/>
        <d v="2026-02-04T00:00:00Z"/>
        <d v="2026-02-16T00:00:00Z"/>
        <d v="2026-02-18T00:00:00Z"/>
        <d v="2026-02-19T00:00:00Z"/>
        <d v="2026-02-24T00:00:00Z"/>
        <d v="2026-03-17T00:00:00Z"/>
        <d v="2026-03-19T00:00:00Z"/>
        <d v="2026-04-02T00:00:00Z"/>
        <d v="2026-04-14T00:00:00Z"/>
        <d v="2026-04-21T00:00:00Z"/>
        <d v="2026-04-24T00:00:00Z"/>
        <d v="2026-04-30T00:00:00Z"/>
        <d v="2026-05-07T00:00:00Z"/>
        <d v="2026-05-11T00:00:00Z"/>
        <d v="2026-05-12T00:00:00Z"/>
        <d v="2026-05-15T00:00:00Z"/>
        <d v="2026-06-01T00:00:00Z"/>
        <d v="2026-06-18T00:00:00Z"/>
        <d v="2026-07-28T00:00:00Z"/>
        <d v="2026-08-14T00:00:00Z"/>
        <d v="2026-08-21T00:00:00Z"/>
        <d v="2026-08-27T00:00:00Z"/>
        <d v="2026-08-28T00:00:00Z"/>
        <d v="2026-09-01T00:00:00Z"/>
        <d v="2026-09-07T00:00:00Z"/>
        <d v="2026-09-08T00:00:00Z"/>
        <d v="2026-09-10T00:00:00Z"/>
        <d v="2026-09-11T00:00:00Z"/>
        <d v="2026-09-17T00:00:00Z"/>
        <d v="2026-09-18T00:00:00Z"/>
        <d v="2026-09-21T00:00:00Z"/>
        <m/>
      </sharedItems>
    </cacheField>
    <cacheField name="Flavor" numFmtId="0">
      <sharedItems containsBlank="1">
        <s v="Dirty Dishwater"/>
        <s v="Toasted Marshmallow"/>
        <s v="Toothpaste"/>
        <s v="Tutti Fruitti"/>
        <s v="Dead Fish (Rotten)"/>
        <s v="Liver &amp; Onion"/>
        <s v="Birthday Cake"/>
        <s v="Peach"/>
        <s v="Stinky Socks"/>
        <s v="Stink Bug"/>
        <s v="Strawberry Smoothie"/>
        <s v="Buttered Popcorn"/>
        <s v="Old Bandage"/>
        <s v="Juicy Pear"/>
        <s v="Rotten Egg"/>
        <s v="Berry Blue"/>
        <s v="Barf"/>
        <s v="Cappuccino"/>
        <s v="Mystery Bean (Good)"/>
        <s v="Pomegranate"/>
        <s v="Mystery Bean (Bad)"/>
        <s v="Jalapeño"/>
        <s v="Cayenne"/>
        <s v="Habanero"/>
        <s v="Carolina Reaper"/>
        <s v="Booger"/>
        <s v="Dog Food"/>
        <s v="Coconut"/>
        <s v="Chocolate Pudding"/>
        <s v="Spoiled Milk"/>
        <s v="Sriracha"/>
        <s v="Licorice"/>
        <s v="Burnt Rubber"/>
        <s v="Wet Dog"/>
        <s v="Top Banana"/>
        <m/>
      </sharedItems>
    </cacheField>
    <cacheField name="Type look up" numFmtId="0">
      <sharedItems>
        <s v="Bad"/>
        <s v="Good"/>
        <s v="Spicy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C1250" sheet="Beans"/>
  </cacheSource>
  <cacheFields>
    <cacheField name="Date" numFmtId="164">
      <sharedItems containsNonDate="0" containsDate="1" containsString="0" containsBlank="1">
        <d v="2022-10-18T00:00:00Z"/>
        <d v="2022-10-19T00:00:00Z"/>
        <d v="2022-10-20T00:00:00Z"/>
        <d v="2022-10-21T00:00:00Z"/>
        <d v="2022-10-24T00:00:00Z"/>
        <d v="2022-10-25T00:00:00Z"/>
        <d v="2022-10-26T00:00:00Z"/>
        <d v="2022-10-27T00:00:00Z"/>
        <d v="2022-10-28T00:00:00Z"/>
        <d v="2022-10-31T00:00:00Z"/>
        <d v="2022-11-01T00:00:00Z"/>
        <d v="2022-11-02T00:00:00Z"/>
        <d v="2022-11-03T00:00:00Z"/>
        <d v="2022-11-04T00:00:00Z"/>
        <d v="2022-11-07T00:00:00Z"/>
        <d v="2022-11-08T00:00:00Z"/>
        <d v="2022-11-09T00:00:00Z"/>
        <d v="2022-11-10T00:00:00Z"/>
        <d v="2022-11-11T00:00:00Z"/>
        <d v="2022-11-14T00:00:00Z"/>
        <d v="2022-11-15T00:00:00Z"/>
        <d v="2022-11-16T00:00:00Z"/>
        <d v="2022-11-17T00:00:00Z"/>
        <d v="2022-11-18T00:00:00Z"/>
        <d v="2022-11-21T00:00:00Z"/>
        <d v="2022-11-22T00:00:00Z"/>
        <d v="2022-11-23T00:00:00Z"/>
        <d v="2022-11-24T00:00:00Z"/>
        <d v="2022-11-25T00:00:00Z"/>
        <d v="2022-11-28T00:00:00Z"/>
        <d v="2022-11-29T00:00:00Z"/>
        <d v="2022-12-01T00:00:00Z"/>
        <d v="2022-12-02T00:00:00Z"/>
        <d v="2022-12-05T00:00:00Z"/>
        <d v="2022-12-06T00:00:00Z"/>
        <d v="2022-12-07T00:00:00Z"/>
        <d v="2022-12-08T00:00:00Z"/>
        <d v="2022-12-09T00:00:00Z"/>
        <d v="2022-12-12T00:00:00Z"/>
        <d v="2022-12-13T00:00:00Z"/>
        <d v="2022-12-14T00:00:00Z"/>
        <d v="2022-12-15T00:00:00Z"/>
        <d v="2022-12-16T00:00:00Z"/>
        <d v="2022-12-19T00:00:00Z"/>
        <d v="2022-12-20T00:00:00Z"/>
        <d v="2022-12-21T00:00:00Z"/>
        <d v="2022-12-22T00:00:00Z"/>
        <d v="2022-12-23T00:00:00Z"/>
        <d v="2022-12-25T00:00:00Z"/>
        <d v="2023-01-03T00:00:00Z"/>
        <d v="2023-01-04T00:00:00Z"/>
        <d v="2023-01-05T00:00:00Z"/>
        <d v="2023-01-09T00:00:00Z"/>
        <d v="2023-01-10T00:00:00Z"/>
        <d v="2023-01-11T00:00:00Z"/>
        <d v="2023-01-12T00:00:00Z"/>
        <d v="2023-01-13T00:00:00Z"/>
        <d v="2023-01-16T00:00:00Z"/>
        <d v="2023-01-17T00:00:00Z"/>
        <d v="2023-01-18T00:00:00Z"/>
        <d v="2023-01-19T00:00:00Z"/>
        <d v="2023-01-20T00:00:00Z"/>
        <d v="2023-01-23T00:00:00Z"/>
        <d v="2023-01-24T00:00:00Z"/>
        <d v="2023-01-25T00:00:00Z"/>
        <d v="2023-01-30T00:00:00Z"/>
        <d v="2023-01-31T00:00:00Z"/>
        <d v="2023-03-01T00:00:00Z"/>
        <d v="2023-03-02T00:00:00Z"/>
        <d v="2023-03-03T00:00:00Z"/>
        <d v="2023-03-06T00:00:00Z"/>
        <d v="2023-03-07T00:00:00Z"/>
        <d v="2023-03-08T00:00:00Z"/>
        <d v="2023-03-09T00:00:00Z"/>
        <d v="2023-03-10T00:00:00Z"/>
        <d v="2023-03-13T00:00:00Z"/>
        <d v="2023-03-14T00:00:00Z"/>
        <d v="2023-03-15T00:00:00Z"/>
        <d v="2023-03-16T00:00:00Z"/>
        <d v="2023-03-17T00:00:00Z"/>
        <d v="2023-03-20T00:00:00Z"/>
        <d v="2023-03-21T00:00:00Z"/>
        <d v="2023-03-22T00:00:00Z"/>
        <d v="2023-03-23T00:00:00Z"/>
        <d v="2023-03-24T00:00:00Z"/>
        <d v="2023-03-28T00:00:00Z"/>
        <d v="2023-03-29T00:00:00Z"/>
        <d v="2023-03-30T00:00:00Z"/>
        <d v="2023-03-31T00:00:00Z"/>
        <d v="2023-04-03T00:00:00Z"/>
        <d v="2023-04-04T00:00:00Z"/>
        <d v="2023-04-05T00:00:00Z"/>
        <d v="2023-04-06T00:00:00Z"/>
        <d v="2023-04-07T00:00:00Z"/>
        <d v="2023-04-11T00:00:00Z"/>
        <d v="2023-04-14T00:00:00Z"/>
        <d v="2023-04-17T00:00:00Z"/>
        <d v="2023-04-18T00:00:00Z"/>
        <d v="2023-04-19T00:00:00Z"/>
        <d v="2023-04-20T00:00:00Z"/>
        <d v="2023-04-21T00:00:00Z"/>
        <d v="2023-04-24T00:00:00Z"/>
        <d v="2023-04-25T00:00:00Z"/>
        <d v="2023-04-26T00:00:00Z"/>
        <d v="2023-04-27T00:00:00Z"/>
        <d v="2023-04-28T00:00:00Z"/>
        <d v="2023-05-01T00:00:00Z"/>
        <d v="2023-05-02T00:00:00Z"/>
        <d v="2023-05-03T00:00:00Z"/>
        <d v="2023-05-05T00:00:00Z"/>
        <d v="2023-05-08T00:00:00Z"/>
        <d v="2023-05-09T00:00:00Z"/>
        <d v="2023-05-10T00:00:00Z"/>
        <d v="2023-05-11T00:00:00Z"/>
        <d v="2023-05-16T00:00:00Z"/>
        <d v="2023-05-17T00:00:00Z"/>
        <d v="2023-05-18T00:00:00Z"/>
        <d v="2023-05-23T00:00:00Z"/>
        <d v="2023-05-24T00:00:00Z"/>
        <d v="2023-05-25T00:00:00Z"/>
        <d v="2023-05-26T00:00:00Z"/>
        <d v="2023-05-29T00:00:00Z"/>
        <d v="2023-05-30T00:00:00Z"/>
        <d v="2023-05-31T00:00:00Z"/>
        <d v="2023-06-01T00:00:00Z"/>
        <d v="2023-06-02T00:00:00Z"/>
        <d v="2023-06-05T00:00:00Z"/>
        <d v="2023-06-06T00:00:00Z"/>
        <d v="2023-06-07T00:00:00Z"/>
        <d v="2023-06-09T00:00:00Z"/>
        <d v="2023-06-13T00:00:00Z"/>
        <d v="2023-06-14T00:00:00Z"/>
        <d v="2023-06-15T00:00:00Z"/>
        <d v="2023-06-16T00:00:00Z"/>
        <d v="2023-06-19T00:00:00Z"/>
        <d v="2023-06-20T00:00:00Z"/>
        <d v="2023-06-23T00:00:00Z"/>
        <d v="2023-06-26T00:00:00Z"/>
        <d v="2023-06-28T00:00:00Z"/>
        <d v="2023-06-30T00:00:00Z"/>
        <d v="2023-07-04T00:00:00Z"/>
        <d v="2023-07-05T00:00:00Z"/>
        <d v="2023-07-06T00:00:00Z"/>
        <d v="2023-07-07T00:00:00Z"/>
        <d v="2023-07-10T00:00:00Z"/>
        <d v="2023-07-11T00:00:00Z"/>
        <d v="2023-07-13T00:00:00Z"/>
        <d v="2023-07-14T00:00:00Z"/>
        <d v="2023-07-17T00:00:00Z"/>
        <d v="2023-07-18T00:00:00Z"/>
        <d v="2023-07-19T00:00:00Z"/>
        <d v="2023-07-20T00:00:00Z"/>
        <d v="2023-07-21T00:00:00Z"/>
        <d v="2023-07-25T00:00:00Z"/>
        <d v="2023-07-26T00:00:00Z"/>
        <d v="2023-07-27T00:00:00Z"/>
        <d v="2023-07-28T00:00:00Z"/>
        <d v="2023-07-31T00:00:00Z"/>
        <d v="2023-08-01T00:00:00Z"/>
        <d v="2023-08-02T00:00:00Z"/>
        <d v="2023-08-03T00:00:00Z"/>
        <d v="2023-08-04T00:00:00Z"/>
        <d v="2023-08-08T00:00:00Z"/>
        <d v="2023-08-09T00:00:00Z"/>
        <d v="2023-08-10T00:00:00Z"/>
        <d v="2023-08-14T00:00:00Z"/>
        <d v="2023-08-15T00:00:00Z"/>
        <d v="2023-08-16T00:00:00Z"/>
        <d v="2023-08-18T00:00:00Z"/>
        <d v="2023-08-21T00:00:00Z"/>
        <d v="2023-08-22T00:00:00Z"/>
        <d v="2023-08-23T00:00:00Z"/>
        <d v="2023-08-24T00:00:00Z"/>
        <d v="2023-08-25T00:00:00Z"/>
        <d v="2023-08-28T00:00:00Z"/>
        <d v="2023-08-29T00:00:00Z"/>
        <d v="2023-08-30T00:00:00Z"/>
        <d v="2023-08-31T00:00:00Z"/>
        <d v="2023-09-01T00:00:00Z"/>
        <d v="2023-09-05T00:00:00Z"/>
        <d v="2023-09-06T00:00:00Z"/>
        <d v="2023-09-07T00:00:00Z"/>
        <d v="2023-09-08T00:00:00Z"/>
        <d v="2023-09-09T00:00:00Z"/>
        <d v="2023-09-12T00:00:00Z"/>
        <d v="2023-09-13T00:00:00Z"/>
        <d v="2023-09-14T00:00:00Z"/>
        <d v="2023-09-15T00:00:00Z"/>
        <d v="2023-09-18T00:00:00Z"/>
        <d v="2023-09-19T00:00:00Z"/>
        <d v="2023-09-20T00:00:00Z"/>
        <d v="2023-09-21T00:00:00Z"/>
        <d v="2023-09-22T00:00:00Z"/>
        <d v="2023-09-25T00:00:00Z"/>
        <d v="2023-09-26T00:00:00Z"/>
        <d v="2023-09-27T00:00:00Z"/>
        <d v="2023-09-28T00:00:00Z"/>
        <d v="2023-10-02T00:00:00Z"/>
        <d v="2023-10-03T00:00:00Z"/>
        <d v="2023-10-05T00:00:00Z"/>
        <d v="2023-10-06T00:00:00Z"/>
        <d v="2023-10-10T00:00:00Z"/>
        <d v="2023-10-11T00:00:00Z"/>
        <d v="2023-10-16T00:00:00Z"/>
        <d v="2023-10-17T00:00:00Z"/>
        <d v="2023-10-18T00:00:00Z"/>
        <d v="2023-10-19T00:00:00Z"/>
        <d v="2023-10-20T00:00:00Z"/>
        <d v="2023-10-23T00:00:00Z"/>
        <d v="2023-10-24T00:00:00Z"/>
        <d v="2023-10-25T00:00:00Z"/>
        <d v="2023-10-26T00:00:00Z"/>
        <d v="2023-10-27T00:00:00Z"/>
        <d v="2023-10-30T00:00:00Z"/>
        <d v="2023-10-31T00:00:00Z"/>
        <d v="2023-11-01T00:00:00Z"/>
        <d v="2023-11-02T00:00:00Z"/>
        <d v="2023-11-03T00:00:00Z"/>
        <d v="2023-11-06T00:00:00Z"/>
        <d v="2023-11-13T00:00:00Z"/>
        <d v="2023-11-14T00:00:00Z"/>
        <d v="2023-11-15T00:00:00Z"/>
        <d v="2023-11-17T00:00:00Z"/>
        <d v="2023-11-20T00:00:00Z"/>
        <d v="2023-11-21T00:00:00Z"/>
        <d v="2023-11-22T00:00:00Z"/>
        <d v="2023-11-23T00:00:00Z"/>
        <d v="2023-11-24T00:00:00Z"/>
        <d v="2023-11-27T00:00:00Z"/>
        <d v="2023-11-28T00:00:00Z"/>
        <d v="2023-11-29T00:00:00Z"/>
        <d v="2023-11-30T00:00:00Z"/>
        <d v="2023-12-01T00:00:00Z"/>
        <d v="2023-12-04T00:00:00Z"/>
        <d v="2023-12-05T00:00:00Z"/>
        <d v="2023-12-06T00:00:00Z"/>
        <d v="2023-12-07T00:00:00Z"/>
        <d v="2023-12-08T00:00:00Z"/>
        <d v="2023-12-11T00:00:00Z"/>
        <d v="2023-12-12T00:00:00Z"/>
        <d v="2023-12-13T00:00:00Z"/>
        <d v="2023-12-14T00:00:00Z"/>
        <d v="2023-12-15T00:00:00Z"/>
        <d v="2023-12-20T00:00:00Z"/>
        <d v="2023-12-21T00:00:00Z"/>
        <d v="2023-12-22T00:00:00Z"/>
        <d v="2023-12-25T00:00:00Z"/>
        <d v="2023-12-27T00:00:00Z"/>
        <d v="2023-12-28T00:00:00Z"/>
        <d v="2023-12-29T00:00:00Z"/>
        <d v="2024-01-02T00:00:00Z"/>
        <d v="2024-01-03T00:00:00Z"/>
        <d v="2024-01-04T00:00:00Z"/>
        <d v="2024-01-05T00:00:00Z"/>
        <d v="2024-01-08T00:00:00Z"/>
        <d v="2024-01-10T00:00:00Z"/>
        <d v="2024-01-11T00:00:00Z"/>
        <d v="2024-01-12T00:00:00Z"/>
        <d v="2024-01-15T00:00:00Z"/>
        <d v="2024-01-17T00:00:00Z"/>
        <d v="2024-01-19T00:00:00Z"/>
        <d v="2024-01-22T00:00:00Z"/>
        <d v="2024-01-24T00:00:00Z"/>
        <d v="2024-01-25T00:00:00Z"/>
        <d v="2024-01-31T00:00:00Z"/>
        <d v="2024-02-01T00:00:00Z"/>
        <d v="2024-02-02T00:00:00Z"/>
        <d v="2024-02-05T00:00:00Z"/>
        <d v="2024-02-08T00:00:00Z"/>
        <d v="2024-02-09T00:00:00Z"/>
        <d v="2024-02-12T00:00:00Z"/>
        <d v="2024-02-14T00:00:00Z"/>
        <d v="2024-02-15T00:00:00Z"/>
        <d v="2024-02-16T00:00:00Z"/>
        <d v="2024-02-21T00:00:00Z"/>
        <d v="2024-02-22T00:00:00Z"/>
        <d v="2024-02-23T00:00:00Z"/>
        <d v="2024-02-26T00:00:00Z"/>
        <d v="2024-02-28T00:00:00Z"/>
        <d v="2024-02-29T00:00:00Z"/>
        <d v="2024-03-01T00:00:00Z"/>
        <d v="2024-03-04T00:00:00Z"/>
        <d v="2024-03-05T00:00:00Z"/>
        <d v="2024-03-06T00:00:00Z"/>
        <d v="2024-03-07T00:00:00Z"/>
        <d v="2024-03-08T00:00:00Z"/>
        <d v="2024-03-18T00:00:00Z"/>
        <d v="2024-03-22T00:00:00Z"/>
        <d v="2024-03-27T00:00:00Z"/>
        <d v="2024-03-28T00:00:00Z"/>
        <d v="2024-03-29T00:00:00Z"/>
        <d v="2024-04-03T00:00:00Z"/>
        <d v="2024-04-04T00:00:00Z"/>
        <d v="2024-04-05T00:00:00Z"/>
        <d v="2024-04-08T00:00:00Z"/>
        <d v="2024-04-11T00:00:00Z"/>
        <d v="2024-04-16T00:00:00Z"/>
        <d v="2024-04-17T00:00:00Z"/>
        <d v="2024-04-18T00:00:00Z"/>
        <d v="2024-04-19T00:00:00Z"/>
        <d v="2024-04-22T00:00:00Z"/>
        <d v="2024-04-24T00:00:00Z"/>
        <d v="2024-04-25T00:00:00Z"/>
        <d v="2024-04-29T00:00:00Z"/>
        <d v="2024-05-01T00:00:00Z"/>
        <d v="2024-05-02T00:00:00Z"/>
        <d v="2024-05-03T00:00:00Z"/>
        <d v="2024-05-07T00:00:00Z"/>
        <d v="2024-05-08T00:00:00Z"/>
        <d v="2024-05-09T00:00:00Z"/>
        <d v="2024-05-10T00:00:00Z"/>
        <d v="2024-05-13T00:00:00Z"/>
        <d v="2024-05-15T00:00:00Z"/>
        <d v="2024-05-16T00:00:00Z"/>
        <d v="2024-05-17T00:00:00Z"/>
        <d v="2024-05-20T00:00:00Z"/>
        <d v="2024-05-30T00:00:00Z"/>
        <d v="2024-06-10T00:00:00Z"/>
        <d v="2024-06-12T00:00:00Z"/>
        <d v="2024-06-13T00:00:00Z"/>
        <d v="2024-06-14T00:00:00Z"/>
        <d v="2024-06-17T00:00:00Z"/>
        <d v="2024-06-20T00:00:00Z"/>
        <d v="2024-06-21T00:00:00Z"/>
        <d v="2024-06-27T00:00:00Z"/>
        <d v="2024-07-03T00:00:00Z"/>
        <d v="2024-07-04T00:00:00Z"/>
        <d v="2024-07-05T00:00:00Z"/>
        <d v="2024-07-08T00:00:00Z"/>
        <d v="2024-07-10T00:00:00Z"/>
        <d v="2024-07-11T00:00:00Z"/>
        <d v="2024-07-17T00:00:00Z"/>
        <d v="2024-08-14T00:00:00Z"/>
        <d v="2024-08-15T00:00:00Z"/>
        <d v="2024-08-16T00:00:00Z"/>
        <d v="2024-08-19T00:00:00Z"/>
        <d v="2024-08-22T00:00:00Z"/>
        <d v="2024-08-23T00:00:00Z"/>
        <d v="2024-08-26T00:00:00Z"/>
        <d v="2024-08-28T00:00:00Z"/>
        <d v="2024-08-29T00:00:00Z"/>
        <d v="2024-08-30T00:00:00Z"/>
        <d v="2024-09-04T00:00:00Z"/>
        <d v="2024-09-05T00:00:00Z"/>
        <d v="2024-09-06T00:00:00Z"/>
        <d v="2024-09-09T00:00:00Z"/>
        <d v="2024-09-11T00:00:00Z"/>
        <d v="2024-09-12T00:00:00Z"/>
        <d v="2024-09-13T00:00:00Z"/>
        <d v="2024-09-16T00:00:00Z"/>
        <d v="2024-09-18T00:00:00Z"/>
        <d v="2024-09-19T00:00:00Z"/>
        <d v="2024-09-20T00:00:00Z"/>
        <d v="2024-10-07T00:00:00Z"/>
        <d v="2024-10-08T00:00:00Z"/>
        <d v="2024-10-16T00:00:00Z"/>
        <d v="2024-10-18T00:00:00Z"/>
        <d v="2024-10-21T00:00:00Z"/>
        <d v="2024-10-22T00:00:00Z"/>
        <d v="2024-10-23T00:00:00Z"/>
        <d v="2024-10-24T00:00:00Z"/>
        <d v="2024-10-28T00:00:00Z"/>
        <d v="2024-10-29T00:00:00Z"/>
        <d v="2024-11-01T00:00:00Z"/>
        <d v="2024-11-04T00:00:00Z"/>
        <d v="2024-11-06T00:00:00Z"/>
        <d v="2024-11-07T00:00:00Z"/>
        <d v="2024-11-08T00:00:00Z"/>
        <d v="2024-11-11T00:00:00Z"/>
        <d v="2024-11-13T00:00:00Z"/>
        <d v="2024-11-14T00:00:00Z"/>
        <d v="2024-11-15T00:00:00Z"/>
        <d v="2024-11-18T00:00:00Z"/>
        <d v="2024-11-20T00:00:00Z"/>
        <d v="2024-11-21T00:00:00Z"/>
        <d v="2024-11-22T00:00:00Z"/>
        <d v="2024-11-25T00:00:00Z"/>
        <d v="2024-11-27T00:00:00Z"/>
        <d v="2024-11-29T00:00:00Z"/>
        <d v="2024-12-02T00:00:00Z"/>
        <d v="2024-12-03T00:00:00Z"/>
        <d v="2024-12-04T00:00:00Z"/>
        <d v="2024-12-05T00:00:00Z"/>
        <d v="2024-12-06T00:00:00Z"/>
        <d v="2024-12-09T00:00:00Z"/>
        <d v="2024-12-11T00:00:00Z"/>
        <d v="2024-12-12T00:00:00Z"/>
        <d v="2024-12-13T00:00:00Z"/>
        <d v="2025-02-24T00:00:00Z"/>
        <d v="2025-02-25T00:00:00Z"/>
        <d v="2025-02-26T00:00:00Z"/>
        <d v="2025-02-27T00:00:00Z"/>
        <d v="2025-02-28T00:00:00Z"/>
        <d v="2025-03-06T00:00:00Z"/>
        <d v="2025-03-07T00:00:00Z"/>
        <d v="2025-03-10T00:00:00Z"/>
        <d v="2025-03-13T00:00:00Z"/>
        <d v="2025-03-14T00:00:00Z"/>
        <d v="2025-03-17T00:00:00Z"/>
        <d v="2025-03-20T00:00:00Z"/>
        <d v="2025-03-24T00:00:00Z"/>
        <d v="2025-03-26T00:00:00Z"/>
        <d v="2025-03-27T00:00:00Z"/>
        <d v="2025-04-02T00:00:00Z"/>
        <d v="2025-04-04T00:00:00Z"/>
        <d v="2025-04-11T00:00:00Z"/>
        <d v="2025-04-15T00:00:00Z"/>
        <d v="2025-04-18T00:00:00Z"/>
        <d v="2025-04-21T00:00:00Z"/>
        <d v="2025-04-23T00:00:00Z"/>
        <d v="2025-04-24T00:00:00Z"/>
        <d v="2025-04-28T00:00:00Z"/>
        <d v="2025-04-29T00:00:00Z"/>
        <d v="2025-05-02T00:00:00Z"/>
        <d v="2025-05-05T00:00:00Z"/>
        <d v="2025-05-12T00:00:00Z"/>
        <d v="2025-05-14T00:00:00Z"/>
        <d v="2025-05-15T00:00:00Z"/>
        <d v="2025-05-21T00:00:00Z"/>
        <d v="2025-05-22T00:00:00Z"/>
        <d v="2025-05-26T00:00:00Z"/>
        <d v="2025-05-29T00:00:00Z"/>
        <d v="2025-06-18T00:00:00Z"/>
        <d v="2025-06-20T00:00:00Z"/>
        <d v="2025-07-03T00:00:00Z"/>
        <d v="2025-07-04T00:00:00Z"/>
        <d v="2025-07-14T00:00:00Z"/>
        <d v="2025-07-16T00:00:00Z"/>
        <d v="2025-07-18T00:00:00Z"/>
        <d v="2025-07-21T00:00:00Z"/>
        <d v="2025-07-23T00:00:00Z"/>
        <d v="2025-07-25T00:00:00Z"/>
        <d v="2025-08-21T00:00:00Z"/>
        <d v="2025-09-18T00:00:00Z"/>
        <d v="2025-09-19T00:00:00Z"/>
        <d v="2025-09-26T00:00:00Z"/>
        <d v="2025-10-03T00:00:00Z"/>
        <d v="2025-10-10T00:00:00Z"/>
        <d v="2025-10-16T00:00:00Z"/>
        <d v="2025-11-06T00:00:00Z"/>
        <d v="2025-11-07T00:00:00Z"/>
        <d v="2025-11-20T00:00:00Z"/>
        <d v="2025-12-24T00:00:00Z"/>
        <d v="2025-12-29T00:00:00Z"/>
        <d v="2025-12-31T00:00:00Z"/>
        <d v="2026-01-05T00:00:00Z"/>
        <d v="2026-01-09T00:00:00Z"/>
        <d v="2026-01-12T00:00:00Z"/>
        <d v="2026-01-19T00:00:00Z"/>
        <d v="2026-01-21T00:00:00Z"/>
        <d v="2026-01-22T00:00:00Z"/>
        <d v="2026-01-26T00:00:00Z"/>
        <d v="2026-01-29T00:00:00Z"/>
        <d v="2026-02-04T00:00:00Z"/>
        <d v="2026-02-16T00:00:00Z"/>
        <d v="2026-02-18T00:00:00Z"/>
        <d v="2026-02-19T00:00:00Z"/>
        <d v="2026-02-24T00:00:00Z"/>
        <d v="2026-03-17T00:00:00Z"/>
        <d v="2026-03-19T00:00:00Z"/>
        <d v="2026-04-02T00:00:00Z"/>
        <d v="2026-04-14T00:00:00Z"/>
        <d v="2026-04-21T00:00:00Z"/>
        <d v="2026-04-24T00:00:00Z"/>
        <d v="2026-04-30T00:00:00Z"/>
        <d v="2026-05-07T00:00:00Z"/>
        <d v="2026-05-11T00:00:00Z"/>
        <d v="2026-05-12T00:00:00Z"/>
        <d v="2026-05-15T00:00:00Z"/>
        <d v="2026-06-01T00:00:00Z"/>
        <d v="2026-06-18T00:00:00Z"/>
        <d v="2026-07-28T00:00:00Z"/>
        <d v="2026-08-14T00:00:00Z"/>
        <d v="2026-08-21T00:00:00Z"/>
        <d v="2026-08-27T00:00:00Z"/>
        <d v="2026-08-28T00:00:00Z"/>
        <d v="2026-09-01T00:00:00Z"/>
        <d v="2026-09-07T00:00:00Z"/>
        <d v="2026-09-08T00:00:00Z"/>
        <d v="2026-09-10T00:00:00Z"/>
        <d v="2026-09-11T00:00:00Z"/>
        <d v="2026-09-17T00:00:00Z"/>
        <d v="2026-09-18T00:00:00Z"/>
        <d v="2026-09-21T00:00:00Z"/>
        <m/>
      </sharedItems>
      <fieldGroup par="3"/>
    </cacheField>
    <cacheField name="Flavor" numFmtId="0">
      <sharedItems containsBlank="1">
        <s v="Dirty Dishwater"/>
        <s v="Toasted Marshmallow"/>
        <s v="Toothpaste"/>
        <s v="Tutti Fruitti"/>
        <s v="Dead Fish (Rotten)"/>
        <s v="Liver &amp; Onion"/>
        <s v="Birthday Cake"/>
        <s v="Peach"/>
        <s v="Stinky Socks"/>
        <s v="Stink Bug"/>
        <s v="Strawberry Smoothie"/>
        <s v="Buttered Popcorn"/>
        <s v="Old Bandage"/>
        <s v="Juicy Pear"/>
        <s v="Rotten Egg"/>
        <s v="Berry Blue"/>
        <s v="Barf"/>
        <s v="Cappuccino"/>
        <s v="Mystery Bean (Good)"/>
        <s v="Pomegranate"/>
        <s v="Mystery Bean (Bad)"/>
        <s v="Jalapeño"/>
        <s v="Cayenne"/>
        <s v="Habanero"/>
        <s v="Carolina Reaper"/>
        <s v="Booger"/>
        <s v="Dog Food"/>
        <s v="Coconut"/>
        <s v="Chocolate Pudding"/>
        <s v="Spoiled Milk"/>
        <s v="Sriracha"/>
        <s v="Licorice"/>
        <s v="Burnt Rubber"/>
        <s v="Wet Dog"/>
        <s v="Top Banana"/>
        <m/>
      </sharedItems>
    </cacheField>
    <cacheField name="Type look up" numFmtId="0">
      <sharedItems>
        <s v="Bad"/>
        <s v="Good"/>
        <s v="Spicy"/>
        <s v=""/>
      </sharedItems>
    </cacheField>
    <cacheField name="date2" databaseField="0">
      <fieldGroup base="0">
        <rangePr autoStart="0" autoEnd="0" groupBy="months" startDate="2022-10-18T00:00:00Z" endDate="2026-09-22T00:00:00Z"/>
        <groupItems>
          <s v="&lt;10/18/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/22/26"/>
        </groupItems>
      </fieldGroup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2026 Summary" cacheId="0" dataCaption="" compact="0" compactData="0">
  <location ref="P65:R6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Flavor" axis="axisRow" dataField="1" compact="0" outline="0" multipleItemSelectionAllowed="1" showAll="0" sortType="ascending">
      <items>
        <item x="35"/>
        <item x="16"/>
        <item x="15"/>
        <item x="6"/>
        <item x="25"/>
        <item x="32"/>
        <item x="11"/>
        <item x="17"/>
        <item x="24"/>
        <item x="22"/>
        <item x="28"/>
        <item x="27"/>
        <item x="4"/>
        <item x="0"/>
        <item x="26"/>
        <item x="23"/>
        <item x="21"/>
        <item x="13"/>
        <item x="31"/>
        <item x="5"/>
        <item x="20"/>
        <item x="18"/>
        <item x="12"/>
        <item x="7"/>
        <item x="19"/>
        <item x="14"/>
        <item x="29"/>
        <item x="30"/>
        <item x="9"/>
        <item x="8"/>
        <item x="10"/>
        <item x="1"/>
        <item x="2"/>
        <item x="34"/>
        <item x="3"/>
        <item x="33"/>
        <item t="default"/>
      </items>
    </pivotField>
    <pivotField name="Type look up" axis="axisRow" compact="0" outline="0" multipleItemSelectionAllowed="1" showAll="0" sortType="ascending">
      <items>
        <item x="3"/>
        <item sd="0" x="0"/>
        <item sd="0" x="1"/>
        <item sd="0" x="2"/>
        <item t="default"/>
      </items>
    </pivotField>
  </pivotFields>
  <rowFields>
    <field x="2"/>
    <field x="1"/>
  </rowFields>
  <dataFields>
    <dataField name="COUNTA of Flavor" fld="1" subtotal="count" baseField="0"/>
  </dataFields>
</pivotTableDefinition>
</file>

<file path=xl/pivotTables/pivotTable2.xml><?xml version="1.0" encoding="utf-8"?>
<pivotTableDefinition xmlns="http://schemas.openxmlformats.org/spreadsheetml/2006/main" name="2025 Summary" cacheId="0" dataCaption="" compact="0" compactData="0">
  <location ref="P65:R6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Flavor" axis="axisRow" dataField="1" compact="0" outline="0" multipleItemSelectionAllowed="1" showAll="0" sortType="ascending">
      <items>
        <item x="35"/>
        <item x="16"/>
        <item x="15"/>
        <item x="6"/>
        <item x="25"/>
        <item x="32"/>
        <item x="11"/>
        <item x="17"/>
        <item x="24"/>
        <item x="22"/>
        <item x="28"/>
        <item x="27"/>
        <item x="4"/>
        <item x="0"/>
        <item x="26"/>
        <item x="23"/>
        <item x="21"/>
        <item x="13"/>
        <item x="31"/>
        <item x="5"/>
        <item x="20"/>
        <item x="18"/>
        <item x="12"/>
        <item x="7"/>
        <item x="19"/>
        <item x="14"/>
        <item x="29"/>
        <item x="30"/>
        <item x="9"/>
        <item x="8"/>
        <item x="10"/>
        <item x="1"/>
        <item x="2"/>
        <item x="34"/>
        <item x="3"/>
        <item x="33"/>
        <item t="default"/>
      </items>
    </pivotField>
    <pivotField name="Type look up" axis="axisRow" compact="0" outline="0" multipleItemSelectionAllowed="1" showAll="0" sortType="ascending">
      <items>
        <item x="3"/>
        <item sd="0" x="0"/>
        <item sd="0" x="1"/>
        <item sd="0" x="2"/>
        <item t="default"/>
      </items>
    </pivotField>
  </pivotFields>
  <rowFields>
    <field x="2"/>
    <field x="1"/>
  </rowFields>
  <dataFields>
    <dataField name="COUNTA of Flavor" fld="1" subtotal="count" baseField="0"/>
  </dataFields>
</pivotTableDefinition>
</file>

<file path=xl/pivotTables/pivotTable3.xml><?xml version="1.0" encoding="utf-8"?>
<pivotTableDefinition xmlns="http://schemas.openxmlformats.org/spreadsheetml/2006/main" name="2024 Summary" cacheId="0" dataCaption="" compact="0" compactData="0">
  <location ref="P65:R6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Flavor" axis="axisRow" dataField="1" compact="0" outline="0" multipleItemSelectionAllowed="1" showAll="0" sortType="ascending">
      <items>
        <item x="35"/>
        <item x="16"/>
        <item x="15"/>
        <item x="6"/>
        <item x="25"/>
        <item x="32"/>
        <item x="11"/>
        <item x="17"/>
        <item x="24"/>
        <item x="22"/>
        <item x="28"/>
        <item x="27"/>
        <item x="4"/>
        <item x="0"/>
        <item x="26"/>
        <item x="23"/>
        <item x="21"/>
        <item x="13"/>
        <item x="31"/>
        <item x="5"/>
        <item x="20"/>
        <item x="18"/>
        <item x="12"/>
        <item x="7"/>
        <item x="19"/>
        <item x="14"/>
        <item x="29"/>
        <item x="30"/>
        <item x="9"/>
        <item x="8"/>
        <item x="10"/>
        <item x="1"/>
        <item x="2"/>
        <item x="34"/>
        <item x="3"/>
        <item x="33"/>
        <item t="default"/>
      </items>
    </pivotField>
    <pivotField name="Type look up" axis="axisRow" compact="0" outline="0" multipleItemSelectionAllowed="1" showAll="0" sortType="ascending">
      <items>
        <item x="3"/>
        <item sd="0" x="0"/>
        <item sd="0" x="1"/>
        <item sd="0" x="2"/>
        <item t="default"/>
      </items>
    </pivotField>
  </pivotFields>
  <rowFields>
    <field x="2"/>
    <field x="1"/>
  </rowFields>
  <dataFields>
    <dataField name="COUNTA of Flavor" fld="1" subtotal="count" baseField="0"/>
  </dataFields>
</pivotTableDefinition>
</file>

<file path=xl/pivotTables/pivotTable4.xml><?xml version="1.0" encoding="utf-8"?>
<pivotTableDefinition xmlns="http://schemas.openxmlformats.org/spreadsheetml/2006/main" name="2023 Summary" cacheId="0" dataCaption="" compact="0" compactData="0">
  <location ref="P65:R69" firstHeaderRow="0" firstDataRow="2" firstDataCol="0"/>
  <pivotFields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Flavor" axis="axisRow" dataField="1" compact="0" outline="0" multipleItemSelectionAllowed="1" showAll="0" sortType="ascending">
      <items>
        <item x="35"/>
        <item x="16"/>
        <item x="15"/>
        <item x="6"/>
        <item x="25"/>
        <item x="32"/>
        <item x="11"/>
        <item x="17"/>
        <item x="24"/>
        <item x="22"/>
        <item x="28"/>
        <item x="27"/>
        <item x="4"/>
        <item x="0"/>
        <item x="26"/>
        <item x="23"/>
        <item x="21"/>
        <item x="13"/>
        <item x="31"/>
        <item x="5"/>
        <item x="20"/>
        <item x="18"/>
        <item x="12"/>
        <item x="7"/>
        <item x="19"/>
        <item x="14"/>
        <item x="29"/>
        <item x="30"/>
        <item x="9"/>
        <item x="8"/>
        <item x="10"/>
        <item x="1"/>
        <item x="2"/>
        <item x="34"/>
        <item x="3"/>
        <item x="33"/>
        <item t="default"/>
      </items>
    </pivotField>
    <pivotField name="Type look up" axis="axisRow" compact="0" outline="0" multipleItemSelectionAllowed="1" showAll="0" sortType="ascending">
      <items>
        <item x="3"/>
        <item sd="0" x="0"/>
        <item sd="0" x="1"/>
        <item sd="0" x="2"/>
        <item t="default"/>
      </items>
    </pivotField>
  </pivotFields>
  <rowFields>
    <field x="2"/>
    <field x="1"/>
  </rowFields>
  <dataFields>
    <dataField name="COUNTA of Flavor" fld="1" subtotal="count" baseField="0"/>
  </dataFields>
</pivotTableDefinition>
</file>

<file path=xl/pivotTables/pivotTable5.xml><?xml version="1.0" encoding="utf-8"?>
<pivotTableDefinition xmlns="http://schemas.openxmlformats.org/spreadsheetml/2006/main" name="Pivot Table 2" cacheId="1" dataCaption="" compact="0" compactData="0">
  <location ref="A3:E17" firstHeaderRow="0" firstDataRow="1" firstDataCol="1" rowPageCount="1" colPageCount="1"/>
  <pivotFields>
    <pivotField name="Date" axis="axisPag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t="default"/>
      </items>
    </pivotField>
    <pivotField name="Flav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Type look up" axis="axisCol" dataField="1" compact="0" outline="0" multipleItemSelectionAllowed="1" showAll="0" sortType="ascending">
      <items>
        <item x="3"/>
        <item x="0"/>
        <item x="1"/>
        <item x="2"/>
        <item t="default"/>
      </items>
    </pivotField>
    <pivotField name="date2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>
    <field x="3"/>
  </rowFields>
  <colFields>
    <field x="2"/>
  </colFields>
  <pageFields>
    <pageField fld="0"/>
  </pageFields>
  <dataFields>
    <dataField name="COUNTA of Type look up" fld="2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4" max="4" width="9.25"/>
    <col customWidth="1" min="5" max="5" width="6.75"/>
    <col customWidth="1" min="8" max="8" width="6.38"/>
    <col customWidth="1" min="9" max="9" width="7.25"/>
    <col customWidth="1" min="10" max="10" width="9.63"/>
    <col customWidth="1" min="11" max="11" width="6.75"/>
    <col customWidth="1" min="12" max="12" width="9.13"/>
    <col customWidth="1" min="13" max="13" width="6.63"/>
    <col customWidth="1" min="14" max="14" width="7.25"/>
    <col customWidth="1" min="15" max="15" width="7.75"/>
    <col customWidth="1" min="16" max="16" width="7.38"/>
    <col customWidth="1" min="17" max="17" width="8.25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/>
      <c r="H1" s="7"/>
      <c r="I1" s="6" t="s">
        <v>16</v>
      </c>
      <c r="J1" s="7"/>
      <c r="K1" s="6" t="s">
        <v>21</v>
      </c>
      <c r="L1" s="7"/>
      <c r="M1" s="6" t="s">
        <v>27</v>
      </c>
      <c r="N1" s="6" t="s">
        <v>25</v>
      </c>
      <c r="O1" s="6" t="s">
        <v>28</v>
      </c>
      <c r="P1" s="6" t="s">
        <v>30</v>
      </c>
      <c r="Q1" s="6" t="s">
        <v>31</v>
      </c>
      <c r="R1" s="6" t="s">
        <v>32</v>
      </c>
      <c r="S1" s="6" t="s">
        <v>33</v>
      </c>
      <c r="T1" s="7"/>
      <c r="U1" s="7"/>
      <c r="V1" s="7"/>
      <c r="W1" s="7"/>
      <c r="X1" s="7"/>
      <c r="Y1" s="7"/>
      <c r="Z1" s="7"/>
      <c r="AA1" s="7"/>
      <c r="AB1" s="7"/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>COUNTIFS(Beans!B:B, A2)</f>
        <v>18</v>
      </c>
      <c r="F2" s="12">
        <f>IF(E2+E3 = 0, "n/a", E2/(E2+E3))</f>
        <v>0.140625</v>
      </c>
      <c r="G2" s="11"/>
      <c r="H2" s="13" t="s">
        <v>36</v>
      </c>
      <c r="I2" s="6">
        <f>'2022 Bean Description'!B35</f>
        <v>20</v>
      </c>
      <c r="J2" s="14">
        <f>I2/(I2+K2)</f>
        <v>0.3125</v>
      </c>
      <c r="K2" s="11">
        <f>'2022 Bean Description'!B36</f>
        <v>44</v>
      </c>
      <c r="L2" s="14">
        <f>K2/(I2+K2)</f>
        <v>0.6875</v>
      </c>
      <c r="M2" s="11">
        <f>'2022 Bean Description'!B37</f>
        <v>5</v>
      </c>
      <c r="N2" s="16">
        <f t="shared" ref="N2:N7" si="1">I2+K2+M2</f>
        <v>69</v>
      </c>
      <c r="O2" s="17">
        <f t="shared" ref="O2:O7" si="2">N2/(S2-R2+1)</f>
        <v>0.92</v>
      </c>
      <c r="P2" s="18">
        <f t="shared" ref="P2:P7" si="3">N2/(((S2-R2+1)/7)*5)</f>
        <v>1.288</v>
      </c>
      <c r="Q2" s="17">
        <f t="shared" ref="Q2:Q7" si="4">N2/(((S2-R2+1)/7))</f>
        <v>6.44</v>
      </c>
      <c r="R2" s="20">
        <f>Beans!A2</f>
        <v>44852</v>
      </c>
      <c r="S2" s="21">
        <v>44926.0</v>
      </c>
      <c r="T2" s="7"/>
      <c r="U2" s="7"/>
      <c r="V2" s="7"/>
      <c r="W2" s="7"/>
      <c r="X2" s="7"/>
      <c r="Y2" s="7"/>
      <c r="Z2" s="7"/>
      <c r="AA2" s="7"/>
      <c r="AB2" s="7"/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>COUNTIFS(Beans!B:B, A3)</f>
        <v>110</v>
      </c>
      <c r="F3" s="12">
        <f>IF(E2+E3 = 0, "n/a", E3/(E2+E3))</f>
        <v>0.859375</v>
      </c>
      <c r="G3" s="11"/>
      <c r="H3" s="13" t="s">
        <v>42</v>
      </c>
      <c r="I3" s="7">
        <f>'2023 Bean Description'!B35</f>
        <v>148</v>
      </c>
      <c r="J3" s="12">
        <f>'2023 Summary'!B77</f>
        <v>0.2720588235</v>
      </c>
      <c r="K3" s="11">
        <f>'2023 Bean Description'!B36</f>
        <v>396</v>
      </c>
      <c r="L3" s="14">
        <f>'2023 Summary'!C77</f>
        <v>0.7279411765</v>
      </c>
      <c r="M3" s="11">
        <f>'2023 Bean Description'!B37</f>
        <v>25</v>
      </c>
      <c r="N3" s="16">
        <f t="shared" si="1"/>
        <v>569</v>
      </c>
      <c r="O3" s="17">
        <f t="shared" si="2"/>
        <v>1.55890411</v>
      </c>
      <c r="P3" s="18">
        <f t="shared" si="3"/>
        <v>2.182465753</v>
      </c>
      <c r="Q3" s="17">
        <f t="shared" si="4"/>
        <v>10.91232877</v>
      </c>
      <c r="R3" s="20">
        <v>44927.0</v>
      </c>
      <c r="S3" s="21">
        <v>45291.0</v>
      </c>
      <c r="T3" s="7"/>
      <c r="U3" s="7"/>
      <c r="V3" s="7"/>
      <c r="W3" s="7"/>
      <c r="X3" s="7"/>
      <c r="Y3" s="7"/>
      <c r="Z3" s="7"/>
      <c r="AA3" s="7"/>
      <c r="AB3" s="7"/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>COUNTIFS(Beans!B:B, A4)</f>
        <v>41</v>
      </c>
      <c r="F4" s="12">
        <f>IF(E4+E5 = 0, "n/a", E4/(E4+E5))</f>
        <v>0.3178294574</v>
      </c>
      <c r="G4" s="11"/>
      <c r="H4" s="13" t="s">
        <v>49</v>
      </c>
      <c r="I4" s="11">
        <f>'2024 Bean Description'!B39</f>
        <v>83</v>
      </c>
      <c r="J4" s="12">
        <f>'2024 Summary'!B77</f>
        <v>0.2273972603</v>
      </c>
      <c r="K4" s="7">
        <f>'2024 Bean Description'!B40</f>
        <v>282</v>
      </c>
      <c r="L4" s="12">
        <f>'2024 Summary'!C77</f>
        <v>0.7726027397</v>
      </c>
      <c r="M4" s="11">
        <f>'2024 Bean Description'!B41</f>
        <v>0</v>
      </c>
      <c r="N4" s="16">
        <f t="shared" si="1"/>
        <v>365</v>
      </c>
      <c r="O4" s="17">
        <f t="shared" si="2"/>
        <v>0.9972677596</v>
      </c>
      <c r="P4" s="18">
        <f t="shared" si="3"/>
        <v>1.396174863</v>
      </c>
      <c r="Q4" s="17">
        <f t="shared" si="4"/>
        <v>6.980874317</v>
      </c>
      <c r="R4" s="20">
        <v>45292.0</v>
      </c>
      <c r="S4" s="3">
        <v>45657.0</v>
      </c>
      <c r="T4" s="7"/>
      <c r="U4" s="7"/>
      <c r="V4" s="7"/>
      <c r="W4" s="7"/>
      <c r="X4" s="7"/>
      <c r="Y4" s="7"/>
      <c r="Z4" s="7"/>
      <c r="AA4" s="7"/>
      <c r="AB4" s="7"/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>COUNTIFS(Beans!B:B, A5)</f>
        <v>88</v>
      </c>
      <c r="F5" s="12">
        <f>IF(E4+E5 = 0, "n/a", E5/(E4+E5))</f>
        <v>0.6821705426</v>
      </c>
      <c r="G5" s="11"/>
      <c r="H5" s="13" t="s">
        <v>54</v>
      </c>
      <c r="I5" s="11">
        <f>'2025 Summary'!B76</f>
        <v>39</v>
      </c>
      <c r="J5" s="12">
        <f>'2025 Summary'!B77</f>
        <v>0.3095238095</v>
      </c>
      <c r="K5" s="7">
        <f>'2025 Summary'!C76</f>
        <v>87</v>
      </c>
      <c r="L5" s="12">
        <f>'2025 Summary'!C77</f>
        <v>0.6904761905</v>
      </c>
      <c r="M5" s="11">
        <f>'2025 Summary'!D76</f>
        <v>0</v>
      </c>
      <c r="N5" s="16">
        <f t="shared" si="1"/>
        <v>126</v>
      </c>
      <c r="O5" s="17">
        <f t="shared" si="2"/>
        <v>0.3452054795</v>
      </c>
      <c r="P5" s="18">
        <f t="shared" si="3"/>
        <v>0.4832876712</v>
      </c>
      <c r="Q5" s="17">
        <f t="shared" si="4"/>
        <v>2.416438356</v>
      </c>
      <c r="R5" s="20">
        <v>45658.0</v>
      </c>
      <c r="S5" s="3">
        <v>46022.0</v>
      </c>
      <c r="T5" s="7"/>
      <c r="U5" s="7"/>
      <c r="V5" s="7"/>
      <c r="W5" s="7"/>
      <c r="X5" s="7"/>
      <c r="Y5" s="7"/>
      <c r="Z5" s="7"/>
      <c r="AA5" s="7"/>
      <c r="AB5" s="7"/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>COUNTIFS(Beans!B:B, A6)</f>
        <v>8</v>
      </c>
      <c r="F6" s="12">
        <f>IF(E6+E7 = 0, "n/a", E6/(E6+E7))</f>
        <v>0.2285714286</v>
      </c>
      <c r="G6" s="11"/>
      <c r="H6" s="13" t="s">
        <v>61</v>
      </c>
      <c r="I6" s="11">
        <f>'2026 Summary'!B76</f>
        <v>25</v>
      </c>
      <c r="J6" s="12">
        <f>'2026 Summary'!B77</f>
        <v>0.2976190476</v>
      </c>
      <c r="K6" s="7">
        <f>'2026 Summary'!C76</f>
        <v>59</v>
      </c>
      <c r="L6" s="12">
        <f>'2026 Summary'!C77</f>
        <v>0.7023809524</v>
      </c>
      <c r="M6" s="11">
        <f>'2026 Summary'!D76</f>
        <v>0</v>
      </c>
      <c r="N6" s="16">
        <f t="shared" si="1"/>
        <v>84</v>
      </c>
      <c r="O6" s="17">
        <f t="shared" si="2"/>
        <v>0.3146067416</v>
      </c>
      <c r="P6" s="18">
        <f t="shared" si="3"/>
        <v>0.4404494382</v>
      </c>
      <c r="Q6" s="17">
        <f t="shared" si="4"/>
        <v>2.202247191</v>
      </c>
      <c r="R6" s="20">
        <v>46023.0</v>
      </c>
      <c r="S6" s="3">
        <f>TODAY()</f>
        <v>46289</v>
      </c>
      <c r="T6" s="7"/>
      <c r="U6" s="7"/>
      <c r="V6" s="7"/>
      <c r="W6" s="7"/>
      <c r="X6" s="7"/>
      <c r="Y6" s="7"/>
      <c r="Z6" s="7"/>
      <c r="AA6" s="7"/>
      <c r="AB6" s="7"/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>COUNTIFS(Beans!B:B, A7)</f>
        <v>27</v>
      </c>
      <c r="F7" s="12">
        <f>IF(E6+E7 = 0, "n/a", E7/(E6+E7))</f>
        <v>0.7714285714</v>
      </c>
      <c r="G7" s="11"/>
      <c r="H7" s="8" t="s">
        <v>25</v>
      </c>
      <c r="I7" s="27">
        <f>I2+I3+I4+I5+I6</f>
        <v>315</v>
      </c>
      <c r="J7" s="28">
        <f>I7/(I7+K7)</f>
        <v>0.2662721893</v>
      </c>
      <c r="K7" s="29">
        <f>K2+K3+K4+K5+K6</f>
        <v>868</v>
      </c>
      <c r="L7" s="30">
        <f>K7/(I7+K7)</f>
        <v>0.7337278107</v>
      </c>
      <c r="M7" s="29">
        <f>M2+M3+M4+M5+M6</f>
        <v>30</v>
      </c>
      <c r="N7" s="31">
        <f t="shared" si="1"/>
        <v>1213</v>
      </c>
      <c r="O7" s="17">
        <f t="shared" si="2"/>
        <v>0.8435326843</v>
      </c>
      <c r="P7" s="18">
        <f t="shared" si="3"/>
        <v>1.180945758</v>
      </c>
      <c r="Q7" s="17">
        <f t="shared" si="4"/>
        <v>5.90472879</v>
      </c>
      <c r="R7" s="20">
        <f>R2</f>
        <v>44852</v>
      </c>
      <c r="S7" s="32">
        <f>S6</f>
        <v>46289</v>
      </c>
      <c r="T7" s="7"/>
      <c r="U7" s="7"/>
      <c r="V7" s="7"/>
      <c r="W7" s="7"/>
      <c r="X7" s="7"/>
      <c r="Y7" s="7"/>
      <c r="Z7" s="7"/>
      <c r="AA7" s="7"/>
      <c r="AB7" s="7"/>
    </row>
    <row r="8" ht="30.0" customHeight="1">
      <c r="A8" s="9" t="s">
        <v>53</v>
      </c>
      <c r="B8" s="6" t="s">
        <v>16</v>
      </c>
      <c r="C8" s="10" t="s">
        <v>73</v>
      </c>
      <c r="D8" s="11" t="str">
        <f>D9</f>
        <v/>
      </c>
      <c r="E8" s="11">
        <f>COUNTIFS(Beans!B:B, A8)</f>
        <v>17</v>
      </c>
      <c r="F8" s="12">
        <f>IF(E8+E9 = 0, "n/a", E8/(E8+E9))</f>
        <v>0.1545454545</v>
      </c>
      <c r="G8" s="11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ht="30.0" customHeight="1">
      <c r="A9" s="9" t="s">
        <v>14</v>
      </c>
      <c r="B9" s="6" t="s">
        <v>21</v>
      </c>
      <c r="C9" s="10" t="s">
        <v>73</v>
      </c>
      <c r="D9" s="11"/>
      <c r="E9" s="11">
        <f>COUNTIFS(Beans!B:B, A9)</f>
        <v>93</v>
      </c>
      <c r="F9" s="12">
        <f>IF(E8+E9 = 0, "n/a", E9/(E8+E9))</f>
        <v>0.8454545455</v>
      </c>
      <c r="G9" s="11"/>
      <c r="H9" s="7" t="str">
        <f>CONCATENATE("2022 Beans", " Good: ", I2, " (", ROUND(J2*100,0), "%)", " Bad: ", K2, " (", ROUND(L2*100,0), "%)", " Spicy: ", M2)</f>
        <v>2022 Beans Good: 20 (31%) Bad: 44 (69%) Spicy: 5</v>
      </c>
      <c r="I9" s="11"/>
      <c r="J9" s="11"/>
      <c r="K9" s="7"/>
      <c r="L9" s="7"/>
      <c r="M9" s="7"/>
      <c r="N9" s="11" t="str">
        <f>CONCATENATE("Kay Good: ", '2022 Summary'!A18, " Bad: ",'2022 Summary'!B18, " Spicy: 1")</f>
        <v>Kay Good: 0 Bad: 1 Spicy: 1</v>
      </c>
      <c r="O9" s="11"/>
      <c r="P9" s="7"/>
      <c r="Q9" s="11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>COUNTIFS(Beans!B:B, A10)</f>
        <v>32</v>
      </c>
      <c r="F10" s="12">
        <f>IF(E10+E11 = 0, "n/a", E10/(E10+E11))</f>
        <v>0.2302158273</v>
      </c>
      <c r="G10" s="11"/>
      <c r="H10" s="7" t="str">
        <f>CONCATENATE("2023 Beans", " Good: ", I3, " (", ROUND(J3*100,0), "%)", " Bad: ", K3, " (", ROUND(L3*100,0), "%)", " Spicy: ", M3)</f>
        <v>2023 Beans Good: 148 (27%) Bad: 396 (73%) Spicy: 25</v>
      </c>
      <c r="I10" s="11"/>
      <c r="J10" s="11"/>
      <c r="K10" s="7"/>
      <c r="L10" s="7"/>
      <c r="M10" s="7"/>
      <c r="N10" s="11" t="str">
        <f>'2023 Summary'!M65</f>
        <v>Kay Good: 0 Bad: 1 Spicy: 1</v>
      </c>
      <c r="O10" s="11"/>
      <c r="P10" s="7"/>
      <c r="Q10" s="7" t="str">
        <f>'2023 Summary'!M68</f>
        <v>Milton Good:0 Bad 3: Spicy: 0</v>
      </c>
      <c r="R10" s="11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>COUNTIFS(Beans!B:B, A11)</f>
        <v>107</v>
      </c>
      <c r="F11" s="12">
        <f>IF(E10+E11 = 0, "n/a", E11/(E10+E11))</f>
        <v>0.7697841727</v>
      </c>
      <c r="G11" s="11"/>
      <c r="H11" s="7" t="str">
        <f>CONCATENATE("2024 Beans", " Good: ", I4, " (", ROUND(J4*100,0), "%)", " Bad: ", K4, " (", ROUND(L4*100,0), "%)", " Spicy: ", M4)</f>
        <v>2024 Beans Good: 83 (23%) Bad: 282 (77%) Spicy: 0</v>
      </c>
      <c r="I11" s="11"/>
      <c r="J11" s="11"/>
      <c r="K11" s="7"/>
      <c r="L11" s="11"/>
      <c r="M11" s="11"/>
      <c r="N11" s="7" t="str">
        <f>'2024 Summary'!L76</f>
        <v>Kay Good: 1 Bad: 1 Spicy: 0</v>
      </c>
      <c r="O11" s="11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>COUNTIFS(Beans!B:B, A12)</f>
        <v>34</v>
      </c>
      <c r="F12" s="12">
        <f>IF(E12+E13 = 0, "n/a", E12/(E12+E13))</f>
        <v>0.2575757576</v>
      </c>
      <c r="G12" s="11"/>
      <c r="H12" s="7" t="str">
        <f>CONCATENATE("2025 Beans", " Good: ", I5, " (", ROUND(J5*100,0), "%)", " Bad: ", K5, " (", ROUND(L5*100,0), "%)", " Spicy: ", M5)</f>
        <v>2025 Beans Good: 39 (31%) Bad: 87 (69%) Spicy: 0</v>
      </c>
      <c r="I12" s="11"/>
      <c r="J12" s="11"/>
      <c r="K12" s="7"/>
      <c r="L12" s="11"/>
      <c r="M12" s="11"/>
      <c r="N12" s="15" t="str">
        <f>'2025 Summary'!L76</f>
        <v>Kay Good: 0 Bad: 0 Spicy: 0</v>
      </c>
      <c r="O12" s="11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>COUNTIFS(Beans!B:B, A13)</f>
        <v>98</v>
      </c>
      <c r="F13" s="12">
        <f>IF(E12+E13 = 0, "n/a", E13/(E12+E13))</f>
        <v>0.7424242424</v>
      </c>
      <c r="G13" s="11"/>
      <c r="H13" s="7" t="str">
        <f>CONCATENATE("2026 Beans", " Good: ", I6, " (", ROUND(J6*100,0), "%)", " Bad: ", K6, " (", ROUND(L6*100,0), "%)", " Spicy: ", M6)</f>
        <v>2026 Beans Good: 25 (30%) Bad: 59 (70%) Spicy: 0</v>
      </c>
      <c r="I13" s="11"/>
      <c r="J13" s="11"/>
      <c r="K13" s="7"/>
      <c r="L13" s="11"/>
      <c r="M13" s="11"/>
      <c r="N13" s="15" t="str">
        <f>'2026 Summary'!L76</f>
        <v>Kay Good: 0 Bad: 0 Spicy: 0</v>
      </c>
      <c r="O13" s="11"/>
      <c r="P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>COUNTIFS(Beans!B:B, A14)</f>
        <v>50</v>
      </c>
      <c r="F14" s="12">
        <f>IF(E14+E15 = 0, "n/a", E14/(E14+E15))</f>
        <v>0.3731343284</v>
      </c>
      <c r="G14" s="11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>COUNTIFS(Beans!B:B, A15)</f>
        <v>84</v>
      </c>
      <c r="F15" s="12">
        <f>IF(E14+E15 = 0, "n/a", E15/(E14+E15))</f>
        <v>0.6268656716</v>
      </c>
      <c r="G15" s="11"/>
      <c r="H15" s="15" t="str">
        <f>CONCATENATE("Overall Beans: ", I7+K7+M7," Good: ", I7, " (", ROUND(J7*100,0), "%)", " Bad: ", K7, " (", ROUND(L7*100,0), "%)", " Spicy: ", M7)</f>
        <v>Overall Beans: 1213 Good: 315 (27%) Bad: 868 (73%) Spicy: 30</v>
      </c>
      <c r="I15" s="11"/>
      <c r="J15" s="11"/>
      <c r="K15" s="7"/>
      <c r="L15" s="11"/>
      <c r="M15" s="11"/>
      <c r="N15" s="7"/>
      <c r="O15" s="10" t="s">
        <v>100</v>
      </c>
      <c r="P15" s="7"/>
      <c r="Q15" s="7"/>
      <c r="R15" s="6" t="s">
        <v>101</v>
      </c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>COUNTIFS(Beans!B:B, A16)</f>
        <v>31</v>
      </c>
      <c r="F16" s="12">
        <f>IF(E16+E17 = 0, "n/a", E16/(E16+E17))</f>
        <v>0.2897196262</v>
      </c>
      <c r="G16" s="11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5"/>
      <c r="T16" s="7"/>
      <c r="U16" s="7"/>
      <c r="V16" s="7"/>
      <c r="W16" s="7"/>
      <c r="X16" s="7"/>
      <c r="Y16" s="7"/>
      <c r="Z16" s="7"/>
      <c r="AA16" s="7"/>
      <c r="AB16" s="7"/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>COUNTIFS(Beans!B:B, A17)</f>
        <v>76</v>
      </c>
      <c r="F17" s="12">
        <f>IF(E16+E17 = 0, "n/a", E17/(E16+E17))</f>
        <v>0.7102803738</v>
      </c>
      <c r="G17" s="11"/>
      <c r="H17" s="7" t="str">
        <f>CONCATENATE("Most good beans in a row: ", MAX(Beans!D:D))</f>
        <v>Most good beans in a row: 5</v>
      </c>
      <c r="I17" s="11"/>
      <c r="J17" s="11"/>
      <c r="K17" s="7"/>
      <c r="L17" s="11" t="str">
        <f>CONCATENATE("Average good beans in a row: ", ROUND(SUM(Beans!D:D)/K3,0))</f>
        <v>Average good beans in a row: 1</v>
      </c>
      <c r="M17" s="11"/>
      <c r="N17" s="7"/>
      <c r="O17" s="11"/>
      <c r="P17" s="15" t="str">
        <f>CONCATENATE("Median good beans in a row: ", (MEDIAN(Beans!D:D)))</f>
        <v>Median good beans in a row: 0</v>
      </c>
      <c r="Q17" s="7"/>
      <c r="R17" s="15"/>
      <c r="S17" s="15"/>
      <c r="T17" s="7"/>
      <c r="U17" s="7"/>
      <c r="V17" s="7"/>
      <c r="W17" s="7"/>
      <c r="X17" s="7"/>
      <c r="Y17" s="7"/>
      <c r="Z17" s="7"/>
      <c r="AA17" s="7"/>
      <c r="AB17" s="7"/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>COUNTIFS(Beans!B:B, A18)</f>
        <v>31</v>
      </c>
      <c r="F18" s="12">
        <f>IF(E18+E19 = 0, "n/a", E18/(E18+E19))</f>
        <v>0.2924528302</v>
      </c>
      <c r="G18" s="11"/>
      <c r="H18" s="7" t="str">
        <f>CONCATENATE("Most bad beans in a row: ", MAX(Beans!E:E))</f>
        <v>Most bad beans in a row: 22</v>
      </c>
      <c r="I18" s="7"/>
      <c r="J18" s="7"/>
      <c r="K18" s="11"/>
      <c r="L18" s="11" t="str">
        <f>CONCATENATE("Average bad beans in a row: ", ROUND(SUM(Beans!E:E)/I3,0))</f>
        <v>Average bad beans in a row: 24</v>
      </c>
      <c r="M18" s="7"/>
      <c r="N18" s="11"/>
      <c r="O18" s="11"/>
      <c r="P18" s="7" t="str">
        <f>CONCATENATE("Median bad beans in a row: ", (MEDIAN(Beans!E:E)))</f>
        <v>Median bad beans in a row: 2</v>
      </c>
      <c r="Q18" s="11"/>
      <c r="R18" s="7"/>
      <c r="S18" s="15"/>
      <c r="T18" s="7"/>
      <c r="U18" s="7"/>
      <c r="V18" s="7"/>
      <c r="W18" s="7"/>
      <c r="X18" s="7"/>
      <c r="Y18" s="7"/>
      <c r="Z18" s="7"/>
      <c r="AA18" s="7"/>
      <c r="AB18" s="7"/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>COUNTIFS(Beans!B:B, A19)</f>
        <v>75</v>
      </c>
      <c r="F19" s="12">
        <f>IF(E18+E19 = 0, "n/a", E19/(E18+E19))</f>
        <v>0.7075471698</v>
      </c>
      <c r="G19" s="11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5"/>
      <c r="T19" s="7"/>
      <c r="U19" s="7"/>
      <c r="V19" s="7"/>
      <c r="W19" s="7"/>
      <c r="X19" s="7"/>
      <c r="Y19" s="7"/>
      <c r="Z19" s="7"/>
      <c r="AA19" s="7"/>
      <c r="AB19" s="7"/>
    </row>
    <row r="20" ht="47.25" customHeight="1">
      <c r="A20" s="9" t="s">
        <v>67</v>
      </c>
      <c r="B20" s="6" t="s">
        <v>16</v>
      </c>
      <c r="C20" s="10" t="s">
        <v>113</v>
      </c>
      <c r="D20" s="11" t="str">
        <f>D21</f>
        <v/>
      </c>
      <c r="E20" s="11">
        <f>COUNTIFS(Beans!B:B, A20)</f>
        <v>36</v>
      </c>
      <c r="F20" s="12">
        <f>IF(E20+E21 = 0, "n/a", E20/(E20+E21))</f>
        <v>0.3495145631</v>
      </c>
      <c r="G20" s="11"/>
      <c r="H20" s="6" t="str">
        <f>CONCATENATE("Most beans in a day: ", MAX(Beans!G:G))</f>
        <v>Most beans in a day: 33</v>
      </c>
      <c r="I20" s="7"/>
      <c r="J20" s="7"/>
      <c r="K20" s="7"/>
      <c r="L20" s="7" t="str">
        <f>CONCATENATE("Average beans in a day: ", ROUND(AVERAGE(Beans!G:G),1))</f>
        <v>Average beans in a day: 3.5</v>
      </c>
      <c r="M20" s="7"/>
      <c r="N20" s="7"/>
      <c r="O20" s="7"/>
      <c r="P20" s="7" t="str">
        <f>CONCATENATE("Median beans in a day: ", (MEDIAN(Beans!G:G)))</f>
        <v>Median beans in a day: 2</v>
      </c>
      <c r="Q20" s="7"/>
      <c r="R20" s="7"/>
      <c r="S20" s="15"/>
      <c r="T20" s="7"/>
      <c r="U20" s="7"/>
      <c r="V20" s="7"/>
      <c r="W20" s="7"/>
      <c r="X20" s="7"/>
      <c r="Y20" s="7"/>
      <c r="Z20" s="7"/>
      <c r="AA20" s="7"/>
      <c r="AB20" s="7"/>
    </row>
    <row r="21" ht="48.0" customHeight="1">
      <c r="A21" s="9" t="s">
        <v>72</v>
      </c>
      <c r="B21" s="6" t="s">
        <v>21</v>
      </c>
      <c r="C21" s="10" t="s">
        <v>113</v>
      </c>
      <c r="D21" s="11"/>
      <c r="E21" s="11">
        <f>COUNTIFS(Beans!B:B, A21)</f>
        <v>67</v>
      </c>
      <c r="F21" s="12">
        <f>IF(E20+E21 = 0, "n/a", E21/(E20+E21))</f>
        <v>0.6504854369</v>
      </c>
      <c r="G21" s="11"/>
      <c r="H21" s="7" t="str">
        <f>CONCATENATE("Most beans in a month: ", MAX(Beans!H:H))</f>
        <v>Most beans in a month: 74</v>
      </c>
      <c r="I21" s="7"/>
      <c r="J21" s="7"/>
      <c r="K21" s="7"/>
      <c r="L21" s="7" t="str">
        <f>CONCATENATE("Average beans in a month: ", ROUND(AVERAGE(Beans!H:H),1))</f>
        <v>Average beans in a month: 21.1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>COUNTIFS(Beans!B:B, A22)</f>
        <v>1</v>
      </c>
      <c r="F22" s="12">
        <f>IF(E22+E23 = 0, "n/a", E22/(E22+E23))</f>
        <v>0.05882352941</v>
      </c>
      <c r="G22" s="11"/>
      <c r="H22" s="7"/>
      <c r="I22" s="11"/>
      <c r="J22" s="11"/>
      <c r="K22" s="7"/>
      <c r="L22" s="11"/>
      <c r="M22" s="11"/>
      <c r="N22" s="7"/>
      <c r="O22" s="11"/>
      <c r="P22" s="11"/>
      <c r="Q22" s="7"/>
      <c r="R22" s="15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>COUNTIFS(Beans!B:B, A23)</f>
        <v>16</v>
      </c>
      <c r="F23" s="12">
        <f>IF(E22+E23 = 0, "n/a", E23/(E22+E23))</f>
        <v>0.9411764706</v>
      </c>
      <c r="G23" s="11"/>
      <c r="H23" s="7"/>
      <c r="I23" s="11"/>
      <c r="J23" s="11"/>
      <c r="K23" s="7"/>
      <c r="L23" s="11"/>
      <c r="M23" s="11"/>
      <c r="N23" s="7"/>
      <c r="O23" s="11"/>
      <c r="P23" s="11"/>
      <c r="Q23" s="7"/>
      <c r="R23" s="15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>COUNTIFS(Beans!B:B, A24)</f>
        <v>6</v>
      </c>
      <c r="F24" s="12">
        <f>IF(E24+E25 = 0, "n/a", E24/(E24+E25))</f>
        <v>0.6666666667</v>
      </c>
      <c r="G24" s="11"/>
      <c r="H24" s="7"/>
      <c r="I24" s="11"/>
      <c r="J24" s="11"/>
      <c r="K24" s="7"/>
      <c r="L24" s="11"/>
      <c r="M24" s="11"/>
      <c r="N24" s="7"/>
      <c r="O24" s="11"/>
      <c r="P24" s="11"/>
      <c r="Q24" s="7"/>
      <c r="R24" s="15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>COUNTIFS(Beans!B:B, A25)</f>
        <v>3</v>
      </c>
      <c r="F25" s="12">
        <f>IF(E24+E25 = 0, "n/a", E25/(E24+E25))</f>
        <v>0.3333333333</v>
      </c>
      <c r="G25" s="11"/>
      <c r="H25" s="7"/>
      <c r="I25" s="11"/>
      <c r="J25" s="11"/>
      <c r="K25" s="7"/>
      <c r="L25" s="11"/>
      <c r="M25" s="11"/>
      <c r="N25" s="7"/>
      <c r="O25" s="11"/>
      <c r="P25" s="11"/>
      <c r="Q25" s="7"/>
      <c r="R25" s="15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ht="44.25" customHeight="1">
      <c r="A26" s="9" t="s">
        <v>128</v>
      </c>
      <c r="B26" s="6" t="s">
        <v>16</v>
      </c>
      <c r="C26" s="6" t="s">
        <v>129</v>
      </c>
      <c r="D26" s="6"/>
      <c r="E26" s="11">
        <f>COUNTIFS(Beans!B:B, A26)</f>
        <v>2</v>
      </c>
      <c r="F26" s="12">
        <f>IF(E26+E27 = 0, "n/a", E26/(E26+E27))</f>
        <v>0.1111111111</v>
      </c>
      <c r="G26" s="11"/>
      <c r="H26" s="7"/>
      <c r="I26" s="11"/>
      <c r="J26" s="11"/>
      <c r="K26" s="7"/>
      <c r="L26" s="11"/>
      <c r="M26" s="11"/>
      <c r="N26" s="7"/>
      <c r="O26" s="11"/>
      <c r="P26" s="11"/>
      <c r="Q26" s="7"/>
      <c r="R26" s="15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ht="44.25" customHeight="1">
      <c r="A27" s="9" t="s">
        <v>132</v>
      </c>
      <c r="B27" s="6" t="s">
        <v>21</v>
      </c>
      <c r="C27" s="6" t="s">
        <v>129</v>
      </c>
      <c r="D27" s="6" t="str">
        <f>D26</f>
        <v/>
      </c>
      <c r="E27" s="11">
        <f>COUNTIFS(Beans!B:B, A27)</f>
        <v>16</v>
      </c>
      <c r="F27" s="12">
        <f>IF(E26+E27 = 0, "n/a", E27/(E26+E27))</f>
        <v>0.8888888889</v>
      </c>
      <c r="G27" s="11"/>
      <c r="H27" s="7"/>
      <c r="I27" s="11"/>
      <c r="J27" s="11"/>
      <c r="K27" s="7"/>
      <c r="L27" s="11"/>
      <c r="M27" s="11"/>
      <c r="N27" s="7"/>
      <c r="O27" s="11"/>
      <c r="P27" s="11"/>
      <c r="Q27" s="7"/>
      <c r="R27" s="15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ht="44.25" customHeight="1">
      <c r="A28" s="9" t="s">
        <v>134</v>
      </c>
      <c r="B28" s="6" t="s">
        <v>16</v>
      </c>
      <c r="C28" s="6" t="s">
        <v>129</v>
      </c>
      <c r="D28" s="6"/>
      <c r="E28" s="11">
        <f>COUNTIFS(Beans!B:B, A28)</f>
        <v>4</v>
      </c>
      <c r="F28" s="12">
        <f>IF(E28+E29 = 0, "n/a", E28/(E28+E29))</f>
        <v>0.4</v>
      </c>
      <c r="G28" s="11"/>
      <c r="H28" s="7"/>
      <c r="I28" s="11"/>
      <c r="J28" s="11"/>
      <c r="K28" s="7"/>
      <c r="L28" s="11"/>
      <c r="M28" s="11"/>
      <c r="N28" s="7"/>
      <c r="O28" s="11"/>
      <c r="P28" s="11"/>
      <c r="Q28" s="7"/>
      <c r="R28" s="15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ht="44.25" customHeight="1">
      <c r="A29" s="9" t="s">
        <v>136</v>
      </c>
      <c r="B29" s="6" t="s">
        <v>21</v>
      </c>
      <c r="C29" s="6" t="s">
        <v>129</v>
      </c>
      <c r="D29" s="6" t="str">
        <f>D28</f>
        <v/>
      </c>
      <c r="E29" s="11">
        <f>COUNTIFS(Beans!B:B, A29)</f>
        <v>6</v>
      </c>
      <c r="F29" s="12">
        <f>IF(E28+E29 = 0, "n/a", E29/(E28+E29))</f>
        <v>0.6</v>
      </c>
      <c r="G29" s="11"/>
      <c r="H29" s="7"/>
      <c r="I29" s="11"/>
      <c r="J29" s="11"/>
      <c r="K29" s="7"/>
      <c r="L29" s="11"/>
      <c r="M29" s="11"/>
      <c r="N29" s="7"/>
      <c r="O29" s="11"/>
      <c r="P29" s="11"/>
      <c r="Q29" s="7"/>
      <c r="R29" s="15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ht="44.25" customHeight="1">
      <c r="A30" s="9" t="s">
        <v>137</v>
      </c>
      <c r="B30" s="6" t="s">
        <v>27</v>
      </c>
      <c r="C30" s="40" t="s">
        <v>138</v>
      </c>
      <c r="D30" s="6"/>
      <c r="E30" s="11">
        <f>COUNTIFS(Beans!B:B, A30)</f>
        <v>1</v>
      </c>
      <c r="F30" s="12">
        <f>IF(E30+E31+E32+E33+E34 = 0, "n/a", E30/(E30+E31+E32+E33+E34))</f>
        <v>0.03333333333</v>
      </c>
      <c r="G30" s="11"/>
      <c r="H30" s="7"/>
      <c r="I30" s="11"/>
      <c r="J30" s="11"/>
      <c r="K30" s="7"/>
      <c r="L30" s="11"/>
      <c r="M30" s="11"/>
      <c r="N30" s="7"/>
      <c r="O30" s="11"/>
      <c r="P30" s="11"/>
      <c r="Q30" s="7"/>
      <c r="R30" s="15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ht="45.75" customHeight="1">
      <c r="A31" s="9" t="s">
        <v>139</v>
      </c>
      <c r="B31" s="6" t="s">
        <v>27</v>
      </c>
      <c r="C31" s="40" t="s">
        <v>138</v>
      </c>
      <c r="D31" s="7"/>
      <c r="E31" s="11">
        <f>COUNTIFS(Beans!B:B, A31)</f>
        <v>3</v>
      </c>
      <c r="F31" s="12">
        <f>IF(E30+E31+E32+E33+E34 = 0, "n/a", E31/(E30+E31+E32+E33+E34))</f>
        <v>0.1</v>
      </c>
      <c r="G31" s="11"/>
      <c r="H31" s="7"/>
      <c r="I31" s="11"/>
      <c r="J31" s="11"/>
      <c r="K31" s="7"/>
      <c r="L31" s="11"/>
      <c r="M31" s="11"/>
      <c r="N31" s="7"/>
      <c r="O31" s="11"/>
      <c r="P31" s="11"/>
      <c r="Q31" s="7"/>
      <c r="R31" s="15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ht="46.5" customHeight="1">
      <c r="A32" s="9" t="s">
        <v>140</v>
      </c>
      <c r="B32" s="6" t="s">
        <v>27</v>
      </c>
      <c r="C32" s="40" t="s">
        <v>138</v>
      </c>
      <c r="D32" s="7"/>
      <c r="E32" s="11">
        <f>COUNTIFS(Beans!B:B, A32)</f>
        <v>3</v>
      </c>
      <c r="F32" s="12">
        <f>IF(E30+E31+E32+E33+E34 = 0, "n/a", E32/(E30+E31+E32+E33+E34))</f>
        <v>0.1</v>
      </c>
      <c r="G32" s="11"/>
      <c r="H32" s="7"/>
      <c r="I32" s="11"/>
      <c r="J32" s="11"/>
      <c r="K32" s="7"/>
      <c r="L32" s="11"/>
      <c r="M32" s="11"/>
      <c r="N32" s="7"/>
      <c r="O32" s="11"/>
      <c r="P32" s="11"/>
      <c r="Q32" s="7"/>
      <c r="R32" s="15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ht="45.75" customHeight="1">
      <c r="A33" s="9" t="s">
        <v>141</v>
      </c>
      <c r="B33" s="6" t="s">
        <v>27</v>
      </c>
      <c r="C33" s="40" t="s">
        <v>138</v>
      </c>
      <c r="D33" s="7"/>
      <c r="E33" s="11">
        <f>COUNTIFS(Beans!B:B, A33)</f>
        <v>11</v>
      </c>
      <c r="F33" s="12">
        <f>IF(E30+E31+E32+E33+E34 = 0, "n/a", E33/(E30+E31+E32+E33+E34))</f>
        <v>0.3666666667</v>
      </c>
      <c r="G33" s="11"/>
      <c r="H33" s="7"/>
      <c r="I33" s="11"/>
      <c r="J33" s="11"/>
      <c r="K33" s="7"/>
      <c r="L33" s="11"/>
      <c r="M33" s="11"/>
      <c r="N33" s="7"/>
      <c r="O33" s="11"/>
      <c r="P33" s="11"/>
      <c r="Q33" s="7"/>
      <c r="R33" s="15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ht="43.5" customHeight="1">
      <c r="A34" s="9" t="s">
        <v>145</v>
      </c>
      <c r="B34" s="6" t="s">
        <v>27</v>
      </c>
      <c r="C34" s="40" t="s">
        <v>138</v>
      </c>
      <c r="D34" s="7"/>
      <c r="E34" s="11">
        <f>COUNTIFS(Beans!B:B, A34)</f>
        <v>12</v>
      </c>
      <c r="F34" s="12">
        <f>IF(E30+E31+E32+E33+E34 = 0, "n/a", E34/(E30+E31+E32+E33+E34))</f>
        <v>0.4</v>
      </c>
      <c r="G34" s="11"/>
      <c r="H34" s="7"/>
      <c r="I34" s="11"/>
      <c r="J34" s="11"/>
      <c r="K34" s="7"/>
      <c r="L34" s="11"/>
      <c r="M34" s="11"/>
      <c r="N34" s="7"/>
      <c r="O34" s="11"/>
      <c r="P34" s="11"/>
      <c r="Q34" s="7"/>
      <c r="R34" s="15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>
      <c r="A35" s="6" t="s">
        <v>99</v>
      </c>
      <c r="B35" s="6" t="s">
        <v>16</v>
      </c>
      <c r="C35" s="6" t="s">
        <v>146</v>
      </c>
      <c r="D35" s="11"/>
      <c r="E35" s="11">
        <f>COUNTIFS(Beans!B:B, A35)</f>
        <v>4</v>
      </c>
      <c r="F35" s="12">
        <f>IF(E35+E36 = 0, "n/a", E35/(E35+E36))</f>
        <v>0.6666666667</v>
      </c>
      <c r="G35" s="11"/>
      <c r="H35" s="7"/>
      <c r="I35" s="11"/>
      <c r="J35" s="11"/>
      <c r="K35" s="7"/>
      <c r="L35" s="11"/>
      <c r="M35" s="11"/>
      <c r="N35" s="7"/>
      <c r="O35" s="11"/>
      <c r="P35" s="11"/>
      <c r="Q35" s="7"/>
      <c r="R35" s="15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>
      <c r="A36" s="6" t="s">
        <v>111</v>
      </c>
      <c r="B36" s="6" t="s">
        <v>21</v>
      </c>
      <c r="C36" s="6" t="s">
        <v>146</v>
      </c>
      <c r="D36" s="11"/>
      <c r="E36" s="11">
        <f>COUNTIFS(Beans!B:B, A36)</f>
        <v>2</v>
      </c>
      <c r="F36" s="12">
        <f>IF(E35+E36 = 0, "n/a", E36/(E35+E36))</f>
        <v>0.3333333333</v>
      </c>
      <c r="G36" s="11"/>
      <c r="H36" s="7"/>
      <c r="I36" s="11"/>
      <c r="J36" s="11"/>
      <c r="K36" s="7"/>
      <c r="L36" s="11"/>
      <c r="M36" s="11"/>
      <c r="N36" s="7"/>
      <c r="O36" s="11"/>
      <c r="P36" s="11"/>
      <c r="Q36" s="7"/>
      <c r="R36" s="15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>
      <c r="A37" s="7"/>
      <c r="B37" s="7"/>
      <c r="C37" s="7"/>
      <c r="D37" s="7"/>
      <c r="E37" s="7">
        <f>SUM(E2:E36)</f>
        <v>1213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2" t="s">
        <v>1</v>
      </c>
      <c r="C1" s="2" t="s">
        <v>2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/>
      <c r="K1" s="2" t="s">
        <v>10</v>
      </c>
      <c r="L1" s="2" t="s">
        <v>11</v>
      </c>
    </row>
    <row r="2">
      <c r="A2" s="3">
        <v>44852.0</v>
      </c>
      <c r="B2" s="6" t="s">
        <v>14</v>
      </c>
      <c r="C2" s="5" t="str">
        <f>IFERROR(VLOOKUP(B2,'Overall Bean Summary'!A$2:B$36,2,FALSE),"")</f>
        <v>Bad</v>
      </c>
      <c r="D2" s="4">
        <v>0.0</v>
      </c>
      <c r="E2" s="4">
        <v>1.0</v>
      </c>
      <c r="F2" s="4">
        <v>1.0</v>
      </c>
      <c r="G2" s="4">
        <v>1.0</v>
      </c>
      <c r="H2" s="6">
        <v>1.0</v>
      </c>
      <c r="I2" s="6">
        <v>1.0</v>
      </c>
      <c r="J2" s="6"/>
      <c r="K2" s="6" t="s">
        <v>19</v>
      </c>
      <c r="L2" s="6" t="s">
        <v>20</v>
      </c>
      <c r="M2" s="6" t="s">
        <v>16</v>
      </c>
      <c r="N2" s="6" t="s">
        <v>21</v>
      </c>
      <c r="O2" s="6" t="s">
        <v>16</v>
      </c>
      <c r="P2" s="6" t="s">
        <v>21</v>
      </c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">
        <v>44853.0</v>
      </c>
      <c r="B3" s="6" t="s">
        <v>29</v>
      </c>
      <c r="C3" s="5" t="str">
        <f>IFERROR(VLOOKUP(B3,'Overall Bean Summary'!A$2:B$36,2,FALSE),"")</f>
        <v>Good</v>
      </c>
      <c r="D3" s="6">
        <f t="shared" ref="D3:D800" si="1">IF(A3 &lt;&gt; "", IF(C3 = "Spicy", D2, IF(C3 = "Good", D2+1, 0)), "")</f>
        <v>1</v>
      </c>
      <c r="E3" s="6">
        <f t="shared" ref="E3:E800" si="2">IF(A3 &lt;&gt; "", IF(C3 = "Spicy", E2, IF(C3 = "Bad", E2+1 , 0)), "")</f>
        <v>0</v>
      </c>
      <c r="F3" s="5">
        <f t="shared" ref="F3:F800" si="3">IF(B3 &lt;&gt; "", if(B3 = B2, F2+1, 1) ,"")</f>
        <v>1</v>
      </c>
      <c r="G3" s="6">
        <f t="shared" ref="G3:G800" si="4">IF(C3 &lt;&gt; "", IF(DAY(A2) = DAY(A3), G2+1, 1) ,"")</f>
        <v>1</v>
      </c>
      <c r="H3" s="6">
        <f t="shared" ref="H3:H340" si="5">IF(C3 &lt;&gt; "", IF(MONTH(A2) = MONTH(A3), H2+1, 1) ,"")</f>
        <v>2</v>
      </c>
      <c r="I3" s="6">
        <f t="shared" ref="I3:I800" si="6">IF(C3 &lt;&gt; "", IF(YEAR(A2) = YEAR(A3), I2+1, 1) ,"")</f>
        <v>2</v>
      </c>
      <c r="J3" s="6"/>
      <c r="K3" s="6" t="s">
        <v>38</v>
      </c>
      <c r="L3" s="7"/>
      <c r="M3" s="15">
        <f>COUNTIF(C2:C34, "Good")</f>
        <v>12</v>
      </c>
      <c r="N3" s="15">
        <f>COUNTIF(C2:C34, "Bad")+1</f>
        <v>22</v>
      </c>
      <c r="O3" s="14">
        <f>M3/(M3+N3)</f>
        <v>0.3529411765</v>
      </c>
      <c r="P3" s="14">
        <f>N3/(M3+N3)</f>
        <v>0.6470588235</v>
      </c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1">
        <v>44854.0</v>
      </c>
      <c r="B4" s="5" t="s">
        <v>41</v>
      </c>
      <c r="C4" s="5" t="str">
        <f>IFERROR(VLOOKUP(B4,'Overall Bean Summary'!A$2:B$36,2,FALSE),"")</f>
        <v>Bad</v>
      </c>
      <c r="D4" s="6">
        <f t="shared" si="1"/>
        <v>0</v>
      </c>
      <c r="E4" s="6">
        <f t="shared" si="2"/>
        <v>1</v>
      </c>
      <c r="F4" s="5">
        <f t="shared" si="3"/>
        <v>1</v>
      </c>
      <c r="G4" s="5">
        <f t="shared" si="4"/>
        <v>1</v>
      </c>
      <c r="H4" s="5">
        <f t="shared" si="5"/>
        <v>3</v>
      </c>
      <c r="I4" s="6">
        <f t="shared" si="6"/>
        <v>3</v>
      </c>
      <c r="J4" s="5"/>
      <c r="K4" s="5" t="s">
        <v>43</v>
      </c>
    </row>
    <row r="5">
      <c r="A5" s="1">
        <v>44855.0</v>
      </c>
      <c r="B5" s="5" t="s">
        <v>44</v>
      </c>
      <c r="C5" s="5" t="str">
        <f>IFERROR(VLOOKUP(B5,'Overall Bean Summary'!A$2:B$36,2,FALSE),"")</f>
        <v>Good</v>
      </c>
      <c r="D5" s="6">
        <f t="shared" si="1"/>
        <v>1</v>
      </c>
      <c r="E5" s="6">
        <f t="shared" si="2"/>
        <v>0</v>
      </c>
      <c r="F5" s="5">
        <f t="shared" si="3"/>
        <v>1</v>
      </c>
      <c r="G5" s="5">
        <f t="shared" si="4"/>
        <v>1</v>
      </c>
      <c r="H5" s="5">
        <f t="shared" si="5"/>
        <v>4</v>
      </c>
      <c r="I5" s="6">
        <f t="shared" si="6"/>
        <v>4</v>
      </c>
      <c r="J5" s="5"/>
      <c r="K5" s="5" t="s">
        <v>47</v>
      </c>
    </row>
    <row r="6">
      <c r="A6" s="1">
        <v>44858.0</v>
      </c>
      <c r="B6" s="5" t="s">
        <v>48</v>
      </c>
      <c r="C6" s="5" t="str">
        <f>IFERROR(VLOOKUP(B6,'Overall Bean Summary'!A$2:B$36,2,FALSE),"")</f>
        <v>Bad</v>
      </c>
      <c r="D6" s="6">
        <f t="shared" si="1"/>
        <v>0</v>
      </c>
      <c r="E6" s="6">
        <f t="shared" si="2"/>
        <v>1</v>
      </c>
      <c r="F6" s="5">
        <f t="shared" si="3"/>
        <v>1</v>
      </c>
      <c r="G6" s="5">
        <f t="shared" si="4"/>
        <v>1</v>
      </c>
      <c r="H6" s="5">
        <f t="shared" si="5"/>
        <v>5</v>
      </c>
      <c r="I6" s="6">
        <f t="shared" si="6"/>
        <v>5</v>
      </c>
      <c r="J6" s="5"/>
      <c r="K6" s="5" t="s">
        <v>50</v>
      </c>
    </row>
    <row r="7">
      <c r="A7" s="1">
        <v>44859.0</v>
      </c>
      <c r="B7" s="5" t="s">
        <v>51</v>
      </c>
      <c r="C7" s="5" t="str">
        <f>IFERROR(VLOOKUP(B7,'Overall Bean Summary'!A$2:B$36,2,FALSE),"")</f>
        <v>Bad</v>
      </c>
      <c r="D7" s="6">
        <f t="shared" si="1"/>
        <v>0</v>
      </c>
      <c r="E7" s="6">
        <f t="shared" si="2"/>
        <v>2</v>
      </c>
      <c r="F7" s="5">
        <f t="shared" si="3"/>
        <v>1</v>
      </c>
      <c r="G7" s="5">
        <f t="shared" si="4"/>
        <v>1</v>
      </c>
      <c r="H7" s="5">
        <f t="shared" si="5"/>
        <v>6</v>
      </c>
      <c r="I7" s="6">
        <f t="shared" si="6"/>
        <v>6</v>
      </c>
      <c r="J7" s="5"/>
      <c r="K7" s="5" t="s">
        <v>52</v>
      </c>
    </row>
    <row r="8">
      <c r="A8" s="1">
        <v>44860.0</v>
      </c>
      <c r="B8" s="5" t="s">
        <v>53</v>
      </c>
      <c r="C8" s="5" t="str">
        <f>IFERROR(VLOOKUP(B8,'Overall Bean Summary'!A$2:B$36,2,FALSE),"")</f>
        <v>Good</v>
      </c>
      <c r="D8" s="6">
        <f t="shared" si="1"/>
        <v>1</v>
      </c>
      <c r="E8" s="6">
        <f t="shared" si="2"/>
        <v>0</v>
      </c>
      <c r="F8" s="5">
        <f t="shared" si="3"/>
        <v>1</v>
      </c>
      <c r="G8" s="5">
        <f t="shared" si="4"/>
        <v>1</v>
      </c>
      <c r="H8" s="5">
        <f t="shared" si="5"/>
        <v>7</v>
      </c>
      <c r="I8" s="6">
        <f t="shared" si="6"/>
        <v>7</v>
      </c>
      <c r="J8" s="5"/>
      <c r="K8" s="5" t="s">
        <v>55</v>
      </c>
    </row>
    <row r="9">
      <c r="A9" s="1">
        <v>44861.0</v>
      </c>
      <c r="B9" s="5" t="s">
        <v>56</v>
      </c>
      <c r="C9" s="5" t="str">
        <f>IFERROR(VLOOKUP(B9,'Overall Bean Summary'!A$2:B$36,2,FALSE),"")</f>
        <v>Good</v>
      </c>
      <c r="D9" s="6">
        <f t="shared" si="1"/>
        <v>2</v>
      </c>
      <c r="E9" s="6">
        <f t="shared" si="2"/>
        <v>0</v>
      </c>
      <c r="F9" s="5">
        <f t="shared" si="3"/>
        <v>1</v>
      </c>
      <c r="G9" s="5">
        <f t="shared" si="4"/>
        <v>1</v>
      </c>
      <c r="H9" s="5">
        <f t="shared" si="5"/>
        <v>8</v>
      </c>
      <c r="I9" s="6">
        <f t="shared" si="6"/>
        <v>8</v>
      </c>
      <c r="J9" s="5"/>
      <c r="K9" s="5" t="s">
        <v>57</v>
      </c>
    </row>
    <row r="10">
      <c r="A10" s="22">
        <v>44862.0</v>
      </c>
      <c r="B10" s="5" t="s">
        <v>58</v>
      </c>
      <c r="C10" s="5" t="str">
        <f>IFERROR(VLOOKUP(B10,'Overall Bean Summary'!A$2:B$36,2,FALSE),"")</f>
        <v>Bad</v>
      </c>
      <c r="D10" s="6">
        <f t="shared" si="1"/>
        <v>0</v>
      </c>
      <c r="E10" s="6">
        <f t="shared" si="2"/>
        <v>1</v>
      </c>
      <c r="F10" s="5">
        <f t="shared" si="3"/>
        <v>1</v>
      </c>
      <c r="G10" s="5">
        <f t="shared" si="4"/>
        <v>1</v>
      </c>
      <c r="H10" s="5">
        <f t="shared" si="5"/>
        <v>9</v>
      </c>
      <c r="I10" s="6">
        <f t="shared" si="6"/>
        <v>9</v>
      </c>
      <c r="J10" s="5"/>
      <c r="K10" s="5" t="s">
        <v>60</v>
      </c>
    </row>
    <row r="11">
      <c r="A11" s="1">
        <v>44865.0</v>
      </c>
      <c r="B11" s="5" t="s">
        <v>56</v>
      </c>
      <c r="C11" s="5" t="str">
        <f>IFERROR(VLOOKUP(B11,'Overall Bean Summary'!A$2:B$36,2,FALSE),"")</f>
        <v>Good</v>
      </c>
      <c r="D11" s="6">
        <f t="shared" si="1"/>
        <v>1</v>
      </c>
      <c r="E11" s="6">
        <f t="shared" si="2"/>
        <v>0</v>
      </c>
      <c r="F11" s="5">
        <f t="shared" si="3"/>
        <v>1</v>
      </c>
      <c r="G11" s="5">
        <f t="shared" si="4"/>
        <v>1</v>
      </c>
      <c r="H11" s="5">
        <f t="shared" si="5"/>
        <v>10</v>
      </c>
      <c r="I11" s="6">
        <f t="shared" si="6"/>
        <v>10</v>
      </c>
      <c r="J11" s="5"/>
      <c r="K11" s="5" t="s">
        <v>62</v>
      </c>
    </row>
    <row r="12">
      <c r="A12" s="1">
        <v>44866.0</v>
      </c>
      <c r="B12" s="5" t="s">
        <v>63</v>
      </c>
      <c r="C12" s="5" t="str">
        <f>IFERROR(VLOOKUP(B12,'Overall Bean Summary'!A$2:B$36,2,FALSE),"")</f>
        <v>Bad</v>
      </c>
      <c r="D12" s="6">
        <f t="shared" si="1"/>
        <v>0</v>
      </c>
      <c r="E12" s="6">
        <f t="shared" si="2"/>
        <v>1</v>
      </c>
      <c r="F12" s="5">
        <f t="shared" si="3"/>
        <v>1</v>
      </c>
      <c r="G12" s="5">
        <f t="shared" si="4"/>
        <v>1</v>
      </c>
      <c r="H12" s="5">
        <f t="shared" si="5"/>
        <v>1</v>
      </c>
      <c r="I12" s="6">
        <f t="shared" si="6"/>
        <v>11</v>
      </c>
      <c r="J12" s="5"/>
      <c r="K12" s="5" t="s">
        <v>64</v>
      </c>
    </row>
    <row r="13">
      <c r="A13" s="1">
        <v>44867.0</v>
      </c>
      <c r="B13" s="5" t="s">
        <v>45</v>
      </c>
      <c r="C13" s="5" t="str">
        <f>IFERROR(VLOOKUP(B13,'Overall Bean Summary'!A$2:B$36,2,FALSE),"")</f>
        <v>Good</v>
      </c>
      <c r="D13" s="6">
        <f t="shared" si="1"/>
        <v>1</v>
      </c>
      <c r="E13" s="6">
        <f t="shared" si="2"/>
        <v>0</v>
      </c>
      <c r="F13" s="5">
        <f t="shared" si="3"/>
        <v>1</v>
      </c>
      <c r="G13" s="5">
        <f t="shared" si="4"/>
        <v>1</v>
      </c>
      <c r="H13" s="5">
        <f t="shared" si="5"/>
        <v>2</v>
      </c>
      <c r="I13" s="6">
        <f t="shared" si="6"/>
        <v>12</v>
      </c>
      <c r="J13" s="5"/>
      <c r="K13" s="5" t="s">
        <v>65</v>
      </c>
    </row>
    <row r="14">
      <c r="A14" s="1">
        <v>44868.0</v>
      </c>
      <c r="B14" s="5" t="s">
        <v>56</v>
      </c>
      <c r="C14" s="5" t="str">
        <f>IFERROR(VLOOKUP(B14,'Overall Bean Summary'!A$2:B$36,2,FALSE),"")</f>
        <v>Good</v>
      </c>
      <c r="D14" s="6">
        <f t="shared" si="1"/>
        <v>2</v>
      </c>
      <c r="E14" s="6">
        <f t="shared" si="2"/>
        <v>0</v>
      </c>
      <c r="F14" s="5">
        <f t="shared" si="3"/>
        <v>1</v>
      </c>
      <c r="G14" s="5">
        <f t="shared" si="4"/>
        <v>1</v>
      </c>
      <c r="H14" s="5">
        <f t="shared" si="5"/>
        <v>3</v>
      </c>
      <c r="I14" s="6">
        <f t="shared" si="6"/>
        <v>13</v>
      </c>
      <c r="J14" s="5"/>
      <c r="K14" s="5" t="s">
        <v>66</v>
      </c>
    </row>
    <row r="15">
      <c r="A15" s="1">
        <v>44869.0</v>
      </c>
      <c r="B15" s="5" t="s">
        <v>67</v>
      </c>
      <c r="C15" s="5" t="str">
        <f>IFERROR(VLOOKUP(B15,'Overall Bean Summary'!A$2:B$36,2,FALSE),"")</f>
        <v>Good</v>
      </c>
      <c r="D15" s="6">
        <f t="shared" si="1"/>
        <v>3</v>
      </c>
      <c r="E15" s="6">
        <f t="shared" si="2"/>
        <v>0</v>
      </c>
      <c r="F15" s="5">
        <f t="shared" si="3"/>
        <v>1</v>
      </c>
      <c r="G15" s="5">
        <f t="shared" si="4"/>
        <v>1</v>
      </c>
      <c r="H15" s="5">
        <f t="shared" si="5"/>
        <v>4</v>
      </c>
      <c r="I15" s="6">
        <f t="shared" si="6"/>
        <v>14</v>
      </c>
      <c r="J15" s="5"/>
      <c r="K15" s="5" t="s">
        <v>68</v>
      </c>
    </row>
    <row r="16">
      <c r="A16" s="1">
        <v>44872.0</v>
      </c>
      <c r="B16" s="5" t="s">
        <v>69</v>
      </c>
      <c r="C16" s="5" t="str">
        <f>IFERROR(VLOOKUP(B16,'Overall Bean Summary'!A$2:B$36,2,FALSE),"")</f>
        <v>Bad</v>
      </c>
      <c r="D16" s="6">
        <f t="shared" si="1"/>
        <v>0</v>
      </c>
      <c r="E16" s="6">
        <f t="shared" si="2"/>
        <v>1</v>
      </c>
      <c r="F16" s="5">
        <f t="shared" si="3"/>
        <v>1</v>
      </c>
      <c r="G16" s="5">
        <f t="shared" si="4"/>
        <v>1</v>
      </c>
      <c r="H16" s="5">
        <f t="shared" si="5"/>
        <v>5</v>
      </c>
      <c r="I16" s="6">
        <f t="shared" si="6"/>
        <v>15</v>
      </c>
      <c r="J16" s="5"/>
      <c r="K16" s="5" t="s">
        <v>70</v>
      </c>
    </row>
    <row r="17">
      <c r="A17" s="1">
        <v>44873.0</v>
      </c>
      <c r="B17" s="5" t="s">
        <v>34</v>
      </c>
      <c r="C17" s="5" t="str">
        <f>IFERROR(VLOOKUP(B17,'Overall Bean Summary'!A$2:B$36,2,FALSE),"")</f>
        <v>Good</v>
      </c>
      <c r="D17" s="6">
        <f t="shared" si="1"/>
        <v>1</v>
      </c>
      <c r="E17" s="6">
        <f t="shared" si="2"/>
        <v>0</v>
      </c>
      <c r="F17" s="5">
        <f t="shared" si="3"/>
        <v>1</v>
      </c>
      <c r="G17" s="5">
        <f t="shared" si="4"/>
        <v>1</v>
      </c>
      <c r="H17" s="5">
        <f t="shared" si="5"/>
        <v>6</v>
      </c>
      <c r="I17" s="6">
        <f t="shared" si="6"/>
        <v>16</v>
      </c>
      <c r="J17" s="5"/>
      <c r="K17" s="5" t="s">
        <v>71</v>
      </c>
    </row>
    <row r="18">
      <c r="A18" s="1">
        <v>44874.0</v>
      </c>
      <c r="B18" s="5" t="s">
        <v>72</v>
      </c>
      <c r="C18" s="5" t="str">
        <f>IFERROR(VLOOKUP(B18,'Overall Bean Summary'!A$2:B$36,2,FALSE),"")</f>
        <v>Bad</v>
      </c>
      <c r="D18" s="6">
        <f t="shared" si="1"/>
        <v>0</v>
      </c>
      <c r="E18" s="6">
        <f t="shared" si="2"/>
        <v>1</v>
      </c>
      <c r="F18" s="5">
        <f t="shared" si="3"/>
        <v>1</v>
      </c>
      <c r="G18" s="5">
        <f t="shared" si="4"/>
        <v>1</v>
      </c>
      <c r="H18" s="5">
        <f t="shared" si="5"/>
        <v>7</v>
      </c>
      <c r="I18" s="6">
        <f t="shared" si="6"/>
        <v>17</v>
      </c>
      <c r="J18" s="5"/>
      <c r="K18" s="5" t="s">
        <v>74</v>
      </c>
      <c r="L18" s="5" t="s">
        <v>75</v>
      </c>
      <c r="M18" s="5" t="s">
        <v>72</v>
      </c>
    </row>
    <row r="19">
      <c r="A19" s="22">
        <v>44875.0</v>
      </c>
      <c r="B19" s="5" t="s">
        <v>58</v>
      </c>
      <c r="C19" s="5" t="str">
        <f>IFERROR(VLOOKUP(B19,'Overall Bean Summary'!A$2:B$36,2,FALSE),"")</f>
        <v>Bad</v>
      </c>
      <c r="D19" s="6">
        <f t="shared" si="1"/>
        <v>0</v>
      </c>
      <c r="E19" s="6">
        <f t="shared" si="2"/>
        <v>2</v>
      </c>
      <c r="F19" s="5">
        <f t="shared" si="3"/>
        <v>1</v>
      </c>
      <c r="G19" s="5">
        <f t="shared" si="4"/>
        <v>1</v>
      </c>
      <c r="H19" s="5">
        <f t="shared" si="5"/>
        <v>8</v>
      </c>
      <c r="I19" s="6">
        <f t="shared" si="6"/>
        <v>18</v>
      </c>
      <c r="J19" s="5"/>
      <c r="K19" s="5" t="s">
        <v>76</v>
      </c>
    </row>
    <row r="20">
      <c r="A20" s="1">
        <v>44876.0</v>
      </c>
      <c r="B20" s="5" t="s">
        <v>51</v>
      </c>
      <c r="C20" s="5" t="str">
        <f>IFERROR(VLOOKUP(B20,'Overall Bean Summary'!A$2:B$36,2,FALSE),"")</f>
        <v>Bad</v>
      </c>
      <c r="D20" s="6">
        <f t="shared" si="1"/>
        <v>0</v>
      </c>
      <c r="E20" s="6">
        <f t="shared" si="2"/>
        <v>3</v>
      </c>
      <c r="F20" s="5">
        <f t="shared" si="3"/>
        <v>1</v>
      </c>
      <c r="G20" s="5">
        <f t="shared" si="4"/>
        <v>1</v>
      </c>
      <c r="H20" s="5">
        <f t="shared" si="5"/>
        <v>9</v>
      </c>
      <c r="I20" s="6">
        <f t="shared" si="6"/>
        <v>19</v>
      </c>
      <c r="J20" s="5"/>
      <c r="K20" s="5" t="s">
        <v>77</v>
      </c>
      <c r="M20" s="5" t="s">
        <v>78</v>
      </c>
    </row>
    <row r="21">
      <c r="A21" s="1">
        <v>44879.0</v>
      </c>
      <c r="B21" s="5" t="s">
        <v>59</v>
      </c>
      <c r="C21" s="5" t="str">
        <f>IFERROR(VLOOKUP(B21,'Overall Bean Summary'!A$2:B$36,2,FALSE),"")</f>
        <v>Good</v>
      </c>
      <c r="D21" s="6">
        <f t="shared" si="1"/>
        <v>1</v>
      </c>
      <c r="E21" s="6">
        <f t="shared" si="2"/>
        <v>0</v>
      </c>
      <c r="F21" s="5">
        <f t="shared" si="3"/>
        <v>1</v>
      </c>
      <c r="G21" s="5">
        <f t="shared" si="4"/>
        <v>1</v>
      </c>
      <c r="H21" s="5">
        <f t="shared" si="5"/>
        <v>10</v>
      </c>
      <c r="I21" s="6">
        <f t="shared" si="6"/>
        <v>20</v>
      </c>
      <c r="J21" s="5"/>
      <c r="K21" s="5" t="s">
        <v>79</v>
      </c>
    </row>
    <row r="22">
      <c r="A22" s="1">
        <v>44880.0</v>
      </c>
      <c r="B22" s="5" t="s">
        <v>80</v>
      </c>
      <c r="C22" s="5" t="str">
        <f>IFERROR(VLOOKUP(B22,'Overall Bean Summary'!A$2:B$36,2,FALSE),"")</f>
        <v>Bad</v>
      </c>
      <c r="D22" s="6">
        <f t="shared" si="1"/>
        <v>0</v>
      </c>
      <c r="E22" s="6">
        <f t="shared" si="2"/>
        <v>1</v>
      </c>
      <c r="F22" s="5">
        <f t="shared" si="3"/>
        <v>1</v>
      </c>
      <c r="G22" s="5">
        <f t="shared" si="4"/>
        <v>1</v>
      </c>
      <c r="H22" s="5">
        <f t="shared" si="5"/>
        <v>11</v>
      </c>
      <c r="I22" s="6">
        <f t="shared" si="6"/>
        <v>21</v>
      </c>
      <c r="J22" s="5"/>
      <c r="K22" s="5" t="s">
        <v>84</v>
      </c>
    </row>
    <row r="23">
      <c r="A23" s="1">
        <v>44881.0</v>
      </c>
      <c r="B23" s="5" t="s">
        <v>85</v>
      </c>
      <c r="C23" s="5" t="str">
        <f>IFERROR(VLOOKUP(B23,'Overall Bean Summary'!A$2:B$36,2,FALSE),"")</f>
        <v>Good</v>
      </c>
      <c r="D23" s="6">
        <f t="shared" si="1"/>
        <v>1</v>
      </c>
      <c r="E23" s="6">
        <f t="shared" si="2"/>
        <v>0</v>
      </c>
      <c r="F23" s="5">
        <f t="shared" si="3"/>
        <v>1</v>
      </c>
      <c r="G23" s="5">
        <f t="shared" si="4"/>
        <v>1</v>
      </c>
      <c r="H23" s="5">
        <f t="shared" si="5"/>
        <v>12</v>
      </c>
      <c r="I23" s="6">
        <f t="shared" si="6"/>
        <v>22</v>
      </c>
      <c r="J23" s="5"/>
      <c r="K23" s="5" t="s">
        <v>86</v>
      </c>
    </row>
    <row r="24">
      <c r="A24" s="1">
        <v>44882.0</v>
      </c>
      <c r="B24" s="5" t="s">
        <v>51</v>
      </c>
      <c r="C24" s="5" t="str">
        <f>IFERROR(VLOOKUP(B24,'Overall Bean Summary'!A$2:B$36,2,FALSE),"")</f>
        <v>Bad</v>
      </c>
      <c r="D24" s="6">
        <f t="shared" si="1"/>
        <v>0</v>
      </c>
      <c r="E24" s="6">
        <f t="shared" si="2"/>
        <v>1</v>
      </c>
      <c r="F24" s="5">
        <f t="shared" si="3"/>
        <v>1</v>
      </c>
      <c r="G24" s="5">
        <f t="shared" si="4"/>
        <v>1</v>
      </c>
      <c r="H24" s="5">
        <f t="shared" si="5"/>
        <v>13</v>
      </c>
      <c r="I24" s="6">
        <f t="shared" si="6"/>
        <v>23</v>
      </c>
      <c r="J24" s="5"/>
      <c r="K24" s="5" t="s">
        <v>87</v>
      </c>
    </row>
    <row r="25">
      <c r="A25" s="1">
        <v>44882.0</v>
      </c>
      <c r="B25" s="5" t="s">
        <v>85</v>
      </c>
      <c r="C25" s="5" t="str">
        <f>IFERROR(VLOOKUP(B25,'Overall Bean Summary'!A$2:B$36,2,FALSE),"")</f>
        <v>Good</v>
      </c>
      <c r="D25" s="6">
        <f t="shared" si="1"/>
        <v>1</v>
      </c>
      <c r="E25" s="6">
        <f t="shared" si="2"/>
        <v>0</v>
      </c>
      <c r="F25" s="5">
        <f t="shared" si="3"/>
        <v>1</v>
      </c>
      <c r="G25" s="5">
        <f t="shared" si="4"/>
        <v>2</v>
      </c>
      <c r="H25" s="5">
        <f t="shared" si="5"/>
        <v>14</v>
      </c>
      <c r="I25" s="6">
        <f t="shared" si="6"/>
        <v>24</v>
      </c>
      <c r="J25" s="5"/>
      <c r="K25" s="5" t="s">
        <v>87</v>
      </c>
    </row>
    <row r="26">
      <c r="A26" s="1">
        <v>44883.0</v>
      </c>
      <c r="B26" s="5" t="s">
        <v>80</v>
      </c>
      <c r="C26" s="5" t="str">
        <f>IFERROR(VLOOKUP(B26,'Overall Bean Summary'!A$2:B$36,2,FALSE),"")</f>
        <v>Bad</v>
      </c>
      <c r="D26" s="6">
        <f t="shared" si="1"/>
        <v>0</v>
      </c>
      <c r="E26" s="6">
        <f t="shared" si="2"/>
        <v>1</v>
      </c>
      <c r="F26" s="5">
        <f t="shared" si="3"/>
        <v>1</v>
      </c>
      <c r="G26" s="5">
        <f t="shared" si="4"/>
        <v>1</v>
      </c>
      <c r="H26" s="5">
        <f t="shared" si="5"/>
        <v>15</v>
      </c>
      <c r="I26" s="6">
        <f t="shared" si="6"/>
        <v>25</v>
      </c>
      <c r="J26" s="5"/>
      <c r="K26" s="5" t="s">
        <v>88</v>
      </c>
    </row>
    <row r="27">
      <c r="A27" s="1">
        <v>44886.0</v>
      </c>
      <c r="B27" s="5" t="s">
        <v>69</v>
      </c>
      <c r="C27" s="5" t="str">
        <f>IFERROR(VLOOKUP(B27,'Overall Bean Summary'!A$2:B$36,2,FALSE),"")</f>
        <v>Bad</v>
      </c>
      <c r="D27" s="6">
        <f t="shared" si="1"/>
        <v>0</v>
      </c>
      <c r="E27" s="6">
        <f t="shared" si="2"/>
        <v>2</v>
      </c>
      <c r="F27" s="5">
        <f t="shared" si="3"/>
        <v>1</v>
      </c>
      <c r="G27" s="5">
        <f t="shared" si="4"/>
        <v>1</v>
      </c>
      <c r="H27" s="5">
        <f t="shared" si="5"/>
        <v>16</v>
      </c>
      <c r="I27" s="6">
        <f t="shared" si="6"/>
        <v>26</v>
      </c>
      <c r="J27" s="5"/>
      <c r="K27" s="5" t="s">
        <v>90</v>
      </c>
    </row>
    <row r="28">
      <c r="A28" s="1">
        <v>44887.0</v>
      </c>
      <c r="B28" s="5" t="s">
        <v>14</v>
      </c>
      <c r="C28" s="5" t="str">
        <f>IFERROR(VLOOKUP(B28,'Overall Bean Summary'!A$2:B$36,2,FALSE),"")</f>
        <v>Bad</v>
      </c>
      <c r="D28" s="6">
        <f t="shared" si="1"/>
        <v>0</v>
      </c>
      <c r="E28" s="6">
        <f t="shared" si="2"/>
        <v>3</v>
      </c>
      <c r="F28" s="5">
        <f t="shared" si="3"/>
        <v>1</v>
      </c>
      <c r="G28" s="5">
        <f t="shared" si="4"/>
        <v>1</v>
      </c>
      <c r="H28" s="5">
        <f t="shared" si="5"/>
        <v>17</v>
      </c>
      <c r="I28" s="6">
        <f t="shared" si="6"/>
        <v>27</v>
      </c>
      <c r="J28" s="5"/>
      <c r="K28" s="5" t="s">
        <v>91</v>
      </c>
    </row>
    <row r="29">
      <c r="A29" s="1">
        <v>44888.0</v>
      </c>
      <c r="B29" s="5" t="s">
        <v>41</v>
      </c>
      <c r="C29" s="5" t="str">
        <f>IFERROR(VLOOKUP(B29,'Overall Bean Summary'!A$2:B$36,2,FALSE),"")</f>
        <v>Bad</v>
      </c>
      <c r="D29" s="6">
        <f t="shared" si="1"/>
        <v>0</v>
      </c>
      <c r="E29" s="6">
        <f t="shared" si="2"/>
        <v>4</v>
      </c>
      <c r="F29" s="5">
        <f t="shared" si="3"/>
        <v>1</v>
      </c>
      <c r="G29" s="5">
        <f t="shared" si="4"/>
        <v>1</v>
      </c>
      <c r="H29" s="5">
        <f t="shared" si="5"/>
        <v>18</v>
      </c>
      <c r="I29" s="6">
        <f t="shared" si="6"/>
        <v>28</v>
      </c>
      <c r="J29" s="5"/>
      <c r="K29" s="5" t="s">
        <v>92</v>
      </c>
    </row>
    <row r="30">
      <c r="A30" s="1">
        <v>44889.0</v>
      </c>
      <c r="B30" s="5" t="s">
        <v>48</v>
      </c>
      <c r="C30" s="5" t="str">
        <f>IFERROR(VLOOKUP(B30,'Overall Bean Summary'!A$2:B$36,2,FALSE),"")</f>
        <v>Bad</v>
      </c>
      <c r="D30" s="6">
        <f t="shared" si="1"/>
        <v>0</v>
      </c>
      <c r="E30" s="6">
        <f t="shared" si="2"/>
        <v>5</v>
      </c>
      <c r="F30" s="5">
        <f t="shared" si="3"/>
        <v>1</v>
      </c>
      <c r="G30" s="5">
        <f t="shared" si="4"/>
        <v>1</v>
      </c>
      <c r="H30" s="5">
        <f t="shared" si="5"/>
        <v>19</v>
      </c>
      <c r="I30" s="6">
        <f t="shared" si="6"/>
        <v>29</v>
      </c>
      <c r="J30" s="5"/>
      <c r="K30" s="5" t="s">
        <v>93</v>
      </c>
    </row>
    <row r="31">
      <c r="A31" s="1">
        <v>44890.0</v>
      </c>
      <c r="B31" s="5" t="s">
        <v>14</v>
      </c>
      <c r="C31" s="5" t="str">
        <f>IFERROR(VLOOKUP(B31,'Overall Bean Summary'!A$2:B$36,2,FALSE),"")</f>
        <v>Bad</v>
      </c>
      <c r="D31" s="6">
        <f t="shared" si="1"/>
        <v>0</v>
      </c>
      <c r="E31" s="6">
        <f t="shared" si="2"/>
        <v>6</v>
      </c>
      <c r="F31" s="5">
        <f t="shared" si="3"/>
        <v>1</v>
      </c>
      <c r="G31" s="5">
        <f t="shared" si="4"/>
        <v>1</v>
      </c>
      <c r="H31" s="5">
        <f t="shared" si="5"/>
        <v>20</v>
      </c>
      <c r="I31" s="6">
        <f t="shared" si="6"/>
        <v>30</v>
      </c>
      <c r="J31" s="5"/>
      <c r="K31" s="5" t="s">
        <v>94</v>
      </c>
    </row>
    <row r="32">
      <c r="A32" s="1">
        <v>44890.0</v>
      </c>
      <c r="B32" s="5" t="s">
        <v>14</v>
      </c>
      <c r="C32" s="5" t="str">
        <f>IFERROR(VLOOKUP(B32,'Overall Bean Summary'!A$2:B$36,2,FALSE),"")</f>
        <v>Bad</v>
      </c>
      <c r="D32" s="6">
        <f t="shared" si="1"/>
        <v>0</v>
      </c>
      <c r="E32" s="6">
        <f t="shared" si="2"/>
        <v>7</v>
      </c>
      <c r="F32" s="5">
        <f t="shared" si="3"/>
        <v>2</v>
      </c>
      <c r="G32" s="5">
        <f t="shared" si="4"/>
        <v>2</v>
      </c>
      <c r="H32" s="5">
        <f t="shared" si="5"/>
        <v>21</v>
      </c>
      <c r="I32" s="6">
        <f t="shared" si="6"/>
        <v>31</v>
      </c>
      <c r="J32" s="5"/>
      <c r="K32" s="5" t="s">
        <v>94</v>
      </c>
    </row>
    <row r="33">
      <c r="A33" s="1">
        <v>44893.0</v>
      </c>
      <c r="B33" s="5" t="s">
        <v>72</v>
      </c>
      <c r="C33" s="5" t="str">
        <f>IFERROR(VLOOKUP(B33,'Overall Bean Summary'!A$2:B$36,2,FALSE),"")</f>
        <v>Bad</v>
      </c>
      <c r="D33" s="6">
        <f t="shared" si="1"/>
        <v>0</v>
      </c>
      <c r="E33" s="6">
        <f t="shared" si="2"/>
        <v>8</v>
      </c>
      <c r="F33" s="5">
        <f t="shared" si="3"/>
        <v>1</v>
      </c>
      <c r="G33" s="5">
        <f t="shared" si="4"/>
        <v>1</v>
      </c>
      <c r="H33" s="5">
        <f t="shared" si="5"/>
        <v>22</v>
      </c>
      <c r="I33" s="6">
        <f t="shared" si="6"/>
        <v>32</v>
      </c>
      <c r="J33" s="5"/>
      <c r="K33" s="5" t="s">
        <v>97</v>
      </c>
    </row>
    <row r="34">
      <c r="A34" s="1">
        <v>44894.0</v>
      </c>
      <c r="B34" s="5" t="s">
        <v>14</v>
      </c>
      <c r="C34" s="5" t="str">
        <f>IFERROR(VLOOKUP(B34,'Overall Bean Summary'!A$2:B$36,2,FALSE),"")</f>
        <v>Bad</v>
      </c>
      <c r="D34" s="6">
        <f t="shared" si="1"/>
        <v>0</v>
      </c>
      <c r="E34" s="6">
        <f t="shared" si="2"/>
        <v>9</v>
      </c>
      <c r="F34" s="5">
        <f t="shared" si="3"/>
        <v>1</v>
      </c>
      <c r="G34" s="5">
        <f t="shared" si="4"/>
        <v>1</v>
      </c>
      <c r="H34" s="5">
        <f t="shared" si="5"/>
        <v>23</v>
      </c>
      <c r="I34" s="6">
        <f t="shared" si="6"/>
        <v>33</v>
      </c>
      <c r="J34" s="5"/>
      <c r="K34" s="5" t="s">
        <v>98</v>
      </c>
      <c r="M34" s="5" t="s">
        <v>16</v>
      </c>
      <c r="N34" s="5" t="s">
        <v>21</v>
      </c>
      <c r="O34" s="5" t="s">
        <v>16</v>
      </c>
      <c r="P34" s="5" t="s">
        <v>21</v>
      </c>
    </row>
    <row r="35">
      <c r="A35" s="1">
        <v>44896.0</v>
      </c>
      <c r="B35" s="5" t="s">
        <v>99</v>
      </c>
      <c r="C35" s="5" t="str">
        <f>IFERROR(VLOOKUP(B35,'Overall Bean Summary'!A$2:B$36,2,FALSE),"")</f>
        <v>Good</v>
      </c>
      <c r="D35" s="6">
        <f t="shared" si="1"/>
        <v>1</v>
      </c>
      <c r="E35" s="6">
        <f t="shared" si="2"/>
        <v>0</v>
      </c>
      <c r="F35" s="5">
        <f t="shared" si="3"/>
        <v>1</v>
      </c>
      <c r="G35" s="5">
        <f t="shared" si="4"/>
        <v>1</v>
      </c>
      <c r="H35" s="5">
        <f t="shared" si="5"/>
        <v>1</v>
      </c>
      <c r="I35" s="6">
        <f t="shared" si="6"/>
        <v>34</v>
      </c>
      <c r="J35" s="5"/>
      <c r="K35" s="5" t="s">
        <v>103</v>
      </c>
      <c r="L35" s="5" t="s">
        <v>104</v>
      </c>
      <c r="M35" s="24">
        <f>COUNTIF(C35:C113, "Good")</f>
        <v>19</v>
      </c>
      <c r="N35" s="24">
        <f>COUNTIF(C35:C113, "Bad")</f>
        <v>54</v>
      </c>
      <c r="O35" s="25">
        <f>M35/(M35+N35)</f>
        <v>0.2602739726</v>
      </c>
      <c r="P35" s="25">
        <f>N35/(M35+N35)</f>
        <v>0.7397260274</v>
      </c>
    </row>
    <row r="36">
      <c r="A36" s="1">
        <v>44897.0</v>
      </c>
      <c r="B36" s="5" t="s">
        <v>80</v>
      </c>
      <c r="C36" s="5" t="str">
        <f>IFERROR(VLOOKUP(B36,'Overall Bean Summary'!A$2:B$36,2,FALSE),"")</f>
        <v>Bad</v>
      </c>
      <c r="D36" s="6">
        <f t="shared" si="1"/>
        <v>0</v>
      </c>
      <c r="E36" s="6">
        <f t="shared" si="2"/>
        <v>1</v>
      </c>
      <c r="F36" s="5">
        <f t="shared" si="3"/>
        <v>1</v>
      </c>
      <c r="G36" s="5">
        <f t="shared" si="4"/>
        <v>1</v>
      </c>
      <c r="H36" s="5">
        <f t="shared" si="5"/>
        <v>2</v>
      </c>
      <c r="I36" s="6">
        <f t="shared" si="6"/>
        <v>35</v>
      </c>
      <c r="J36" s="5"/>
      <c r="K36" s="5" t="s">
        <v>105</v>
      </c>
    </row>
    <row r="37">
      <c r="A37" s="1">
        <v>44897.0</v>
      </c>
      <c r="B37" s="5" t="s">
        <v>95</v>
      </c>
      <c r="C37" s="5" t="str">
        <f>IFERROR(VLOOKUP(B37,'Overall Bean Summary'!A$2:B$36,2,FALSE),"")</f>
        <v>Good</v>
      </c>
      <c r="D37" s="6">
        <f t="shared" si="1"/>
        <v>1</v>
      </c>
      <c r="E37" s="6">
        <f t="shared" si="2"/>
        <v>0</v>
      </c>
      <c r="F37" s="5">
        <f t="shared" si="3"/>
        <v>1</v>
      </c>
      <c r="G37" s="5">
        <f t="shared" si="4"/>
        <v>2</v>
      </c>
      <c r="H37" s="5">
        <f t="shared" si="5"/>
        <v>3</v>
      </c>
      <c r="I37" s="6">
        <f t="shared" si="6"/>
        <v>36</v>
      </c>
      <c r="J37" s="5"/>
      <c r="K37" s="5" t="s">
        <v>106</v>
      </c>
    </row>
    <row r="38">
      <c r="A38" s="1">
        <v>44900.0</v>
      </c>
      <c r="B38" s="5" t="s">
        <v>14</v>
      </c>
      <c r="C38" s="5" t="str">
        <f>IFERROR(VLOOKUP(B38,'Overall Bean Summary'!A$2:B$36,2,FALSE),"")</f>
        <v>Bad</v>
      </c>
      <c r="D38" s="6">
        <f t="shared" si="1"/>
        <v>0</v>
      </c>
      <c r="E38" s="6">
        <f t="shared" si="2"/>
        <v>1</v>
      </c>
      <c r="F38" s="5">
        <f t="shared" si="3"/>
        <v>1</v>
      </c>
      <c r="G38" s="5">
        <f t="shared" si="4"/>
        <v>1</v>
      </c>
      <c r="H38" s="5">
        <f t="shared" si="5"/>
        <v>4</v>
      </c>
      <c r="I38" s="6">
        <f t="shared" si="6"/>
        <v>37</v>
      </c>
      <c r="J38" s="5"/>
      <c r="K38" s="5" t="s">
        <v>107</v>
      </c>
    </row>
    <row r="39">
      <c r="A39" s="1">
        <v>44900.0</v>
      </c>
      <c r="B39" s="5" t="s">
        <v>14</v>
      </c>
      <c r="C39" s="5" t="str">
        <f>IFERROR(VLOOKUP(B39,'Overall Bean Summary'!A$2:B$36,2,FALSE),"")</f>
        <v>Bad</v>
      </c>
      <c r="D39" s="6">
        <f t="shared" si="1"/>
        <v>0</v>
      </c>
      <c r="E39" s="6">
        <f t="shared" si="2"/>
        <v>2</v>
      </c>
      <c r="F39" s="5">
        <f t="shared" si="3"/>
        <v>2</v>
      </c>
      <c r="G39" s="5">
        <f t="shared" si="4"/>
        <v>2</v>
      </c>
      <c r="H39" s="5">
        <f t="shared" si="5"/>
        <v>5</v>
      </c>
      <c r="I39" s="6">
        <f t="shared" si="6"/>
        <v>38</v>
      </c>
      <c r="J39" s="5"/>
      <c r="K39" s="5" t="s">
        <v>107</v>
      </c>
    </row>
    <row r="40">
      <c r="A40" s="1">
        <v>44900.0</v>
      </c>
      <c r="B40" s="5" t="s">
        <v>14</v>
      </c>
      <c r="C40" s="5" t="str">
        <f>IFERROR(VLOOKUP(B40,'Overall Bean Summary'!A$2:B$36,2,FALSE),"")</f>
        <v>Bad</v>
      </c>
      <c r="D40" s="6">
        <f t="shared" si="1"/>
        <v>0</v>
      </c>
      <c r="E40" s="6">
        <f t="shared" si="2"/>
        <v>3</v>
      </c>
      <c r="F40" s="5">
        <f t="shared" si="3"/>
        <v>3</v>
      </c>
      <c r="G40" s="5">
        <f t="shared" si="4"/>
        <v>3</v>
      </c>
      <c r="H40" s="5">
        <f t="shared" si="5"/>
        <v>6</v>
      </c>
      <c r="I40" s="6">
        <f t="shared" si="6"/>
        <v>39</v>
      </c>
      <c r="J40" s="5"/>
      <c r="K40" s="5" t="s">
        <v>107</v>
      </c>
      <c r="M40" s="5" t="s">
        <v>108</v>
      </c>
    </row>
    <row r="41">
      <c r="A41" s="1">
        <v>44901.0</v>
      </c>
      <c r="B41" s="5" t="s">
        <v>95</v>
      </c>
      <c r="C41" s="5" t="str">
        <f>IFERROR(VLOOKUP(B41,'Overall Bean Summary'!A$2:B$36,2,FALSE),"")</f>
        <v>Good</v>
      </c>
      <c r="D41" s="6">
        <f t="shared" si="1"/>
        <v>1</v>
      </c>
      <c r="E41" s="6">
        <f t="shared" si="2"/>
        <v>0</v>
      </c>
      <c r="F41" s="5">
        <f t="shared" si="3"/>
        <v>1</v>
      </c>
      <c r="G41" s="5">
        <f t="shared" si="4"/>
        <v>1</v>
      </c>
      <c r="H41" s="5">
        <f t="shared" si="5"/>
        <v>7</v>
      </c>
      <c r="I41" s="6">
        <f t="shared" si="6"/>
        <v>40</v>
      </c>
      <c r="J41" s="5"/>
      <c r="K41" s="5" t="s">
        <v>109</v>
      </c>
      <c r="M41" s="5" t="s">
        <v>110</v>
      </c>
    </row>
    <row r="42">
      <c r="A42" s="1">
        <v>44901.0</v>
      </c>
      <c r="B42" s="5" t="s">
        <v>111</v>
      </c>
      <c r="C42" s="5" t="str">
        <f>IFERROR(VLOOKUP(B42,'Overall Bean Summary'!A$2:B$36,2,FALSE),"")</f>
        <v>Bad</v>
      </c>
      <c r="D42" s="6">
        <f t="shared" si="1"/>
        <v>0</v>
      </c>
      <c r="E42" s="6">
        <f t="shared" si="2"/>
        <v>1</v>
      </c>
      <c r="F42" s="5">
        <f t="shared" si="3"/>
        <v>1</v>
      </c>
      <c r="G42" s="5">
        <f t="shared" si="4"/>
        <v>2</v>
      </c>
      <c r="H42" s="5">
        <f t="shared" si="5"/>
        <v>8</v>
      </c>
      <c r="I42" s="6">
        <f t="shared" si="6"/>
        <v>41</v>
      </c>
      <c r="J42" s="5"/>
      <c r="K42" s="5" t="s">
        <v>109</v>
      </c>
      <c r="M42" s="5" t="s">
        <v>112</v>
      </c>
    </row>
    <row r="43">
      <c r="A43" s="1">
        <v>44901.0</v>
      </c>
      <c r="B43" s="5" t="s">
        <v>58</v>
      </c>
      <c r="C43" s="5" t="str">
        <f>IFERROR(VLOOKUP(B43,'Overall Bean Summary'!A$2:B$36,2,FALSE),"")</f>
        <v>Bad</v>
      </c>
      <c r="D43" s="6">
        <f t="shared" si="1"/>
        <v>0</v>
      </c>
      <c r="E43" s="6">
        <f t="shared" si="2"/>
        <v>2</v>
      </c>
      <c r="F43" s="5">
        <f t="shared" si="3"/>
        <v>1</v>
      </c>
      <c r="G43" s="5">
        <f t="shared" si="4"/>
        <v>3</v>
      </c>
      <c r="H43" s="5">
        <f t="shared" si="5"/>
        <v>9</v>
      </c>
      <c r="I43" s="6">
        <f t="shared" si="6"/>
        <v>42</v>
      </c>
      <c r="J43" s="5"/>
      <c r="K43" s="5" t="s">
        <v>109</v>
      </c>
    </row>
    <row r="44">
      <c r="A44" s="1">
        <v>44902.0</v>
      </c>
      <c r="B44" s="5" t="s">
        <v>14</v>
      </c>
      <c r="C44" s="5" t="str">
        <f>IFERROR(VLOOKUP(B44,'Overall Bean Summary'!A$2:B$36,2,FALSE),"")</f>
        <v>Bad</v>
      </c>
      <c r="D44" s="6">
        <f t="shared" si="1"/>
        <v>0</v>
      </c>
      <c r="E44" s="6">
        <f t="shared" si="2"/>
        <v>3</v>
      </c>
      <c r="F44" s="5">
        <f t="shared" si="3"/>
        <v>1</v>
      </c>
      <c r="G44" s="5">
        <f t="shared" si="4"/>
        <v>1</v>
      </c>
      <c r="H44" s="5">
        <f t="shared" si="5"/>
        <v>10</v>
      </c>
      <c r="I44" s="6">
        <f t="shared" si="6"/>
        <v>43</v>
      </c>
      <c r="J44" s="5"/>
      <c r="K44" s="5" t="s">
        <v>114</v>
      </c>
      <c r="M44" s="5" t="s">
        <v>115</v>
      </c>
    </row>
    <row r="45">
      <c r="A45" s="1">
        <v>44903.0</v>
      </c>
      <c r="B45" s="5" t="s">
        <v>45</v>
      </c>
      <c r="C45" s="5" t="str">
        <f>IFERROR(VLOOKUP(B45,'Overall Bean Summary'!A$2:B$36,2,FALSE),"")</f>
        <v>Good</v>
      </c>
      <c r="D45" s="6">
        <f t="shared" si="1"/>
        <v>1</v>
      </c>
      <c r="E45" s="6">
        <f t="shared" si="2"/>
        <v>0</v>
      </c>
      <c r="F45" s="5">
        <f t="shared" si="3"/>
        <v>1</v>
      </c>
      <c r="G45" s="5">
        <f t="shared" si="4"/>
        <v>1</v>
      </c>
      <c r="H45" s="5">
        <f t="shared" si="5"/>
        <v>11</v>
      </c>
      <c r="I45" s="6">
        <f t="shared" si="6"/>
        <v>44</v>
      </c>
      <c r="J45" s="5"/>
      <c r="K45" s="5" t="s">
        <v>116</v>
      </c>
    </row>
    <row r="46">
      <c r="A46" s="1">
        <v>44903.0</v>
      </c>
      <c r="B46" s="5" t="s">
        <v>63</v>
      </c>
      <c r="C46" s="5" t="str">
        <f>IFERROR(VLOOKUP(B46,'Overall Bean Summary'!A$2:B$36,2,FALSE),"")</f>
        <v>Bad</v>
      </c>
      <c r="D46" s="6">
        <f t="shared" si="1"/>
        <v>0</v>
      </c>
      <c r="E46" s="6">
        <f t="shared" si="2"/>
        <v>1</v>
      </c>
      <c r="F46" s="5">
        <f t="shared" si="3"/>
        <v>1</v>
      </c>
      <c r="G46" s="5">
        <f t="shared" si="4"/>
        <v>2</v>
      </c>
      <c r="H46" s="5">
        <f t="shared" si="5"/>
        <v>12</v>
      </c>
      <c r="I46" s="6">
        <f t="shared" si="6"/>
        <v>45</v>
      </c>
      <c r="J46" s="5"/>
      <c r="K46" s="5" t="s">
        <v>117</v>
      </c>
    </row>
    <row r="47">
      <c r="A47" s="1">
        <v>44904.0</v>
      </c>
      <c r="B47" s="5" t="s">
        <v>45</v>
      </c>
      <c r="C47" s="5" t="str">
        <f>IFERROR(VLOOKUP(B47,'Overall Bean Summary'!A$2:B$36,2,FALSE),"")</f>
        <v>Good</v>
      </c>
      <c r="D47" s="6">
        <f t="shared" si="1"/>
        <v>1</v>
      </c>
      <c r="E47" s="6">
        <f t="shared" si="2"/>
        <v>0</v>
      </c>
      <c r="F47" s="5">
        <f t="shared" si="3"/>
        <v>1</v>
      </c>
      <c r="G47" s="5">
        <f t="shared" si="4"/>
        <v>1</v>
      </c>
      <c r="H47" s="5">
        <f t="shared" si="5"/>
        <v>13</v>
      </c>
      <c r="I47" s="6">
        <f t="shared" si="6"/>
        <v>46</v>
      </c>
      <c r="J47" s="5"/>
      <c r="K47" s="5" t="s">
        <v>120</v>
      </c>
    </row>
    <row r="48">
      <c r="A48" s="1">
        <v>44907.0</v>
      </c>
      <c r="B48" s="5" t="s">
        <v>67</v>
      </c>
      <c r="C48" s="5" t="str">
        <f>IFERROR(VLOOKUP(B48,'Overall Bean Summary'!A$2:B$36,2,FALSE),"")</f>
        <v>Good</v>
      </c>
      <c r="D48" s="6">
        <f t="shared" si="1"/>
        <v>2</v>
      </c>
      <c r="E48" s="6">
        <f t="shared" si="2"/>
        <v>0</v>
      </c>
      <c r="F48" s="5">
        <f t="shared" si="3"/>
        <v>1</v>
      </c>
      <c r="G48" s="5">
        <f t="shared" si="4"/>
        <v>1</v>
      </c>
      <c r="H48" s="5">
        <f t="shared" si="5"/>
        <v>14</v>
      </c>
      <c r="I48" s="6">
        <f t="shared" si="6"/>
        <v>47</v>
      </c>
      <c r="J48" s="5"/>
      <c r="K48" s="5" t="s">
        <v>121</v>
      </c>
    </row>
    <row r="49">
      <c r="A49" s="1">
        <v>44908.0</v>
      </c>
      <c r="B49" s="5" t="s">
        <v>80</v>
      </c>
      <c r="C49" s="5" t="str">
        <f>IFERROR(VLOOKUP(B49,'Overall Bean Summary'!A$2:B$36,2,FALSE),"")</f>
        <v>Bad</v>
      </c>
      <c r="D49" s="6">
        <f t="shared" si="1"/>
        <v>0</v>
      </c>
      <c r="E49" s="6">
        <f t="shared" si="2"/>
        <v>1</v>
      </c>
      <c r="F49" s="5">
        <f t="shared" si="3"/>
        <v>1</v>
      </c>
      <c r="G49" s="5">
        <f t="shared" si="4"/>
        <v>1</v>
      </c>
      <c r="H49" s="5">
        <f t="shared" si="5"/>
        <v>15</v>
      </c>
      <c r="I49" s="6">
        <f t="shared" si="6"/>
        <v>48</v>
      </c>
      <c r="J49" s="5"/>
      <c r="K49" s="5" t="s">
        <v>123</v>
      </c>
    </row>
    <row r="50">
      <c r="A50" s="1">
        <v>44908.0</v>
      </c>
      <c r="B50" s="5" t="s">
        <v>58</v>
      </c>
      <c r="C50" s="5" t="str">
        <f>IFERROR(VLOOKUP(B50,'Overall Bean Summary'!A$2:B$36,2,FALSE),"")</f>
        <v>Bad</v>
      </c>
      <c r="D50" s="6">
        <f t="shared" si="1"/>
        <v>0</v>
      </c>
      <c r="E50" s="6">
        <f t="shared" si="2"/>
        <v>2</v>
      </c>
      <c r="F50" s="5">
        <f t="shared" si="3"/>
        <v>1</v>
      </c>
      <c r="G50" s="5">
        <f t="shared" si="4"/>
        <v>2</v>
      </c>
      <c r="H50" s="5">
        <f t="shared" si="5"/>
        <v>16</v>
      </c>
      <c r="I50" s="6">
        <f t="shared" si="6"/>
        <v>49</v>
      </c>
      <c r="J50" s="5"/>
      <c r="K50" s="5" t="s">
        <v>123</v>
      </c>
    </row>
    <row r="51">
      <c r="A51" s="1">
        <v>44909.0</v>
      </c>
      <c r="B51" s="5" t="s">
        <v>14</v>
      </c>
      <c r="C51" s="5" t="str">
        <f>IFERROR(VLOOKUP(B51,'Overall Bean Summary'!A$2:B$36,2,FALSE),"")</f>
        <v>Bad</v>
      </c>
      <c r="D51" s="6">
        <f t="shared" si="1"/>
        <v>0</v>
      </c>
      <c r="E51" s="6">
        <f t="shared" si="2"/>
        <v>3</v>
      </c>
      <c r="F51" s="5">
        <f t="shared" si="3"/>
        <v>1</v>
      </c>
      <c r="G51" s="5">
        <f t="shared" si="4"/>
        <v>1</v>
      </c>
      <c r="H51" s="5">
        <f t="shared" si="5"/>
        <v>17</v>
      </c>
      <c r="I51" s="6">
        <f t="shared" si="6"/>
        <v>50</v>
      </c>
      <c r="J51" s="5"/>
      <c r="K51" s="5" t="s">
        <v>126</v>
      </c>
    </row>
    <row r="52">
      <c r="A52" s="1">
        <v>44909.0</v>
      </c>
      <c r="B52" s="5" t="s">
        <v>53</v>
      </c>
      <c r="C52" s="5" t="str">
        <f>IFERROR(VLOOKUP(B52,'Overall Bean Summary'!A$2:B$36,2,FALSE),"")</f>
        <v>Good</v>
      </c>
      <c r="D52" s="6">
        <f t="shared" si="1"/>
        <v>1</v>
      </c>
      <c r="E52" s="6">
        <f t="shared" si="2"/>
        <v>0</v>
      </c>
      <c r="F52" s="5">
        <f t="shared" si="3"/>
        <v>1</v>
      </c>
      <c r="G52" s="5">
        <f t="shared" si="4"/>
        <v>2</v>
      </c>
      <c r="H52" s="5">
        <f t="shared" si="5"/>
        <v>18</v>
      </c>
      <c r="I52" s="6">
        <f t="shared" si="6"/>
        <v>51</v>
      </c>
      <c r="J52" s="5"/>
      <c r="K52" s="5" t="s">
        <v>126</v>
      </c>
    </row>
    <row r="53">
      <c r="A53" s="1">
        <v>44909.0</v>
      </c>
      <c r="B53" s="5" t="s">
        <v>14</v>
      </c>
      <c r="C53" s="5" t="str">
        <f>IFERROR(VLOOKUP(B53,'Overall Bean Summary'!A$2:B$36,2,FALSE),"")</f>
        <v>Bad</v>
      </c>
      <c r="D53" s="6">
        <f t="shared" si="1"/>
        <v>0</v>
      </c>
      <c r="E53" s="6">
        <f t="shared" si="2"/>
        <v>1</v>
      </c>
      <c r="F53" s="5">
        <f t="shared" si="3"/>
        <v>1</v>
      </c>
      <c r="G53" s="5">
        <f t="shared" si="4"/>
        <v>3</v>
      </c>
      <c r="H53" s="5">
        <f t="shared" si="5"/>
        <v>19</v>
      </c>
      <c r="I53" s="6">
        <f t="shared" si="6"/>
        <v>52</v>
      </c>
      <c r="J53" s="5"/>
      <c r="K53" s="5" t="s">
        <v>126</v>
      </c>
    </row>
    <row r="54">
      <c r="A54" s="1">
        <v>44910.0</v>
      </c>
      <c r="B54" s="5" t="s">
        <v>80</v>
      </c>
      <c r="C54" s="5" t="str">
        <f>IFERROR(VLOOKUP(B54,'Overall Bean Summary'!A$2:B$36,2,FALSE),"")</f>
        <v>Bad</v>
      </c>
      <c r="D54" s="6">
        <f t="shared" si="1"/>
        <v>0</v>
      </c>
      <c r="E54" s="6">
        <f t="shared" si="2"/>
        <v>2</v>
      </c>
      <c r="F54" s="5">
        <f t="shared" si="3"/>
        <v>1</v>
      </c>
      <c r="G54" s="5">
        <f t="shared" si="4"/>
        <v>1</v>
      </c>
      <c r="H54" s="5">
        <f t="shared" si="5"/>
        <v>20</v>
      </c>
      <c r="I54" s="6">
        <f t="shared" si="6"/>
        <v>53</v>
      </c>
      <c r="J54" s="5"/>
      <c r="K54" s="5" t="s">
        <v>130</v>
      </c>
    </row>
    <row r="55">
      <c r="A55" s="1">
        <v>44911.0</v>
      </c>
      <c r="B55" s="5" t="s">
        <v>45</v>
      </c>
      <c r="C55" s="5" t="str">
        <f>IFERROR(VLOOKUP(B55,'Overall Bean Summary'!A$2:B$36,2,FALSE),"")</f>
        <v>Good</v>
      </c>
      <c r="D55" s="6">
        <f t="shared" si="1"/>
        <v>1</v>
      </c>
      <c r="E55" s="6">
        <f t="shared" si="2"/>
        <v>0</v>
      </c>
      <c r="F55" s="5">
        <f t="shared" si="3"/>
        <v>1</v>
      </c>
      <c r="G55" s="5">
        <f t="shared" si="4"/>
        <v>1</v>
      </c>
      <c r="H55" s="5">
        <f t="shared" si="5"/>
        <v>21</v>
      </c>
      <c r="I55" s="6">
        <f t="shared" si="6"/>
        <v>54</v>
      </c>
      <c r="J55" s="5"/>
      <c r="K55" s="5" t="s">
        <v>131</v>
      </c>
    </row>
    <row r="56">
      <c r="A56" s="1">
        <v>44914.0</v>
      </c>
      <c r="B56" s="5" t="s">
        <v>58</v>
      </c>
      <c r="C56" s="5" t="str">
        <f>IFERROR(VLOOKUP(B56,'Overall Bean Summary'!A$2:B$36,2,FALSE),"")</f>
        <v>Bad</v>
      </c>
      <c r="D56" s="6">
        <f t="shared" si="1"/>
        <v>0</v>
      </c>
      <c r="E56" s="6">
        <f t="shared" si="2"/>
        <v>1</v>
      </c>
      <c r="F56" s="5">
        <f t="shared" si="3"/>
        <v>1</v>
      </c>
      <c r="G56" s="5">
        <f t="shared" si="4"/>
        <v>1</v>
      </c>
      <c r="H56" s="5">
        <f t="shared" si="5"/>
        <v>22</v>
      </c>
      <c r="I56" s="6">
        <f t="shared" si="6"/>
        <v>55</v>
      </c>
      <c r="J56" s="5"/>
      <c r="K56" s="5" t="s">
        <v>133</v>
      </c>
    </row>
    <row r="57">
      <c r="A57" s="1">
        <v>44915.0</v>
      </c>
      <c r="B57" s="5" t="s">
        <v>63</v>
      </c>
      <c r="C57" s="5" t="str">
        <f>IFERROR(VLOOKUP(B57,'Overall Bean Summary'!A$2:B$36,2,FALSE),"")</f>
        <v>Bad</v>
      </c>
      <c r="D57" s="6">
        <f t="shared" si="1"/>
        <v>0</v>
      </c>
      <c r="E57" s="6">
        <f t="shared" si="2"/>
        <v>2</v>
      </c>
      <c r="F57" s="5">
        <f t="shared" si="3"/>
        <v>1</v>
      </c>
      <c r="G57" s="5">
        <f t="shared" si="4"/>
        <v>1</v>
      </c>
      <c r="H57" s="6">
        <f t="shared" si="5"/>
        <v>23</v>
      </c>
      <c r="I57" s="6">
        <f t="shared" si="6"/>
        <v>56</v>
      </c>
      <c r="J57" s="5"/>
      <c r="K57" s="5" t="s">
        <v>135</v>
      </c>
    </row>
    <row r="58">
      <c r="A58" s="1">
        <v>44915.0</v>
      </c>
      <c r="B58" s="5" t="s">
        <v>63</v>
      </c>
      <c r="C58" s="5" t="str">
        <f>IFERROR(VLOOKUP(B58,'Overall Bean Summary'!A$2:B$36,2,FALSE),"")</f>
        <v>Bad</v>
      </c>
      <c r="D58" s="6">
        <f t="shared" si="1"/>
        <v>0</v>
      </c>
      <c r="E58" s="6">
        <f t="shared" si="2"/>
        <v>3</v>
      </c>
      <c r="F58" s="5">
        <f t="shared" si="3"/>
        <v>2</v>
      </c>
      <c r="G58" s="5">
        <f t="shared" si="4"/>
        <v>2</v>
      </c>
      <c r="H58" s="6">
        <f t="shared" si="5"/>
        <v>24</v>
      </c>
      <c r="I58" s="6">
        <f t="shared" si="6"/>
        <v>57</v>
      </c>
      <c r="J58" s="5"/>
      <c r="K58" s="5" t="s">
        <v>135</v>
      </c>
    </row>
    <row r="59">
      <c r="A59" s="1">
        <v>44915.0</v>
      </c>
      <c r="B59" s="5" t="s">
        <v>63</v>
      </c>
      <c r="C59" s="5" t="str">
        <f>IFERROR(VLOOKUP(B59,'Overall Bean Summary'!A$2:B$36,2,FALSE),"")</f>
        <v>Bad</v>
      </c>
      <c r="D59" s="6">
        <f t="shared" si="1"/>
        <v>0</v>
      </c>
      <c r="E59" s="6">
        <f t="shared" si="2"/>
        <v>4</v>
      </c>
      <c r="F59" s="5">
        <f t="shared" si="3"/>
        <v>3</v>
      </c>
      <c r="G59" s="5">
        <f t="shared" si="4"/>
        <v>3</v>
      </c>
      <c r="H59" s="6">
        <f t="shared" si="5"/>
        <v>25</v>
      </c>
      <c r="I59" s="6">
        <f t="shared" si="6"/>
        <v>58</v>
      </c>
      <c r="J59" s="5"/>
      <c r="K59" s="5" t="s">
        <v>135</v>
      </c>
    </row>
    <row r="60">
      <c r="A60" s="1">
        <v>44915.0</v>
      </c>
      <c r="B60" s="5" t="s">
        <v>63</v>
      </c>
      <c r="C60" s="5" t="str">
        <f>IFERROR(VLOOKUP(B60,'Overall Bean Summary'!A$2:B$36,2,FALSE),"")</f>
        <v>Bad</v>
      </c>
      <c r="D60" s="6">
        <f t="shared" si="1"/>
        <v>0</v>
      </c>
      <c r="E60" s="6">
        <f t="shared" si="2"/>
        <v>5</v>
      </c>
      <c r="F60" s="5">
        <f t="shared" si="3"/>
        <v>4</v>
      </c>
      <c r="G60" s="5">
        <f t="shared" si="4"/>
        <v>4</v>
      </c>
      <c r="H60" s="6">
        <f t="shared" si="5"/>
        <v>26</v>
      </c>
      <c r="I60" s="6">
        <f t="shared" si="6"/>
        <v>59</v>
      </c>
      <c r="J60" s="5"/>
      <c r="K60" s="5" t="s">
        <v>135</v>
      </c>
    </row>
    <row r="61">
      <c r="A61" s="1">
        <v>44915.0</v>
      </c>
      <c r="B61" s="5" t="s">
        <v>63</v>
      </c>
      <c r="C61" s="5" t="str">
        <f>IFERROR(VLOOKUP(B61,'Overall Bean Summary'!A$2:B$36,2,FALSE),"")</f>
        <v>Bad</v>
      </c>
      <c r="D61" s="6">
        <f t="shared" si="1"/>
        <v>0</v>
      </c>
      <c r="E61" s="6">
        <f t="shared" si="2"/>
        <v>6</v>
      </c>
      <c r="F61" s="5">
        <f t="shared" si="3"/>
        <v>5</v>
      </c>
      <c r="G61" s="5">
        <f t="shared" si="4"/>
        <v>5</v>
      </c>
      <c r="H61" s="6">
        <f t="shared" si="5"/>
        <v>27</v>
      </c>
      <c r="I61" s="6">
        <f t="shared" si="6"/>
        <v>60</v>
      </c>
      <c r="J61" s="5"/>
      <c r="K61" s="5" t="s">
        <v>135</v>
      </c>
    </row>
    <row r="62">
      <c r="A62" s="1">
        <v>44915.0</v>
      </c>
      <c r="B62" s="5" t="s">
        <v>63</v>
      </c>
      <c r="C62" s="5" t="str">
        <f>IFERROR(VLOOKUP(B62,'Overall Bean Summary'!A$2:B$36,2,FALSE),"")</f>
        <v>Bad</v>
      </c>
      <c r="D62" s="6">
        <f t="shared" si="1"/>
        <v>0</v>
      </c>
      <c r="E62" s="6">
        <f t="shared" si="2"/>
        <v>7</v>
      </c>
      <c r="F62" s="5">
        <f t="shared" si="3"/>
        <v>6</v>
      </c>
      <c r="G62" s="5">
        <f t="shared" si="4"/>
        <v>6</v>
      </c>
      <c r="H62" s="6">
        <f t="shared" si="5"/>
        <v>28</v>
      </c>
      <c r="I62" s="6">
        <f t="shared" si="6"/>
        <v>61</v>
      </c>
      <c r="J62" s="5"/>
      <c r="K62" s="5" t="s">
        <v>135</v>
      </c>
    </row>
    <row r="63">
      <c r="A63" s="1">
        <v>44915.0</v>
      </c>
      <c r="B63" s="5" t="s">
        <v>63</v>
      </c>
      <c r="C63" s="5" t="str">
        <f>IFERROR(VLOOKUP(B63,'Overall Bean Summary'!A$2:B$36,2,FALSE),"")</f>
        <v>Bad</v>
      </c>
      <c r="D63" s="6">
        <f t="shared" si="1"/>
        <v>0</v>
      </c>
      <c r="E63" s="6">
        <f t="shared" si="2"/>
        <v>8</v>
      </c>
      <c r="F63" s="5">
        <f t="shared" si="3"/>
        <v>7</v>
      </c>
      <c r="G63" s="5">
        <f t="shared" si="4"/>
        <v>7</v>
      </c>
      <c r="H63" s="6">
        <f t="shared" si="5"/>
        <v>29</v>
      </c>
      <c r="I63" s="6">
        <f t="shared" si="6"/>
        <v>62</v>
      </c>
      <c r="J63" s="5"/>
      <c r="K63" s="5" t="s">
        <v>135</v>
      </c>
    </row>
    <row r="64">
      <c r="A64" s="1">
        <v>44915.0</v>
      </c>
      <c r="B64" s="5" t="s">
        <v>139</v>
      </c>
      <c r="C64" s="5" t="str">
        <f>IFERROR(VLOOKUP(B64,'Overall Bean Summary'!A$2:B$36,2,FALSE),"")</f>
        <v>Spicy</v>
      </c>
      <c r="D64" s="6">
        <f t="shared" si="1"/>
        <v>0</v>
      </c>
      <c r="E64" s="6">
        <f t="shared" si="2"/>
        <v>8</v>
      </c>
      <c r="F64" s="5">
        <f t="shared" si="3"/>
        <v>1</v>
      </c>
      <c r="G64" s="5">
        <f t="shared" si="4"/>
        <v>8</v>
      </c>
      <c r="H64" s="6">
        <f t="shared" si="5"/>
        <v>30</v>
      </c>
      <c r="I64" s="6">
        <f t="shared" si="6"/>
        <v>63</v>
      </c>
      <c r="J64" s="5"/>
      <c r="K64" s="5" t="s">
        <v>142</v>
      </c>
      <c r="M64" s="5" t="s">
        <v>143</v>
      </c>
    </row>
    <row r="65">
      <c r="A65" s="1">
        <v>44916.0</v>
      </c>
      <c r="B65" s="5" t="s">
        <v>140</v>
      </c>
      <c r="C65" s="5" t="str">
        <f>IFERROR(VLOOKUP(B65,'Overall Bean Summary'!A$2:B$36,2,FALSE),"")</f>
        <v>Spicy</v>
      </c>
      <c r="D65" s="6">
        <f t="shared" si="1"/>
        <v>0</v>
      </c>
      <c r="E65" s="6">
        <f t="shared" si="2"/>
        <v>8</v>
      </c>
      <c r="F65" s="5">
        <f t="shared" si="3"/>
        <v>1</v>
      </c>
      <c r="G65" s="5">
        <f t="shared" si="4"/>
        <v>1</v>
      </c>
      <c r="H65" s="6">
        <f t="shared" si="5"/>
        <v>31</v>
      </c>
      <c r="I65" s="6">
        <f t="shared" si="6"/>
        <v>64</v>
      </c>
      <c r="J65" s="5"/>
      <c r="K65" s="5" t="s">
        <v>144</v>
      </c>
    </row>
    <row r="66">
      <c r="A66" s="1">
        <v>44916.0</v>
      </c>
      <c r="B66" s="5" t="s">
        <v>141</v>
      </c>
      <c r="C66" s="5" t="str">
        <f>IFERROR(VLOOKUP(B66,'Overall Bean Summary'!A$2:B$36,2,FALSE),"")</f>
        <v>Spicy</v>
      </c>
      <c r="D66" s="6">
        <f t="shared" si="1"/>
        <v>0</v>
      </c>
      <c r="E66" s="6">
        <f t="shared" si="2"/>
        <v>8</v>
      </c>
      <c r="F66" s="5">
        <f t="shared" si="3"/>
        <v>1</v>
      </c>
      <c r="G66" s="5">
        <f t="shared" si="4"/>
        <v>2</v>
      </c>
      <c r="H66" s="6">
        <f t="shared" si="5"/>
        <v>32</v>
      </c>
      <c r="I66" s="6">
        <f t="shared" si="6"/>
        <v>65</v>
      </c>
      <c r="J66" s="5"/>
      <c r="K66" s="5" t="s">
        <v>144</v>
      </c>
    </row>
    <row r="67">
      <c r="A67" s="1">
        <v>44916.0</v>
      </c>
      <c r="B67" s="5" t="s">
        <v>145</v>
      </c>
      <c r="C67" s="5" t="str">
        <f>IFERROR(VLOOKUP(B67,'Overall Bean Summary'!A$2:B$36,2,FALSE),"")</f>
        <v>Spicy</v>
      </c>
      <c r="D67" s="6">
        <f t="shared" si="1"/>
        <v>0</v>
      </c>
      <c r="E67" s="6">
        <f t="shared" si="2"/>
        <v>8</v>
      </c>
      <c r="F67" s="5">
        <f t="shared" si="3"/>
        <v>1</v>
      </c>
      <c r="G67" s="5">
        <f t="shared" si="4"/>
        <v>3</v>
      </c>
      <c r="H67" s="6">
        <f t="shared" si="5"/>
        <v>33</v>
      </c>
      <c r="I67" s="6">
        <f t="shared" si="6"/>
        <v>66</v>
      </c>
      <c r="J67" s="5"/>
      <c r="K67" s="5" t="s">
        <v>144</v>
      </c>
    </row>
    <row r="68">
      <c r="A68" s="1">
        <v>44917.0</v>
      </c>
      <c r="B68" s="5" t="s">
        <v>40</v>
      </c>
      <c r="C68" s="5" t="str">
        <f>IFERROR(VLOOKUP(B68,'Overall Bean Summary'!A$2:B$36,2,FALSE),"")</f>
        <v>Bad</v>
      </c>
      <c r="D68" s="6">
        <f t="shared" si="1"/>
        <v>0</v>
      </c>
      <c r="E68" s="6">
        <f t="shared" si="2"/>
        <v>9</v>
      </c>
      <c r="F68" s="5">
        <f t="shared" si="3"/>
        <v>1</v>
      </c>
      <c r="G68" s="5">
        <f t="shared" si="4"/>
        <v>1</v>
      </c>
      <c r="H68" s="6">
        <f t="shared" si="5"/>
        <v>34</v>
      </c>
      <c r="I68" s="6">
        <f t="shared" si="6"/>
        <v>67</v>
      </c>
      <c r="J68" s="5"/>
      <c r="K68" s="5" t="s">
        <v>147</v>
      </c>
    </row>
    <row r="69">
      <c r="A69" s="1">
        <v>44918.0</v>
      </c>
      <c r="B69" s="5" t="s">
        <v>145</v>
      </c>
      <c r="C69" s="5" t="str">
        <f>IFERROR(VLOOKUP(B69,'Overall Bean Summary'!A$2:B$36,2,FALSE),"")</f>
        <v>Spicy</v>
      </c>
      <c r="D69" s="6">
        <f t="shared" si="1"/>
        <v>0</v>
      </c>
      <c r="E69" s="6">
        <f t="shared" si="2"/>
        <v>9</v>
      </c>
      <c r="F69" s="5">
        <f t="shared" si="3"/>
        <v>1</v>
      </c>
      <c r="G69" s="5">
        <f t="shared" si="4"/>
        <v>1</v>
      </c>
      <c r="H69" s="6">
        <f t="shared" si="5"/>
        <v>35</v>
      </c>
      <c r="I69" s="6">
        <f t="shared" si="6"/>
        <v>68</v>
      </c>
      <c r="J69" s="5"/>
      <c r="K69" s="5" t="s">
        <v>148</v>
      </c>
    </row>
    <row r="70">
      <c r="A70" s="1">
        <v>44920.0</v>
      </c>
      <c r="B70" s="5" t="s">
        <v>48</v>
      </c>
      <c r="C70" s="5" t="str">
        <f>IFERROR(VLOOKUP(B70,'Overall Bean Summary'!A$2:B$36,2,FALSE),"")</f>
        <v>Bad</v>
      </c>
      <c r="D70" s="6">
        <f t="shared" si="1"/>
        <v>0</v>
      </c>
      <c r="E70" s="6">
        <f t="shared" si="2"/>
        <v>10</v>
      </c>
      <c r="F70" s="5">
        <f t="shared" si="3"/>
        <v>1</v>
      </c>
      <c r="G70" s="5">
        <f t="shared" si="4"/>
        <v>1</v>
      </c>
      <c r="H70" s="6">
        <f t="shared" si="5"/>
        <v>36</v>
      </c>
      <c r="I70" s="6">
        <f t="shared" si="6"/>
        <v>69</v>
      </c>
      <c r="J70" s="5"/>
      <c r="K70" s="5" t="s">
        <v>149</v>
      </c>
    </row>
    <row r="71">
      <c r="A71" s="3">
        <v>44929.0</v>
      </c>
      <c r="B71" s="6" t="s">
        <v>14</v>
      </c>
      <c r="C71" s="5" t="str">
        <f>IFERROR(VLOOKUP(B71,'Overall Bean Summary'!A$2:B$36,2,FALSE),"")</f>
        <v>Bad</v>
      </c>
      <c r="D71" s="6">
        <f t="shared" si="1"/>
        <v>0</v>
      </c>
      <c r="E71" s="6">
        <f t="shared" si="2"/>
        <v>11</v>
      </c>
      <c r="F71" s="5">
        <f t="shared" si="3"/>
        <v>1</v>
      </c>
      <c r="G71" s="5">
        <f t="shared" si="4"/>
        <v>1</v>
      </c>
      <c r="H71" s="6">
        <f t="shared" si="5"/>
        <v>1</v>
      </c>
      <c r="I71" s="6">
        <f t="shared" si="6"/>
        <v>1</v>
      </c>
      <c r="J71" s="6"/>
      <c r="K71" s="6" t="s">
        <v>150</v>
      </c>
    </row>
    <row r="72">
      <c r="A72" s="3">
        <v>44929.0</v>
      </c>
      <c r="B72" s="6" t="s">
        <v>14</v>
      </c>
      <c r="C72" s="5" t="str">
        <f>IFERROR(VLOOKUP(B72,'Overall Bean Summary'!A$2:B$36,2,FALSE),"")</f>
        <v>Bad</v>
      </c>
      <c r="D72" s="6">
        <f t="shared" si="1"/>
        <v>0</v>
      </c>
      <c r="E72" s="6">
        <f t="shared" si="2"/>
        <v>12</v>
      </c>
      <c r="F72" s="5">
        <f t="shared" si="3"/>
        <v>2</v>
      </c>
      <c r="G72" s="5">
        <f t="shared" si="4"/>
        <v>2</v>
      </c>
      <c r="H72" s="6">
        <f t="shared" si="5"/>
        <v>2</v>
      </c>
      <c r="I72" s="6">
        <f t="shared" si="6"/>
        <v>2</v>
      </c>
      <c r="J72" s="6"/>
      <c r="K72" s="6" t="s">
        <v>150</v>
      </c>
    </row>
    <row r="73">
      <c r="A73" s="3">
        <v>44929.0</v>
      </c>
      <c r="B73" s="6" t="s">
        <v>14</v>
      </c>
      <c r="C73" s="5" t="str">
        <f>IFERROR(VLOOKUP(B73,'Overall Bean Summary'!A$2:B$36,2,FALSE),"")</f>
        <v>Bad</v>
      </c>
      <c r="D73" s="6">
        <f t="shared" si="1"/>
        <v>0</v>
      </c>
      <c r="E73" s="6">
        <f t="shared" si="2"/>
        <v>13</v>
      </c>
      <c r="F73" s="5">
        <f t="shared" si="3"/>
        <v>3</v>
      </c>
      <c r="G73" s="5">
        <f t="shared" si="4"/>
        <v>3</v>
      </c>
      <c r="H73" s="6">
        <f t="shared" si="5"/>
        <v>3</v>
      </c>
      <c r="I73" s="6">
        <f t="shared" si="6"/>
        <v>3</v>
      </c>
      <c r="J73" s="6"/>
      <c r="K73" s="6" t="s">
        <v>150</v>
      </c>
    </row>
    <row r="74">
      <c r="A74" s="3">
        <v>44930.0</v>
      </c>
      <c r="B74" s="6" t="s">
        <v>145</v>
      </c>
      <c r="C74" s="5" t="str">
        <f>IFERROR(VLOOKUP(B74,'Overall Bean Summary'!A$2:B$36,2,FALSE),"")</f>
        <v>Spicy</v>
      </c>
      <c r="D74" s="6">
        <f t="shared" si="1"/>
        <v>0</v>
      </c>
      <c r="E74" s="6">
        <f t="shared" si="2"/>
        <v>13</v>
      </c>
      <c r="F74" s="5">
        <f t="shared" si="3"/>
        <v>1</v>
      </c>
      <c r="G74" s="5">
        <f t="shared" si="4"/>
        <v>1</v>
      </c>
      <c r="H74" s="6">
        <f t="shared" si="5"/>
        <v>4</v>
      </c>
      <c r="I74" s="6">
        <f t="shared" si="6"/>
        <v>4</v>
      </c>
      <c r="J74" s="6"/>
      <c r="K74" s="6" t="s">
        <v>151</v>
      </c>
    </row>
    <row r="75">
      <c r="A75" s="3">
        <v>44931.0</v>
      </c>
      <c r="B75" s="6" t="s">
        <v>40</v>
      </c>
      <c r="C75" s="5" t="str">
        <f>IFERROR(VLOOKUP(B75,'Overall Bean Summary'!A$2:B$36,2,FALSE),"")</f>
        <v>Bad</v>
      </c>
      <c r="D75" s="6">
        <f t="shared" si="1"/>
        <v>0</v>
      </c>
      <c r="E75" s="6">
        <f t="shared" si="2"/>
        <v>14</v>
      </c>
      <c r="F75" s="5">
        <f t="shared" si="3"/>
        <v>1</v>
      </c>
      <c r="G75" s="5">
        <f t="shared" si="4"/>
        <v>1</v>
      </c>
      <c r="H75" s="6">
        <f t="shared" si="5"/>
        <v>5</v>
      </c>
      <c r="I75" s="6">
        <f t="shared" si="6"/>
        <v>5</v>
      </c>
      <c r="J75" s="6"/>
      <c r="K75" s="6" t="s">
        <v>152</v>
      </c>
    </row>
    <row r="76">
      <c r="A76" s="3">
        <v>44931.0</v>
      </c>
      <c r="B76" s="6" t="s">
        <v>40</v>
      </c>
      <c r="C76" s="5" t="str">
        <f>IFERROR(VLOOKUP(B76,'Overall Bean Summary'!A$2:B$36,2,FALSE),"")</f>
        <v>Bad</v>
      </c>
      <c r="D76" s="6">
        <f t="shared" si="1"/>
        <v>0</v>
      </c>
      <c r="E76" s="6">
        <f t="shared" si="2"/>
        <v>15</v>
      </c>
      <c r="F76" s="5">
        <f t="shared" si="3"/>
        <v>2</v>
      </c>
      <c r="G76" s="5">
        <f t="shared" si="4"/>
        <v>2</v>
      </c>
      <c r="H76" s="6">
        <f t="shared" si="5"/>
        <v>6</v>
      </c>
      <c r="I76" s="6">
        <f t="shared" si="6"/>
        <v>6</v>
      </c>
      <c r="J76" s="6"/>
      <c r="K76" s="6" t="s">
        <v>152</v>
      </c>
    </row>
    <row r="77">
      <c r="A77" s="3">
        <v>44931.0</v>
      </c>
      <c r="B77" s="6" t="s">
        <v>40</v>
      </c>
      <c r="C77" s="5" t="str">
        <f>IFERROR(VLOOKUP(B77,'Overall Bean Summary'!A$2:B$36,2,FALSE),"")</f>
        <v>Bad</v>
      </c>
      <c r="D77" s="6">
        <f t="shared" si="1"/>
        <v>0</v>
      </c>
      <c r="E77" s="6">
        <f t="shared" si="2"/>
        <v>16</v>
      </c>
      <c r="F77" s="5">
        <f t="shared" si="3"/>
        <v>3</v>
      </c>
      <c r="G77" s="5">
        <f t="shared" si="4"/>
        <v>3</v>
      </c>
      <c r="H77" s="6">
        <f t="shared" si="5"/>
        <v>7</v>
      </c>
      <c r="I77" s="6">
        <f t="shared" si="6"/>
        <v>7</v>
      </c>
      <c r="J77" s="6"/>
      <c r="K77" s="6" t="s">
        <v>152</v>
      </c>
    </row>
    <row r="78">
      <c r="A78" s="3">
        <v>44931.0</v>
      </c>
      <c r="B78" s="6" t="s">
        <v>40</v>
      </c>
      <c r="C78" s="5" t="str">
        <f>IFERROR(VLOOKUP(B78,'Overall Bean Summary'!A$2:B$36,2,FALSE),"")</f>
        <v>Bad</v>
      </c>
      <c r="D78" s="6">
        <f t="shared" si="1"/>
        <v>0</v>
      </c>
      <c r="E78" s="6">
        <f t="shared" si="2"/>
        <v>17</v>
      </c>
      <c r="F78" s="5">
        <f t="shared" si="3"/>
        <v>4</v>
      </c>
      <c r="G78" s="5">
        <f t="shared" si="4"/>
        <v>4</v>
      </c>
      <c r="H78" s="6">
        <f t="shared" si="5"/>
        <v>8</v>
      </c>
      <c r="I78" s="6">
        <f t="shared" si="6"/>
        <v>8</v>
      </c>
      <c r="J78" s="6"/>
      <c r="K78" s="6" t="s">
        <v>152</v>
      </c>
    </row>
    <row r="79">
      <c r="A79" s="3">
        <v>44931.0</v>
      </c>
      <c r="B79" s="9" t="s">
        <v>40</v>
      </c>
      <c r="C79" s="5" t="str">
        <f>IFERROR(VLOOKUP(B79,'Overall Bean Summary'!A$2:B$36,2,FALSE),"")</f>
        <v>Bad</v>
      </c>
      <c r="D79" s="6">
        <f t="shared" si="1"/>
        <v>0</v>
      </c>
      <c r="E79" s="6">
        <f t="shared" si="2"/>
        <v>18</v>
      </c>
      <c r="F79" s="5">
        <f t="shared" si="3"/>
        <v>5</v>
      </c>
      <c r="G79" s="5">
        <f t="shared" si="4"/>
        <v>5</v>
      </c>
      <c r="H79" s="6">
        <f t="shared" si="5"/>
        <v>9</v>
      </c>
      <c r="I79" s="6">
        <f t="shared" si="6"/>
        <v>9</v>
      </c>
      <c r="J79" s="6"/>
      <c r="K79" s="6" t="s">
        <v>152</v>
      </c>
    </row>
    <row r="80">
      <c r="A80" s="3">
        <v>44931.0</v>
      </c>
      <c r="B80" s="9" t="s">
        <v>40</v>
      </c>
      <c r="C80" s="5" t="str">
        <f>IFERROR(VLOOKUP(B80,'Overall Bean Summary'!A$2:B$36,2,FALSE),"")</f>
        <v>Bad</v>
      </c>
      <c r="D80" s="6">
        <f t="shared" si="1"/>
        <v>0</v>
      </c>
      <c r="E80" s="6">
        <f t="shared" si="2"/>
        <v>19</v>
      </c>
      <c r="F80" s="5">
        <f t="shared" si="3"/>
        <v>6</v>
      </c>
      <c r="G80" s="5">
        <f t="shared" si="4"/>
        <v>6</v>
      </c>
      <c r="H80" s="6">
        <f t="shared" si="5"/>
        <v>10</v>
      </c>
      <c r="I80" s="6">
        <f t="shared" si="6"/>
        <v>10</v>
      </c>
      <c r="J80" s="6"/>
      <c r="K80" s="6" t="s">
        <v>152</v>
      </c>
    </row>
    <row r="81">
      <c r="A81" s="3">
        <v>44931.0</v>
      </c>
      <c r="B81" s="26" t="s">
        <v>40</v>
      </c>
      <c r="C81" s="5" t="str">
        <f>IFERROR(VLOOKUP(B81,'Overall Bean Summary'!A$2:B$36,2,FALSE),"")</f>
        <v>Bad</v>
      </c>
      <c r="D81" s="6">
        <f t="shared" si="1"/>
        <v>0</v>
      </c>
      <c r="E81" s="6">
        <f t="shared" si="2"/>
        <v>20</v>
      </c>
      <c r="F81" s="5">
        <f t="shared" si="3"/>
        <v>7</v>
      </c>
      <c r="G81" s="5">
        <f t="shared" si="4"/>
        <v>7</v>
      </c>
      <c r="H81" s="6">
        <f t="shared" si="5"/>
        <v>11</v>
      </c>
      <c r="I81" s="6">
        <f t="shared" si="6"/>
        <v>11</v>
      </c>
      <c r="J81" s="6"/>
      <c r="K81" s="6" t="s">
        <v>152</v>
      </c>
    </row>
    <row r="82">
      <c r="A82" s="3">
        <v>44931.0</v>
      </c>
      <c r="B82" s="6" t="s">
        <v>40</v>
      </c>
      <c r="C82" s="5" t="str">
        <f>IFERROR(VLOOKUP(B82,'Overall Bean Summary'!A$2:B$36,2,FALSE),"")</f>
        <v>Bad</v>
      </c>
      <c r="D82" s="6">
        <f t="shared" si="1"/>
        <v>0</v>
      </c>
      <c r="E82" s="6">
        <f t="shared" si="2"/>
        <v>21</v>
      </c>
      <c r="F82" s="5">
        <f t="shared" si="3"/>
        <v>8</v>
      </c>
      <c r="G82" s="5">
        <f t="shared" si="4"/>
        <v>8</v>
      </c>
      <c r="H82" s="6">
        <f t="shared" si="5"/>
        <v>12</v>
      </c>
      <c r="I82" s="6">
        <f t="shared" si="6"/>
        <v>12</v>
      </c>
      <c r="J82" s="6"/>
      <c r="K82" s="6" t="s">
        <v>152</v>
      </c>
    </row>
    <row r="83">
      <c r="A83" s="3">
        <v>44931.0</v>
      </c>
      <c r="B83" s="6" t="s">
        <v>41</v>
      </c>
      <c r="C83" s="5" t="str">
        <f>IFERROR(VLOOKUP(B83,'Overall Bean Summary'!A$2:B$36,2,FALSE),"")</f>
        <v>Bad</v>
      </c>
      <c r="D83" s="6">
        <f t="shared" si="1"/>
        <v>0</v>
      </c>
      <c r="E83" s="6">
        <f t="shared" si="2"/>
        <v>22</v>
      </c>
      <c r="F83" s="5">
        <f t="shared" si="3"/>
        <v>1</v>
      </c>
      <c r="G83" s="5">
        <f t="shared" si="4"/>
        <v>9</v>
      </c>
      <c r="H83" s="6">
        <f t="shared" si="5"/>
        <v>13</v>
      </c>
      <c r="I83" s="6">
        <f t="shared" si="6"/>
        <v>13</v>
      </c>
      <c r="J83" s="6"/>
      <c r="K83" s="6" t="s">
        <v>153</v>
      </c>
    </row>
    <row r="84">
      <c r="A84" s="3">
        <v>44935.0</v>
      </c>
      <c r="B84" s="6" t="s">
        <v>85</v>
      </c>
      <c r="C84" s="5" t="str">
        <f>IFERROR(VLOOKUP(B84,'Overall Bean Summary'!A$2:B$36,2,FALSE),"")</f>
        <v>Good</v>
      </c>
      <c r="D84" s="6">
        <f t="shared" si="1"/>
        <v>1</v>
      </c>
      <c r="E84" s="6">
        <f t="shared" si="2"/>
        <v>0</v>
      </c>
      <c r="F84" s="5">
        <f t="shared" si="3"/>
        <v>1</v>
      </c>
      <c r="G84" s="5">
        <f t="shared" si="4"/>
        <v>1</v>
      </c>
      <c r="H84" s="6">
        <f t="shared" si="5"/>
        <v>14</v>
      </c>
      <c r="I84" s="6">
        <f t="shared" si="6"/>
        <v>14</v>
      </c>
      <c r="J84" s="6"/>
      <c r="K84" s="6" t="s">
        <v>154</v>
      </c>
    </row>
    <row r="85">
      <c r="A85" s="3">
        <v>44936.0</v>
      </c>
      <c r="B85" s="6" t="s">
        <v>67</v>
      </c>
      <c r="C85" s="5" t="str">
        <f>IFERROR(VLOOKUP(B85,'Overall Bean Summary'!A$2:B$36,2,FALSE),"")</f>
        <v>Good</v>
      </c>
      <c r="D85" s="6">
        <f t="shared" si="1"/>
        <v>2</v>
      </c>
      <c r="E85" s="6">
        <f t="shared" si="2"/>
        <v>0</v>
      </c>
      <c r="F85" s="5">
        <f t="shared" si="3"/>
        <v>1</v>
      </c>
      <c r="G85" s="5">
        <f t="shared" si="4"/>
        <v>1</v>
      </c>
      <c r="H85" s="6">
        <f t="shared" si="5"/>
        <v>15</v>
      </c>
      <c r="I85" s="6">
        <f t="shared" si="6"/>
        <v>15</v>
      </c>
      <c r="J85" s="6"/>
      <c r="K85" s="6" t="s">
        <v>155</v>
      </c>
    </row>
    <row r="86">
      <c r="A86" s="3">
        <v>44937.0</v>
      </c>
      <c r="B86" s="9" t="s">
        <v>69</v>
      </c>
      <c r="C86" s="5" t="str">
        <f>IFERROR(VLOOKUP(B86,'Overall Bean Summary'!A$2:B$36,2,FALSE),"")</f>
        <v>Bad</v>
      </c>
      <c r="D86" s="6">
        <f t="shared" si="1"/>
        <v>0</v>
      </c>
      <c r="E86" s="6">
        <f t="shared" si="2"/>
        <v>1</v>
      </c>
      <c r="F86" s="5">
        <f t="shared" si="3"/>
        <v>1</v>
      </c>
      <c r="G86" s="5">
        <f t="shared" si="4"/>
        <v>1</v>
      </c>
      <c r="H86" s="6">
        <f t="shared" si="5"/>
        <v>16</v>
      </c>
      <c r="I86" s="6">
        <f t="shared" si="6"/>
        <v>16</v>
      </c>
      <c r="J86" s="6"/>
      <c r="K86" s="6" t="s">
        <v>156</v>
      </c>
    </row>
    <row r="87">
      <c r="A87" s="3">
        <v>44938.0</v>
      </c>
      <c r="B87" s="9" t="s">
        <v>48</v>
      </c>
      <c r="C87" s="5" t="str">
        <f>IFERROR(VLOOKUP(B87,'Overall Bean Summary'!A$2:B$36,2,FALSE),"")</f>
        <v>Bad</v>
      </c>
      <c r="D87" s="6">
        <f t="shared" si="1"/>
        <v>0</v>
      </c>
      <c r="E87" s="6">
        <f t="shared" si="2"/>
        <v>2</v>
      </c>
      <c r="F87" s="5">
        <f t="shared" si="3"/>
        <v>1</v>
      </c>
      <c r="G87" s="5">
        <f t="shared" si="4"/>
        <v>1</v>
      </c>
      <c r="H87" s="6">
        <f t="shared" si="5"/>
        <v>17</v>
      </c>
      <c r="I87" s="6">
        <f t="shared" si="6"/>
        <v>17</v>
      </c>
      <c r="J87" s="6"/>
      <c r="K87" s="6" t="s">
        <v>157</v>
      </c>
    </row>
    <row r="88">
      <c r="A88" s="3">
        <v>44939.0</v>
      </c>
      <c r="B88" s="9" t="s">
        <v>80</v>
      </c>
      <c r="C88" s="5" t="str">
        <f>IFERROR(VLOOKUP(B88,'Overall Bean Summary'!A$2:B$36,2,FALSE),"")</f>
        <v>Bad</v>
      </c>
      <c r="D88" s="6">
        <f t="shared" si="1"/>
        <v>0</v>
      </c>
      <c r="E88" s="6">
        <f t="shared" si="2"/>
        <v>3</v>
      </c>
      <c r="F88" s="5">
        <f t="shared" si="3"/>
        <v>1</v>
      </c>
      <c r="G88" s="5">
        <f t="shared" si="4"/>
        <v>1</v>
      </c>
      <c r="H88" s="6">
        <f t="shared" si="5"/>
        <v>18</v>
      </c>
      <c r="I88" s="6">
        <f t="shared" si="6"/>
        <v>18</v>
      </c>
      <c r="J88" s="6"/>
      <c r="K88" s="6" t="s">
        <v>158</v>
      </c>
    </row>
    <row r="89">
      <c r="A89" s="3">
        <v>44942.0</v>
      </c>
      <c r="B89" s="9" t="s">
        <v>51</v>
      </c>
      <c r="C89" s="5" t="str">
        <f>IFERROR(VLOOKUP(B89,'Overall Bean Summary'!A$2:B$36,2,FALSE),"")</f>
        <v>Bad</v>
      </c>
      <c r="D89" s="6">
        <f t="shared" si="1"/>
        <v>0</v>
      </c>
      <c r="E89" s="6">
        <f t="shared" si="2"/>
        <v>4</v>
      </c>
      <c r="F89" s="5">
        <f t="shared" si="3"/>
        <v>1</v>
      </c>
      <c r="G89" s="5">
        <f t="shared" si="4"/>
        <v>1</v>
      </c>
      <c r="H89" s="6">
        <f t="shared" si="5"/>
        <v>19</v>
      </c>
      <c r="I89" s="6">
        <f t="shared" si="6"/>
        <v>19</v>
      </c>
      <c r="J89" s="6"/>
      <c r="K89" s="6" t="s">
        <v>159</v>
      </c>
    </row>
    <row r="90">
      <c r="A90" s="3">
        <v>44943.0</v>
      </c>
      <c r="B90" s="9" t="s">
        <v>69</v>
      </c>
      <c r="C90" s="5" t="str">
        <f>IFERROR(VLOOKUP(B90,'Overall Bean Summary'!A$2:B$36,2,FALSE),"")</f>
        <v>Bad</v>
      </c>
      <c r="D90" s="6">
        <f t="shared" si="1"/>
        <v>0</v>
      </c>
      <c r="E90" s="6">
        <f t="shared" si="2"/>
        <v>5</v>
      </c>
      <c r="F90" s="5">
        <f t="shared" si="3"/>
        <v>1</v>
      </c>
      <c r="G90" s="5">
        <f t="shared" si="4"/>
        <v>1</v>
      </c>
      <c r="H90" s="6">
        <f t="shared" si="5"/>
        <v>20</v>
      </c>
      <c r="I90" s="6">
        <f t="shared" si="6"/>
        <v>20</v>
      </c>
      <c r="J90" s="6"/>
      <c r="K90" s="6" t="s">
        <v>160</v>
      </c>
    </row>
    <row r="91">
      <c r="A91" s="3">
        <v>44944.0</v>
      </c>
      <c r="B91" s="9" t="s">
        <v>14</v>
      </c>
      <c r="C91" s="5" t="str">
        <f>IFERROR(VLOOKUP(B91,'Overall Bean Summary'!A$2:B$36,2,FALSE),"")</f>
        <v>Bad</v>
      </c>
      <c r="D91" s="6">
        <f t="shared" si="1"/>
        <v>0</v>
      </c>
      <c r="E91" s="6">
        <f t="shared" si="2"/>
        <v>6</v>
      </c>
      <c r="F91" s="5">
        <f t="shared" si="3"/>
        <v>1</v>
      </c>
      <c r="G91" s="5">
        <f t="shared" si="4"/>
        <v>1</v>
      </c>
      <c r="H91" s="6">
        <f t="shared" si="5"/>
        <v>21</v>
      </c>
      <c r="I91" s="6">
        <f t="shared" si="6"/>
        <v>21</v>
      </c>
      <c r="J91" s="6"/>
      <c r="K91" s="6" t="s">
        <v>161</v>
      </c>
    </row>
    <row r="92">
      <c r="A92" s="3">
        <v>44945.0</v>
      </c>
      <c r="B92" s="9" t="s">
        <v>14</v>
      </c>
      <c r="C92" s="5" t="str">
        <f>IFERROR(VLOOKUP(B92,'Overall Bean Summary'!A$2:B$36,2,FALSE),"")</f>
        <v>Bad</v>
      </c>
      <c r="D92" s="6">
        <f t="shared" si="1"/>
        <v>0</v>
      </c>
      <c r="E92" s="6">
        <f t="shared" si="2"/>
        <v>7</v>
      </c>
      <c r="F92" s="5">
        <f t="shared" si="3"/>
        <v>2</v>
      </c>
      <c r="G92" s="5">
        <f t="shared" si="4"/>
        <v>1</v>
      </c>
      <c r="H92" s="6">
        <f t="shared" si="5"/>
        <v>22</v>
      </c>
      <c r="I92" s="6">
        <f t="shared" si="6"/>
        <v>22</v>
      </c>
      <c r="J92" s="6"/>
      <c r="K92" s="6" t="s">
        <v>162</v>
      </c>
    </row>
    <row r="93">
      <c r="A93" s="3">
        <v>44945.0</v>
      </c>
      <c r="B93" s="9" t="s">
        <v>67</v>
      </c>
      <c r="C93" s="5" t="str">
        <f>IFERROR(VLOOKUP(B93,'Overall Bean Summary'!A$2:B$36,2,FALSE),"")</f>
        <v>Good</v>
      </c>
      <c r="D93" s="6">
        <f t="shared" si="1"/>
        <v>1</v>
      </c>
      <c r="E93" s="6">
        <f t="shared" si="2"/>
        <v>0</v>
      </c>
      <c r="F93" s="5">
        <f t="shared" si="3"/>
        <v>1</v>
      </c>
      <c r="G93" s="5">
        <f t="shared" si="4"/>
        <v>2</v>
      </c>
      <c r="H93" s="6">
        <f t="shared" si="5"/>
        <v>23</v>
      </c>
      <c r="I93" s="6">
        <f t="shared" si="6"/>
        <v>23</v>
      </c>
      <c r="J93" s="6"/>
      <c r="K93" s="6" t="s">
        <v>163</v>
      </c>
      <c r="L93" s="5" t="s">
        <v>164</v>
      </c>
    </row>
    <row r="94">
      <c r="A94" s="3">
        <v>44945.0</v>
      </c>
      <c r="B94" s="9" t="s">
        <v>72</v>
      </c>
      <c r="C94" s="5" t="str">
        <f>IFERROR(VLOOKUP(B94,'Overall Bean Summary'!A$2:B$36,2,FALSE),"")</f>
        <v>Bad</v>
      </c>
      <c r="D94" s="6">
        <f t="shared" si="1"/>
        <v>0</v>
      </c>
      <c r="E94" s="6">
        <f t="shared" si="2"/>
        <v>1</v>
      </c>
      <c r="F94" s="5">
        <f t="shared" si="3"/>
        <v>1</v>
      </c>
      <c r="G94" s="5">
        <f t="shared" si="4"/>
        <v>3</v>
      </c>
      <c r="H94" s="6">
        <f t="shared" si="5"/>
        <v>24</v>
      </c>
      <c r="I94" s="6">
        <f t="shared" si="6"/>
        <v>24</v>
      </c>
      <c r="J94" s="6"/>
      <c r="K94" s="6" t="s">
        <v>163</v>
      </c>
      <c r="L94" s="5" t="s">
        <v>165</v>
      </c>
    </row>
    <row r="95">
      <c r="A95" s="3">
        <v>44946.0</v>
      </c>
      <c r="B95" s="9" t="s">
        <v>14</v>
      </c>
      <c r="C95" s="5" t="str">
        <f>IFERROR(VLOOKUP(B95,'Overall Bean Summary'!A$2:B$36,2,FALSE),"")</f>
        <v>Bad</v>
      </c>
      <c r="D95" s="6">
        <f t="shared" si="1"/>
        <v>0</v>
      </c>
      <c r="E95" s="6">
        <f t="shared" si="2"/>
        <v>2</v>
      </c>
      <c r="F95" s="5">
        <f t="shared" si="3"/>
        <v>1</v>
      </c>
      <c r="G95" s="5">
        <f t="shared" si="4"/>
        <v>1</v>
      </c>
      <c r="H95" s="6">
        <f t="shared" si="5"/>
        <v>25</v>
      </c>
      <c r="I95" s="6">
        <f t="shared" si="6"/>
        <v>25</v>
      </c>
      <c r="J95" s="6"/>
      <c r="K95" s="6" t="s">
        <v>166</v>
      </c>
    </row>
    <row r="96">
      <c r="A96" s="3">
        <v>44949.0</v>
      </c>
      <c r="B96" s="9" t="s">
        <v>59</v>
      </c>
      <c r="C96" s="5" t="str">
        <f>IFERROR(VLOOKUP(B96,'Overall Bean Summary'!A$2:B$36,2,FALSE),"")</f>
        <v>Good</v>
      </c>
      <c r="D96" s="6">
        <f t="shared" si="1"/>
        <v>1</v>
      </c>
      <c r="E96" s="6">
        <f t="shared" si="2"/>
        <v>0</v>
      </c>
      <c r="F96" s="5">
        <f t="shared" si="3"/>
        <v>1</v>
      </c>
      <c r="G96" s="5">
        <f t="shared" si="4"/>
        <v>1</v>
      </c>
      <c r="H96" s="6">
        <f t="shared" si="5"/>
        <v>26</v>
      </c>
      <c r="I96" s="6">
        <f t="shared" si="6"/>
        <v>26</v>
      </c>
      <c r="J96" s="6"/>
      <c r="K96" s="6" t="s">
        <v>167</v>
      </c>
    </row>
    <row r="97">
      <c r="A97" s="3">
        <v>44950.0</v>
      </c>
      <c r="B97" s="9" t="s">
        <v>14</v>
      </c>
      <c r="C97" s="5" t="str">
        <f>IFERROR(VLOOKUP(B97,'Overall Bean Summary'!A$2:B$36,2,FALSE),"")</f>
        <v>Bad</v>
      </c>
      <c r="D97" s="6">
        <f t="shared" si="1"/>
        <v>0</v>
      </c>
      <c r="E97" s="6">
        <f t="shared" si="2"/>
        <v>1</v>
      </c>
      <c r="F97" s="5">
        <f t="shared" si="3"/>
        <v>1</v>
      </c>
      <c r="G97" s="5">
        <f t="shared" si="4"/>
        <v>1</v>
      </c>
      <c r="H97" s="6">
        <f t="shared" si="5"/>
        <v>27</v>
      </c>
      <c r="I97" s="6">
        <f t="shared" si="6"/>
        <v>27</v>
      </c>
      <c r="J97" s="6"/>
      <c r="K97" s="6" t="s">
        <v>168</v>
      </c>
    </row>
    <row r="98">
      <c r="A98" s="3">
        <v>44950.0</v>
      </c>
      <c r="B98" s="9" t="s">
        <v>14</v>
      </c>
      <c r="C98" s="5" t="str">
        <f>IFERROR(VLOOKUP(B98,'Overall Bean Summary'!A$2:B$36,2,FALSE),"")</f>
        <v>Bad</v>
      </c>
      <c r="D98" s="6">
        <f t="shared" si="1"/>
        <v>0</v>
      </c>
      <c r="E98" s="6">
        <f t="shared" si="2"/>
        <v>2</v>
      </c>
      <c r="F98" s="5">
        <f t="shared" si="3"/>
        <v>2</v>
      </c>
      <c r="G98" s="5">
        <f t="shared" si="4"/>
        <v>2</v>
      </c>
      <c r="H98" s="6">
        <f t="shared" si="5"/>
        <v>28</v>
      </c>
      <c r="I98" s="6">
        <f t="shared" si="6"/>
        <v>28</v>
      </c>
      <c r="J98" s="6"/>
      <c r="K98" s="6" t="s">
        <v>168</v>
      </c>
    </row>
    <row r="99">
      <c r="A99" s="3">
        <v>44950.0</v>
      </c>
      <c r="B99" s="6" t="s">
        <v>53</v>
      </c>
      <c r="C99" s="5" t="str">
        <f>IFERROR(VLOOKUP(B99,'Overall Bean Summary'!A$2:B$36,2,FALSE),"")</f>
        <v>Good</v>
      </c>
      <c r="D99" s="6">
        <f t="shared" si="1"/>
        <v>1</v>
      </c>
      <c r="E99" s="6">
        <f t="shared" si="2"/>
        <v>0</v>
      </c>
      <c r="F99" s="5">
        <f t="shared" si="3"/>
        <v>1</v>
      </c>
      <c r="G99" s="5">
        <f t="shared" si="4"/>
        <v>3</v>
      </c>
      <c r="H99" s="6">
        <f t="shared" si="5"/>
        <v>29</v>
      </c>
      <c r="I99" s="6">
        <f t="shared" si="6"/>
        <v>29</v>
      </c>
      <c r="J99" s="6"/>
      <c r="K99" s="6" t="s">
        <v>168</v>
      </c>
    </row>
    <row r="100">
      <c r="A100" s="3">
        <v>44950.0</v>
      </c>
      <c r="B100" s="6" t="s">
        <v>58</v>
      </c>
      <c r="C100" s="5" t="str">
        <f>IFERROR(VLOOKUP(B100,'Overall Bean Summary'!A$2:B$36,2,FALSE),"")</f>
        <v>Bad</v>
      </c>
      <c r="D100" s="6">
        <f t="shared" si="1"/>
        <v>0</v>
      </c>
      <c r="E100" s="6">
        <f t="shared" si="2"/>
        <v>1</v>
      </c>
      <c r="F100" s="5">
        <f t="shared" si="3"/>
        <v>1</v>
      </c>
      <c r="G100" s="5">
        <f t="shared" si="4"/>
        <v>4</v>
      </c>
      <c r="H100" s="6">
        <f t="shared" si="5"/>
        <v>30</v>
      </c>
      <c r="I100" s="6">
        <f t="shared" si="6"/>
        <v>30</v>
      </c>
      <c r="J100" s="6"/>
      <c r="K100" s="6" t="s">
        <v>168</v>
      </c>
    </row>
    <row r="101">
      <c r="A101" s="3">
        <v>44951.0</v>
      </c>
      <c r="B101" s="6" t="s">
        <v>14</v>
      </c>
      <c r="C101" s="5" t="str">
        <f>IFERROR(VLOOKUP(B101,'Overall Bean Summary'!A$2:B$36,2,FALSE),"")</f>
        <v>Bad</v>
      </c>
      <c r="D101" s="6">
        <f t="shared" si="1"/>
        <v>0</v>
      </c>
      <c r="E101" s="6">
        <f t="shared" si="2"/>
        <v>2</v>
      </c>
      <c r="F101" s="5">
        <f t="shared" si="3"/>
        <v>1</v>
      </c>
      <c r="G101" s="5">
        <f t="shared" si="4"/>
        <v>1</v>
      </c>
      <c r="H101" s="6">
        <f t="shared" si="5"/>
        <v>31</v>
      </c>
      <c r="I101" s="6">
        <f t="shared" si="6"/>
        <v>31</v>
      </c>
      <c r="J101" s="6"/>
      <c r="K101" s="6" t="s">
        <v>169</v>
      </c>
    </row>
    <row r="102">
      <c r="A102" s="3">
        <v>44951.0</v>
      </c>
      <c r="B102" s="6" t="s">
        <v>14</v>
      </c>
      <c r="C102" s="5" t="str">
        <f>IFERROR(VLOOKUP(B102,'Overall Bean Summary'!A$2:B$36,2,FALSE),"")</f>
        <v>Bad</v>
      </c>
      <c r="D102" s="6">
        <f t="shared" si="1"/>
        <v>0</v>
      </c>
      <c r="E102" s="6">
        <f t="shared" si="2"/>
        <v>3</v>
      </c>
      <c r="F102" s="5">
        <f t="shared" si="3"/>
        <v>2</v>
      </c>
      <c r="G102" s="5">
        <f t="shared" si="4"/>
        <v>2</v>
      </c>
      <c r="H102" s="6">
        <f t="shared" si="5"/>
        <v>32</v>
      </c>
      <c r="I102" s="6">
        <f t="shared" si="6"/>
        <v>32</v>
      </c>
      <c r="J102" s="6"/>
      <c r="K102" s="6" t="s">
        <v>169</v>
      </c>
    </row>
    <row r="103">
      <c r="A103" s="3">
        <v>44951.0</v>
      </c>
      <c r="B103" s="6" t="s">
        <v>14</v>
      </c>
      <c r="C103" s="5" t="str">
        <f>IFERROR(VLOOKUP(B103,'Overall Bean Summary'!A$2:B$36,2,FALSE),"")</f>
        <v>Bad</v>
      </c>
      <c r="D103" s="6">
        <f t="shared" si="1"/>
        <v>0</v>
      </c>
      <c r="E103" s="6">
        <f t="shared" si="2"/>
        <v>4</v>
      </c>
      <c r="F103" s="5">
        <f t="shared" si="3"/>
        <v>3</v>
      </c>
      <c r="G103" s="5">
        <f t="shared" si="4"/>
        <v>3</v>
      </c>
      <c r="H103" s="6">
        <f t="shared" si="5"/>
        <v>33</v>
      </c>
      <c r="I103" s="6">
        <f t="shared" si="6"/>
        <v>33</v>
      </c>
      <c r="J103" s="6"/>
      <c r="K103" s="6" t="s">
        <v>169</v>
      </c>
    </row>
    <row r="104">
      <c r="A104" s="3">
        <v>44951.0</v>
      </c>
      <c r="B104" s="6" t="s">
        <v>14</v>
      </c>
      <c r="C104" s="5" t="str">
        <f>IFERROR(VLOOKUP(B104,'Overall Bean Summary'!A$2:B$36,2,FALSE),"")</f>
        <v>Bad</v>
      </c>
      <c r="D104" s="6">
        <f t="shared" si="1"/>
        <v>0</v>
      </c>
      <c r="E104" s="6">
        <f t="shared" si="2"/>
        <v>5</v>
      </c>
      <c r="F104" s="5">
        <f t="shared" si="3"/>
        <v>4</v>
      </c>
      <c r="G104" s="5">
        <f t="shared" si="4"/>
        <v>4</v>
      </c>
      <c r="H104" s="6">
        <f t="shared" si="5"/>
        <v>34</v>
      </c>
      <c r="I104" s="6">
        <f t="shared" si="6"/>
        <v>34</v>
      </c>
      <c r="J104" s="6"/>
      <c r="K104" s="6" t="s">
        <v>169</v>
      </c>
    </row>
    <row r="105">
      <c r="A105" s="3">
        <v>44951.0</v>
      </c>
      <c r="B105" s="6" t="s">
        <v>14</v>
      </c>
      <c r="C105" s="5" t="str">
        <f>IFERROR(VLOOKUP(B105,'Overall Bean Summary'!A$2:B$36,2,FALSE),"")</f>
        <v>Bad</v>
      </c>
      <c r="D105" s="6">
        <f t="shared" si="1"/>
        <v>0</v>
      </c>
      <c r="E105" s="6">
        <f t="shared" si="2"/>
        <v>6</v>
      </c>
      <c r="F105" s="5">
        <f t="shared" si="3"/>
        <v>5</v>
      </c>
      <c r="G105" s="5">
        <f t="shared" si="4"/>
        <v>5</v>
      </c>
      <c r="H105" s="6">
        <f t="shared" si="5"/>
        <v>35</v>
      </c>
      <c r="I105" s="6">
        <f t="shared" si="6"/>
        <v>35</v>
      </c>
      <c r="J105" s="6"/>
      <c r="K105" s="6" t="s">
        <v>169</v>
      </c>
    </row>
    <row r="106">
      <c r="A106" s="3">
        <v>44951.0</v>
      </c>
      <c r="B106" s="6" t="s">
        <v>53</v>
      </c>
      <c r="C106" s="5" t="str">
        <f>IFERROR(VLOOKUP(B106,'Overall Bean Summary'!A$2:B$36,2,FALSE),"")</f>
        <v>Good</v>
      </c>
      <c r="D106" s="6">
        <f t="shared" si="1"/>
        <v>1</v>
      </c>
      <c r="E106" s="6">
        <f t="shared" si="2"/>
        <v>0</v>
      </c>
      <c r="F106" s="5">
        <f t="shared" si="3"/>
        <v>1</v>
      </c>
      <c r="G106" s="5">
        <f t="shared" si="4"/>
        <v>6</v>
      </c>
      <c r="H106" s="6">
        <f t="shared" si="5"/>
        <v>36</v>
      </c>
      <c r="I106" s="6">
        <f t="shared" si="6"/>
        <v>36</v>
      </c>
      <c r="J106" s="6"/>
      <c r="K106" s="6" t="s">
        <v>169</v>
      </c>
    </row>
    <row r="107">
      <c r="A107" s="3">
        <v>44956.0</v>
      </c>
      <c r="B107" s="6" t="s">
        <v>56</v>
      </c>
      <c r="C107" s="5" t="str">
        <f>IFERROR(VLOOKUP(B107,'Overall Bean Summary'!A$2:B$36,2,FALSE),"")</f>
        <v>Good</v>
      </c>
      <c r="D107" s="6">
        <f t="shared" si="1"/>
        <v>2</v>
      </c>
      <c r="E107" s="6">
        <f t="shared" si="2"/>
        <v>0</v>
      </c>
      <c r="F107" s="5">
        <f t="shared" si="3"/>
        <v>1</v>
      </c>
      <c r="G107" s="5">
        <f t="shared" si="4"/>
        <v>1</v>
      </c>
      <c r="H107" s="6">
        <f t="shared" si="5"/>
        <v>37</v>
      </c>
      <c r="I107" s="6">
        <f t="shared" si="6"/>
        <v>37</v>
      </c>
      <c r="J107" s="6"/>
      <c r="K107" s="6" t="s">
        <v>170</v>
      </c>
    </row>
    <row r="108">
      <c r="A108" s="3">
        <v>44957.0</v>
      </c>
      <c r="B108" s="6" t="s">
        <v>85</v>
      </c>
      <c r="C108" s="5" t="str">
        <f>IFERROR(VLOOKUP(B108,'Overall Bean Summary'!A$2:B$36,2,FALSE),"")</f>
        <v>Good</v>
      </c>
      <c r="D108" s="6">
        <f t="shared" si="1"/>
        <v>3</v>
      </c>
      <c r="E108" s="6">
        <f t="shared" si="2"/>
        <v>0</v>
      </c>
      <c r="F108" s="5">
        <f t="shared" si="3"/>
        <v>1</v>
      </c>
      <c r="G108" s="5">
        <f t="shared" si="4"/>
        <v>1</v>
      </c>
      <c r="H108" s="6">
        <f t="shared" si="5"/>
        <v>38</v>
      </c>
      <c r="I108" s="6">
        <f t="shared" si="6"/>
        <v>38</v>
      </c>
      <c r="J108" s="6"/>
      <c r="K108" s="6" t="s">
        <v>171</v>
      </c>
    </row>
    <row r="109">
      <c r="A109" s="3">
        <v>44957.0</v>
      </c>
      <c r="B109" s="6" t="s">
        <v>51</v>
      </c>
      <c r="C109" s="5" t="str">
        <f>IFERROR(VLOOKUP(B109,'Overall Bean Summary'!A$2:B$36,2,FALSE),"")</f>
        <v>Bad</v>
      </c>
      <c r="D109" s="6">
        <f t="shared" si="1"/>
        <v>0</v>
      </c>
      <c r="E109" s="6">
        <f t="shared" si="2"/>
        <v>1</v>
      </c>
      <c r="F109" s="5">
        <f t="shared" si="3"/>
        <v>1</v>
      </c>
      <c r="G109" s="5">
        <f t="shared" si="4"/>
        <v>2</v>
      </c>
      <c r="H109" s="6">
        <f t="shared" si="5"/>
        <v>39</v>
      </c>
      <c r="I109" s="6">
        <f t="shared" si="6"/>
        <v>39</v>
      </c>
      <c r="J109" s="6"/>
      <c r="K109" s="6" t="s">
        <v>171</v>
      </c>
    </row>
    <row r="110">
      <c r="A110" s="3">
        <v>44957.0</v>
      </c>
      <c r="B110" s="6" t="s">
        <v>45</v>
      </c>
      <c r="C110" s="5" t="str">
        <f>IFERROR(VLOOKUP(B110,'Overall Bean Summary'!A$2:B$36,2,FALSE),"")</f>
        <v>Good</v>
      </c>
      <c r="D110" s="6">
        <f t="shared" si="1"/>
        <v>1</v>
      </c>
      <c r="E110" s="6">
        <f t="shared" si="2"/>
        <v>0</v>
      </c>
      <c r="F110" s="5">
        <f t="shared" si="3"/>
        <v>1</v>
      </c>
      <c r="G110" s="5">
        <f t="shared" si="4"/>
        <v>3</v>
      </c>
      <c r="H110" s="6">
        <f t="shared" si="5"/>
        <v>40</v>
      </c>
      <c r="I110" s="6">
        <f t="shared" si="6"/>
        <v>40</v>
      </c>
      <c r="J110" s="6"/>
      <c r="K110" s="6" t="s">
        <v>171</v>
      </c>
    </row>
    <row r="111">
      <c r="A111" s="3">
        <v>44957.0</v>
      </c>
      <c r="B111" s="6" t="s">
        <v>51</v>
      </c>
      <c r="C111" s="5" t="str">
        <f>IFERROR(VLOOKUP(B111,'Overall Bean Summary'!A$2:B$36,2,FALSE),"")</f>
        <v>Bad</v>
      </c>
      <c r="D111" s="6">
        <f t="shared" si="1"/>
        <v>0</v>
      </c>
      <c r="E111" s="6">
        <f t="shared" si="2"/>
        <v>1</v>
      </c>
      <c r="F111" s="5">
        <f t="shared" si="3"/>
        <v>1</v>
      </c>
      <c r="G111" s="5">
        <f t="shared" si="4"/>
        <v>4</v>
      </c>
      <c r="H111" s="6">
        <f t="shared" si="5"/>
        <v>41</v>
      </c>
      <c r="I111" s="6">
        <f t="shared" si="6"/>
        <v>41</v>
      </c>
      <c r="J111" s="6"/>
      <c r="K111" s="6" t="s">
        <v>171</v>
      </c>
    </row>
    <row r="112">
      <c r="A112" s="3">
        <v>44957.0</v>
      </c>
      <c r="B112" s="6" t="s">
        <v>67</v>
      </c>
      <c r="C112" s="5" t="str">
        <f>IFERROR(VLOOKUP(B112,'Overall Bean Summary'!A$2:B$36,2,FALSE),"")</f>
        <v>Good</v>
      </c>
      <c r="D112" s="6">
        <f t="shared" si="1"/>
        <v>1</v>
      </c>
      <c r="E112" s="6">
        <f t="shared" si="2"/>
        <v>0</v>
      </c>
      <c r="F112" s="5">
        <f t="shared" si="3"/>
        <v>1</v>
      </c>
      <c r="G112" s="5">
        <f t="shared" si="4"/>
        <v>5</v>
      </c>
      <c r="H112" s="6">
        <f t="shared" si="5"/>
        <v>42</v>
      </c>
      <c r="I112" s="6">
        <f t="shared" si="6"/>
        <v>42</v>
      </c>
      <c r="J112" s="6"/>
      <c r="K112" s="6" t="s">
        <v>171</v>
      </c>
    </row>
    <row r="113">
      <c r="A113" s="3">
        <v>44957.0</v>
      </c>
      <c r="B113" s="6" t="s">
        <v>45</v>
      </c>
      <c r="C113" s="5" t="str">
        <f>IFERROR(VLOOKUP(B113,'Overall Bean Summary'!A$2:B$36,2,FALSE),"")</f>
        <v>Good</v>
      </c>
      <c r="D113" s="6">
        <f t="shared" si="1"/>
        <v>2</v>
      </c>
      <c r="E113" s="6">
        <f t="shared" si="2"/>
        <v>0</v>
      </c>
      <c r="F113" s="5">
        <f t="shared" si="3"/>
        <v>1</v>
      </c>
      <c r="G113" s="5">
        <f t="shared" si="4"/>
        <v>6</v>
      </c>
      <c r="H113" s="6">
        <f t="shared" si="5"/>
        <v>43</v>
      </c>
      <c r="I113" s="6">
        <f t="shared" si="6"/>
        <v>43</v>
      </c>
      <c r="J113" s="6"/>
      <c r="K113" s="6" t="s">
        <v>171</v>
      </c>
      <c r="M113" s="5" t="s">
        <v>16</v>
      </c>
      <c r="N113" s="5" t="s">
        <v>21</v>
      </c>
      <c r="O113" s="5" t="s">
        <v>16</v>
      </c>
      <c r="P113" s="5" t="s">
        <v>21</v>
      </c>
    </row>
    <row r="114">
      <c r="A114" s="3">
        <v>44986.0</v>
      </c>
      <c r="B114" s="6" t="s">
        <v>122</v>
      </c>
      <c r="C114" s="5" t="str">
        <f>IFERROR(VLOOKUP(B114,'Overall Bean Summary'!A$2:B$36,2,FALSE),"")</f>
        <v>Bad</v>
      </c>
      <c r="D114" s="6">
        <f t="shared" si="1"/>
        <v>0</v>
      </c>
      <c r="E114" s="6">
        <f t="shared" si="2"/>
        <v>1</v>
      </c>
      <c r="F114" s="5">
        <f t="shared" si="3"/>
        <v>1</v>
      </c>
      <c r="G114" s="5">
        <f t="shared" si="4"/>
        <v>1</v>
      </c>
      <c r="H114" s="6">
        <f t="shared" si="5"/>
        <v>1</v>
      </c>
      <c r="I114" s="6">
        <f t="shared" si="6"/>
        <v>44</v>
      </c>
      <c r="J114" s="6"/>
      <c r="K114" s="6" t="s">
        <v>172</v>
      </c>
      <c r="L114" s="5" t="s">
        <v>173</v>
      </c>
      <c r="M114" s="24">
        <f>COUNTIF(C114:C213, "Good")</f>
        <v>19</v>
      </c>
      <c r="N114" s="24">
        <f>COUNTIF(C114:C213, "Bad")+1</f>
        <v>62</v>
      </c>
      <c r="O114" s="25">
        <f>M114/(M114+N114)</f>
        <v>0.2345679012</v>
      </c>
      <c r="P114" s="25">
        <f>N114/(M114+N114)</f>
        <v>0.7654320988</v>
      </c>
    </row>
    <row r="115">
      <c r="A115" s="3">
        <v>44986.0</v>
      </c>
      <c r="B115" s="6" t="s">
        <v>80</v>
      </c>
      <c r="C115" s="5" t="str">
        <f>IFERROR(VLOOKUP(B115,'Overall Bean Summary'!A$2:B$36,2,FALSE),"")</f>
        <v>Bad</v>
      </c>
      <c r="D115" s="6">
        <f t="shared" si="1"/>
        <v>0</v>
      </c>
      <c r="E115" s="6">
        <f t="shared" si="2"/>
        <v>2</v>
      </c>
      <c r="F115" s="5">
        <f t="shared" si="3"/>
        <v>1</v>
      </c>
      <c r="G115" s="5">
        <f t="shared" si="4"/>
        <v>2</v>
      </c>
      <c r="H115" s="6">
        <f t="shared" si="5"/>
        <v>2</v>
      </c>
      <c r="I115" s="6">
        <f t="shared" si="6"/>
        <v>45</v>
      </c>
      <c r="J115" s="7"/>
      <c r="K115" s="7"/>
      <c r="L115" s="7"/>
    </row>
    <row r="116">
      <c r="A116" s="3">
        <v>44986.0</v>
      </c>
      <c r="B116" s="6" t="s">
        <v>41</v>
      </c>
      <c r="C116" s="5" t="str">
        <f>IFERROR(VLOOKUP(B116,'Overall Bean Summary'!A$2:B$36,2,FALSE),"")</f>
        <v>Bad</v>
      </c>
      <c r="D116" s="6">
        <f t="shared" si="1"/>
        <v>0</v>
      </c>
      <c r="E116" s="6">
        <f t="shared" si="2"/>
        <v>3</v>
      </c>
      <c r="F116" s="5">
        <f t="shared" si="3"/>
        <v>1</v>
      </c>
      <c r="G116" s="5">
        <f t="shared" si="4"/>
        <v>3</v>
      </c>
      <c r="H116" s="6">
        <f t="shared" si="5"/>
        <v>3</v>
      </c>
      <c r="I116" s="6">
        <f t="shared" si="6"/>
        <v>46</v>
      </c>
      <c r="J116" s="7"/>
      <c r="K116" s="7"/>
      <c r="L116" s="7"/>
    </row>
    <row r="117">
      <c r="A117" s="3">
        <v>44986.0</v>
      </c>
      <c r="B117" s="9" t="s">
        <v>14</v>
      </c>
      <c r="C117" s="5" t="str">
        <f>IFERROR(VLOOKUP(B117,'Overall Bean Summary'!A$2:B$36,2,FALSE),"")</f>
        <v>Bad</v>
      </c>
      <c r="D117" s="6">
        <f t="shared" si="1"/>
        <v>0</v>
      </c>
      <c r="E117" s="6">
        <f t="shared" si="2"/>
        <v>4</v>
      </c>
      <c r="F117" s="5">
        <f t="shared" si="3"/>
        <v>1</v>
      </c>
      <c r="G117" s="5">
        <f t="shared" si="4"/>
        <v>4</v>
      </c>
      <c r="H117" s="6">
        <f t="shared" si="5"/>
        <v>4</v>
      </c>
      <c r="I117" s="6">
        <f t="shared" si="6"/>
        <v>47</v>
      </c>
      <c r="J117" s="7"/>
      <c r="K117" s="7"/>
      <c r="L117" s="7"/>
    </row>
    <row r="118">
      <c r="A118" s="3">
        <v>44986.0</v>
      </c>
      <c r="B118" s="9" t="s">
        <v>63</v>
      </c>
      <c r="C118" s="5" t="str">
        <f>IFERROR(VLOOKUP(B118,'Overall Bean Summary'!A$2:B$36,2,FALSE),"")</f>
        <v>Bad</v>
      </c>
      <c r="D118" s="6">
        <f t="shared" si="1"/>
        <v>0</v>
      </c>
      <c r="E118" s="6">
        <f t="shared" si="2"/>
        <v>5</v>
      </c>
      <c r="F118" s="5">
        <f t="shared" si="3"/>
        <v>1</v>
      </c>
      <c r="G118" s="5">
        <f t="shared" si="4"/>
        <v>5</v>
      </c>
      <c r="H118" s="6">
        <f t="shared" si="5"/>
        <v>5</v>
      </c>
      <c r="I118" s="6">
        <f t="shared" si="6"/>
        <v>48</v>
      </c>
      <c r="J118" s="7"/>
      <c r="K118" s="7"/>
      <c r="L118" s="7"/>
    </row>
    <row r="119">
      <c r="A119" s="3">
        <v>44986.0</v>
      </c>
      <c r="B119" s="6" t="s">
        <v>122</v>
      </c>
      <c r="C119" s="5" t="str">
        <f>IFERROR(VLOOKUP(B119,'Overall Bean Summary'!A$2:B$36,2,FALSE),"")</f>
        <v>Bad</v>
      </c>
      <c r="D119" s="6">
        <f t="shared" si="1"/>
        <v>0</v>
      </c>
      <c r="E119" s="6">
        <f t="shared" si="2"/>
        <v>6</v>
      </c>
      <c r="F119" s="5">
        <f t="shared" si="3"/>
        <v>1</v>
      </c>
      <c r="G119" s="5">
        <f t="shared" si="4"/>
        <v>6</v>
      </c>
      <c r="H119" s="6">
        <f t="shared" si="5"/>
        <v>6</v>
      </c>
      <c r="I119" s="6">
        <f t="shared" si="6"/>
        <v>49</v>
      </c>
      <c r="J119" s="7"/>
      <c r="K119" s="7"/>
      <c r="L119" s="7"/>
    </row>
    <row r="120">
      <c r="A120" s="3">
        <v>44986.0</v>
      </c>
      <c r="B120" s="9" t="s">
        <v>14</v>
      </c>
      <c r="C120" s="5" t="str">
        <f>IFERROR(VLOOKUP(B120,'Overall Bean Summary'!A$2:B$36,2,FALSE),"")</f>
        <v>Bad</v>
      </c>
      <c r="D120" s="6">
        <f t="shared" si="1"/>
        <v>0</v>
      </c>
      <c r="E120" s="6">
        <f t="shared" si="2"/>
        <v>7</v>
      </c>
      <c r="F120" s="5">
        <f t="shared" si="3"/>
        <v>1</v>
      </c>
      <c r="G120" s="5">
        <f t="shared" si="4"/>
        <v>7</v>
      </c>
      <c r="H120" s="6">
        <f t="shared" si="5"/>
        <v>7</v>
      </c>
      <c r="I120" s="6">
        <f t="shared" si="6"/>
        <v>50</v>
      </c>
      <c r="J120" s="7"/>
      <c r="K120" s="7"/>
      <c r="L120" s="7"/>
    </row>
    <row r="121">
      <c r="A121" s="3">
        <v>44986.0</v>
      </c>
      <c r="B121" s="9" t="s">
        <v>45</v>
      </c>
      <c r="C121" s="5" t="str">
        <f>IFERROR(VLOOKUP(B121,'Overall Bean Summary'!A$2:B$36,2,FALSE),"")</f>
        <v>Good</v>
      </c>
      <c r="D121" s="6">
        <f t="shared" si="1"/>
        <v>1</v>
      </c>
      <c r="E121" s="6">
        <f t="shared" si="2"/>
        <v>0</v>
      </c>
      <c r="F121" s="5">
        <f t="shared" si="3"/>
        <v>1</v>
      </c>
      <c r="G121" s="5">
        <f t="shared" si="4"/>
        <v>8</v>
      </c>
      <c r="H121" s="6">
        <f t="shared" si="5"/>
        <v>8</v>
      </c>
      <c r="I121" s="6">
        <f t="shared" si="6"/>
        <v>51</v>
      </c>
      <c r="J121" s="7"/>
      <c r="K121" s="7"/>
      <c r="L121" s="7"/>
    </row>
    <row r="122">
      <c r="A122" s="3">
        <v>44986.0</v>
      </c>
      <c r="B122" s="9" t="s">
        <v>14</v>
      </c>
      <c r="C122" s="5" t="str">
        <f>IFERROR(VLOOKUP(B122,'Overall Bean Summary'!A$2:B$36,2,FALSE),"")</f>
        <v>Bad</v>
      </c>
      <c r="D122" s="6">
        <f t="shared" si="1"/>
        <v>0</v>
      </c>
      <c r="E122" s="6">
        <f t="shared" si="2"/>
        <v>1</v>
      </c>
      <c r="F122" s="5">
        <f t="shared" si="3"/>
        <v>1</v>
      </c>
      <c r="G122" s="5">
        <f t="shared" si="4"/>
        <v>9</v>
      </c>
      <c r="H122" s="6">
        <f t="shared" si="5"/>
        <v>9</v>
      </c>
      <c r="I122" s="6">
        <f t="shared" si="6"/>
        <v>52</v>
      </c>
      <c r="J122" s="7"/>
      <c r="K122" s="7"/>
      <c r="L122" s="7"/>
    </row>
    <row r="123">
      <c r="A123" s="3">
        <v>44986.0</v>
      </c>
      <c r="B123" s="6" t="s">
        <v>40</v>
      </c>
      <c r="C123" s="5" t="str">
        <f>IFERROR(VLOOKUP(B123,'Overall Bean Summary'!A$2:B$36,2,FALSE),"")</f>
        <v>Bad</v>
      </c>
      <c r="D123" s="6">
        <f t="shared" si="1"/>
        <v>0</v>
      </c>
      <c r="E123" s="6">
        <f t="shared" si="2"/>
        <v>2</v>
      </c>
      <c r="F123" s="5">
        <f t="shared" si="3"/>
        <v>1</v>
      </c>
      <c r="G123" s="5">
        <f t="shared" si="4"/>
        <v>10</v>
      </c>
      <c r="H123" s="6">
        <f t="shared" si="5"/>
        <v>10</v>
      </c>
      <c r="I123" s="6">
        <f t="shared" si="6"/>
        <v>53</v>
      </c>
      <c r="J123" s="7"/>
      <c r="K123" s="7"/>
      <c r="L123" s="7"/>
    </row>
    <row r="124">
      <c r="A124" s="3">
        <v>44986.0</v>
      </c>
      <c r="B124" s="9" t="s">
        <v>14</v>
      </c>
      <c r="C124" s="5" t="str">
        <f>IFERROR(VLOOKUP(B124,'Overall Bean Summary'!A$2:B$36,2,FALSE),"")</f>
        <v>Bad</v>
      </c>
      <c r="D124" s="6">
        <f t="shared" si="1"/>
        <v>0</v>
      </c>
      <c r="E124" s="6">
        <f t="shared" si="2"/>
        <v>3</v>
      </c>
      <c r="F124" s="5">
        <f t="shared" si="3"/>
        <v>1</v>
      </c>
      <c r="G124" s="5">
        <f t="shared" si="4"/>
        <v>11</v>
      </c>
      <c r="H124" s="6">
        <f t="shared" si="5"/>
        <v>11</v>
      </c>
      <c r="I124" s="6">
        <f t="shared" si="6"/>
        <v>54</v>
      </c>
      <c r="J124" s="7"/>
      <c r="K124" s="7"/>
      <c r="L124" s="7"/>
    </row>
    <row r="125">
      <c r="A125" s="3">
        <v>44986.0</v>
      </c>
      <c r="B125" s="6" t="s">
        <v>58</v>
      </c>
      <c r="C125" s="5" t="str">
        <f>IFERROR(VLOOKUP(B125,'Overall Bean Summary'!A$2:B$36,2,FALSE),"")</f>
        <v>Bad</v>
      </c>
      <c r="D125" s="6">
        <f t="shared" si="1"/>
        <v>0</v>
      </c>
      <c r="E125" s="6">
        <f t="shared" si="2"/>
        <v>4</v>
      </c>
      <c r="F125" s="5">
        <f t="shared" si="3"/>
        <v>1</v>
      </c>
      <c r="G125" s="5">
        <f t="shared" si="4"/>
        <v>12</v>
      </c>
      <c r="H125" s="6">
        <f t="shared" si="5"/>
        <v>12</v>
      </c>
      <c r="I125" s="6">
        <f t="shared" si="6"/>
        <v>55</v>
      </c>
      <c r="J125" s="7"/>
      <c r="K125" s="7"/>
      <c r="L125" s="7"/>
    </row>
    <row r="126">
      <c r="A126" s="3">
        <v>44986.0</v>
      </c>
      <c r="B126" s="6" t="s">
        <v>124</v>
      </c>
      <c r="C126" s="5" t="str">
        <f>IFERROR(VLOOKUP(B126,'Overall Bean Summary'!A$2:B$36,2,FALSE),"")</f>
        <v>Good</v>
      </c>
      <c r="D126" s="6">
        <f t="shared" si="1"/>
        <v>1</v>
      </c>
      <c r="E126" s="6">
        <f t="shared" si="2"/>
        <v>0</v>
      </c>
      <c r="F126" s="5">
        <f t="shared" si="3"/>
        <v>1</v>
      </c>
      <c r="G126" s="5">
        <f t="shared" si="4"/>
        <v>13</v>
      </c>
      <c r="H126" s="6">
        <f t="shared" si="5"/>
        <v>13</v>
      </c>
      <c r="I126" s="6">
        <f t="shared" si="6"/>
        <v>56</v>
      </c>
      <c r="J126" s="7"/>
      <c r="K126" s="7"/>
      <c r="L126" s="7"/>
    </row>
    <row r="127">
      <c r="A127" s="3">
        <v>44986.0</v>
      </c>
      <c r="B127" s="26" t="s">
        <v>48</v>
      </c>
      <c r="C127" s="5" t="str">
        <f>IFERROR(VLOOKUP(B127,'Overall Bean Summary'!A$2:B$36,2,FALSE),"")</f>
        <v>Bad</v>
      </c>
      <c r="D127" s="6">
        <f t="shared" si="1"/>
        <v>0</v>
      </c>
      <c r="E127" s="6">
        <f t="shared" si="2"/>
        <v>1</v>
      </c>
      <c r="F127" s="5">
        <f t="shared" si="3"/>
        <v>1</v>
      </c>
      <c r="G127" s="5">
        <f t="shared" si="4"/>
        <v>14</v>
      </c>
      <c r="H127" s="6">
        <f t="shared" si="5"/>
        <v>14</v>
      </c>
      <c r="I127" s="6">
        <f t="shared" si="6"/>
        <v>57</v>
      </c>
      <c r="J127" s="7"/>
      <c r="K127" s="7"/>
      <c r="L127" s="7"/>
    </row>
    <row r="128">
      <c r="A128" s="3">
        <v>44986.0</v>
      </c>
      <c r="B128" s="6" t="s">
        <v>122</v>
      </c>
      <c r="C128" s="5" t="str">
        <f>IFERROR(VLOOKUP(B128,'Overall Bean Summary'!A$2:B$36,2,FALSE),"")</f>
        <v>Bad</v>
      </c>
      <c r="D128" s="6">
        <f t="shared" si="1"/>
        <v>0</v>
      </c>
      <c r="E128" s="6">
        <f t="shared" si="2"/>
        <v>2</v>
      </c>
      <c r="F128" s="5">
        <f t="shared" si="3"/>
        <v>1</v>
      </c>
      <c r="G128" s="5">
        <f t="shared" si="4"/>
        <v>15</v>
      </c>
      <c r="H128" s="6">
        <f t="shared" si="5"/>
        <v>15</v>
      </c>
      <c r="I128" s="6">
        <f t="shared" si="6"/>
        <v>58</v>
      </c>
      <c r="J128" s="7"/>
      <c r="K128" s="7"/>
      <c r="L128" s="7"/>
    </row>
    <row r="129">
      <c r="A129" s="3">
        <v>44986.0</v>
      </c>
      <c r="B129" s="6" t="s">
        <v>58</v>
      </c>
      <c r="C129" s="5" t="str">
        <f>IFERROR(VLOOKUP(B129,'Overall Bean Summary'!A$2:B$36,2,FALSE),"")</f>
        <v>Bad</v>
      </c>
      <c r="D129" s="6">
        <f t="shared" si="1"/>
        <v>0</v>
      </c>
      <c r="E129" s="6">
        <f t="shared" si="2"/>
        <v>3</v>
      </c>
      <c r="F129" s="5">
        <f t="shared" si="3"/>
        <v>1</v>
      </c>
      <c r="G129" s="5">
        <f t="shared" si="4"/>
        <v>16</v>
      </c>
      <c r="H129" s="6">
        <f t="shared" si="5"/>
        <v>16</v>
      </c>
      <c r="I129" s="6">
        <f t="shared" si="6"/>
        <v>59</v>
      </c>
      <c r="J129" s="7"/>
      <c r="K129" s="7"/>
      <c r="L129" s="7"/>
    </row>
    <row r="130">
      <c r="A130" s="3">
        <v>44986.0</v>
      </c>
      <c r="B130" s="6" t="s">
        <v>56</v>
      </c>
      <c r="C130" s="5" t="str">
        <f>IFERROR(VLOOKUP(B130,'Overall Bean Summary'!A$2:B$36,2,FALSE),"")</f>
        <v>Good</v>
      </c>
      <c r="D130" s="6">
        <f t="shared" si="1"/>
        <v>1</v>
      </c>
      <c r="E130" s="6">
        <f t="shared" si="2"/>
        <v>0</v>
      </c>
      <c r="F130" s="5">
        <f t="shared" si="3"/>
        <v>1</v>
      </c>
      <c r="G130" s="5">
        <f t="shared" si="4"/>
        <v>17</v>
      </c>
      <c r="H130" s="6">
        <f t="shared" si="5"/>
        <v>17</v>
      </c>
      <c r="I130" s="6">
        <f t="shared" si="6"/>
        <v>60</v>
      </c>
      <c r="J130" s="7"/>
      <c r="K130" s="7"/>
      <c r="L130" s="7"/>
    </row>
    <row r="131">
      <c r="A131" s="3">
        <v>44987.0</v>
      </c>
      <c r="B131" s="6" t="s">
        <v>40</v>
      </c>
      <c r="C131" s="5" t="str">
        <f>IFERROR(VLOOKUP(B131,'Overall Bean Summary'!A$2:B$36,2,FALSE),"")</f>
        <v>Bad</v>
      </c>
      <c r="D131" s="6">
        <f t="shared" si="1"/>
        <v>0</v>
      </c>
      <c r="E131" s="6">
        <f t="shared" si="2"/>
        <v>1</v>
      </c>
      <c r="F131" s="5">
        <f t="shared" si="3"/>
        <v>1</v>
      </c>
      <c r="G131" s="5">
        <f t="shared" si="4"/>
        <v>1</v>
      </c>
      <c r="H131" s="6">
        <f t="shared" si="5"/>
        <v>18</v>
      </c>
      <c r="I131" s="6">
        <f t="shared" si="6"/>
        <v>61</v>
      </c>
      <c r="J131" s="7"/>
      <c r="K131" s="7"/>
      <c r="L131" s="7"/>
    </row>
    <row r="132">
      <c r="A132" s="3">
        <v>44988.0</v>
      </c>
      <c r="B132" s="26" t="s">
        <v>48</v>
      </c>
      <c r="C132" s="5" t="str">
        <f>IFERROR(VLOOKUP(B132,'Overall Bean Summary'!A$2:B$36,2,FALSE),"")</f>
        <v>Bad</v>
      </c>
      <c r="D132" s="6">
        <f t="shared" si="1"/>
        <v>0</v>
      </c>
      <c r="E132" s="6">
        <f t="shared" si="2"/>
        <v>2</v>
      </c>
      <c r="F132" s="5">
        <f t="shared" si="3"/>
        <v>1</v>
      </c>
      <c r="G132" s="5">
        <f t="shared" si="4"/>
        <v>1</v>
      </c>
      <c r="H132" s="6">
        <f t="shared" si="5"/>
        <v>19</v>
      </c>
      <c r="I132" s="6">
        <f t="shared" si="6"/>
        <v>62</v>
      </c>
      <c r="J132" s="7"/>
      <c r="K132" s="7"/>
      <c r="L132" s="7"/>
    </row>
    <row r="133">
      <c r="A133" s="3">
        <v>44988.0</v>
      </c>
      <c r="B133" s="26" t="s">
        <v>48</v>
      </c>
      <c r="C133" s="5" t="str">
        <f>IFERROR(VLOOKUP(B133,'Overall Bean Summary'!A$2:B$36,2,FALSE),"")</f>
        <v>Bad</v>
      </c>
      <c r="D133" s="6">
        <f t="shared" si="1"/>
        <v>0</v>
      </c>
      <c r="E133" s="6">
        <f t="shared" si="2"/>
        <v>3</v>
      </c>
      <c r="F133" s="5">
        <f t="shared" si="3"/>
        <v>2</v>
      </c>
      <c r="G133" s="5">
        <f t="shared" si="4"/>
        <v>2</v>
      </c>
      <c r="H133" s="6">
        <f t="shared" si="5"/>
        <v>20</v>
      </c>
      <c r="I133" s="6">
        <f t="shared" si="6"/>
        <v>63</v>
      </c>
      <c r="J133" s="7"/>
      <c r="K133" s="7"/>
      <c r="L133" s="7"/>
    </row>
    <row r="134">
      <c r="A134" s="3">
        <v>44988.0</v>
      </c>
      <c r="B134" s="6" t="s">
        <v>72</v>
      </c>
      <c r="C134" s="5" t="str">
        <f>IFERROR(VLOOKUP(B134,'Overall Bean Summary'!A$2:B$36,2,FALSE),"")</f>
        <v>Bad</v>
      </c>
      <c r="D134" s="6">
        <f t="shared" si="1"/>
        <v>0</v>
      </c>
      <c r="E134" s="6">
        <f t="shared" si="2"/>
        <v>4</v>
      </c>
      <c r="F134" s="5">
        <f t="shared" si="3"/>
        <v>1</v>
      </c>
      <c r="G134" s="5">
        <f t="shared" si="4"/>
        <v>3</v>
      </c>
      <c r="H134" s="6">
        <f t="shared" si="5"/>
        <v>21</v>
      </c>
      <c r="I134" s="6">
        <f t="shared" si="6"/>
        <v>64</v>
      </c>
      <c r="J134" s="7"/>
      <c r="K134" s="7"/>
      <c r="L134" s="7"/>
    </row>
    <row r="135">
      <c r="A135" s="3">
        <v>44991.0</v>
      </c>
      <c r="B135" s="6" t="s">
        <v>34</v>
      </c>
      <c r="C135" s="5" t="str">
        <f>IFERROR(VLOOKUP(B135,'Overall Bean Summary'!A$2:B$36,2,FALSE),"")</f>
        <v>Good</v>
      </c>
      <c r="D135" s="6">
        <f t="shared" si="1"/>
        <v>1</v>
      </c>
      <c r="E135" s="6">
        <f t="shared" si="2"/>
        <v>0</v>
      </c>
      <c r="F135" s="5">
        <f t="shared" si="3"/>
        <v>1</v>
      </c>
      <c r="G135" s="5">
        <f t="shared" si="4"/>
        <v>1</v>
      </c>
      <c r="H135" s="6">
        <f t="shared" si="5"/>
        <v>22</v>
      </c>
      <c r="I135" s="6">
        <f t="shared" si="6"/>
        <v>65</v>
      </c>
      <c r="J135" s="7"/>
      <c r="K135" s="7"/>
      <c r="L135" s="7"/>
    </row>
    <row r="136">
      <c r="A136" s="3">
        <v>44991.0</v>
      </c>
      <c r="B136" s="6" t="s">
        <v>124</v>
      </c>
      <c r="C136" s="5" t="str">
        <f>IFERROR(VLOOKUP(B136,'Overall Bean Summary'!A$2:B$36,2,FALSE),"")</f>
        <v>Good</v>
      </c>
      <c r="D136" s="6">
        <f t="shared" si="1"/>
        <v>2</v>
      </c>
      <c r="E136" s="6">
        <f t="shared" si="2"/>
        <v>0</v>
      </c>
      <c r="F136" s="5">
        <f t="shared" si="3"/>
        <v>1</v>
      </c>
      <c r="G136" s="5">
        <f t="shared" si="4"/>
        <v>2</v>
      </c>
      <c r="H136" s="6">
        <f t="shared" si="5"/>
        <v>23</v>
      </c>
      <c r="I136" s="6">
        <f t="shared" si="6"/>
        <v>66</v>
      </c>
      <c r="J136" s="7"/>
      <c r="K136" s="7"/>
      <c r="L136" s="7"/>
    </row>
    <row r="137">
      <c r="A137" s="3">
        <v>44991.0</v>
      </c>
      <c r="B137" s="26" t="s">
        <v>48</v>
      </c>
      <c r="C137" s="5" t="str">
        <f>IFERROR(VLOOKUP(B137,'Overall Bean Summary'!A$2:B$36,2,FALSE),"")</f>
        <v>Bad</v>
      </c>
      <c r="D137" s="6">
        <f t="shared" si="1"/>
        <v>0</v>
      </c>
      <c r="E137" s="6">
        <f t="shared" si="2"/>
        <v>1</v>
      </c>
      <c r="F137" s="5">
        <f t="shared" si="3"/>
        <v>1</v>
      </c>
      <c r="G137" s="5">
        <f t="shared" si="4"/>
        <v>3</v>
      </c>
      <c r="H137" s="6">
        <f t="shared" si="5"/>
        <v>24</v>
      </c>
      <c r="I137" s="6">
        <f t="shared" si="6"/>
        <v>67</v>
      </c>
      <c r="J137" s="7"/>
      <c r="K137" s="7"/>
      <c r="L137" s="7"/>
    </row>
    <row r="138">
      <c r="A138" s="3">
        <v>44991.0</v>
      </c>
      <c r="B138" s="6" t="s">
        <v>72</v>
      </c>
      <c r="C138" s="5" t="str">
        <f>IFERROR(VLOOKUP(B138,'Overall Bean Summary'!A$2:B$36,2,FALSE),"")</f>
        <v>Bad</v>
      </c>
      <c r="D138" s="6">
        <f t="shared" si="1"/>
        <v>0</v>
      </c>
      <c r="E138" s="6">
        <f t="shared" si="2"/>
        <v>2</v>
      </c>
      <c r="F138" s="5">
        <f t="shared" si="3"/>
        <v>1</v>
      </c>
      <c r="G138" s="5">
        <f t="shared" si="4"/>
        <v>4</v>
      </c>
      <c r="H138" s="6">
        <f t="shared" si="5"/>
        <v>25</v>
      </c>
      <c r="I138" s="6">
        <f t="shared" si="6"/>
        <v>68</v>
      </c>
      <c r="J138" s="7"/>
      <c r="K138" s="7"/>
      <c r="L138" s="7"/>
    </row>
    <row r="139">
      <c r="A139" s="3">
        <v>44992.0</v>
      </c>
      <c r="B139" s="33" t="s">
        <v>58</v>
      </c>
      <c r="C139" s="5" t="str">
        <f>IFERROR(VLOOKUP(B139,'Overall Bean Summary'!A$2:B$36,2,FALSE),"")</f>
        <v>Bad</v>
      </c>
      <c r="D139" s="6">
        <f t="shared" si="1"/>
        <v>0</v>
      </c>
      <c r="E139" s="6">
        <f t="shared" si="2"/>
        <v>3</v>
      </c>
      <c r="F139" s="5">
        <f t="shared" si="3"/>
        <v>1</v>
      </c>
      <c r="G139" s="5">
        <f t="shared" si="4"/>
        <v>1</v>
      </c>
      <c r="H139" s="6">
        <f t="shared" si="5"/>
        <v>26</v>
      </c>
      <c r="I139" s="6">
        <f t="shared" si="6"/>
        <v>69</v>
      </c>
      <c r="J139" s="7"/>
      <c r="K139" s="7"/>
      <c r="L139" s="7"/>
    </row>
    <row r="140">
      <c r="A140" s="3">
        <v>44992.0</v>
      </c>
      <c r="B140" s="6" t="s">
        <v>145</v>
      </c>
      <c r="C140" s="5" t="str">
        <f>IFERROR(VLOOKUP(B140,'Overall Bean Summary'!A$2:B$36,2,FALSE),"")</f>
        <v>Spicy</v>
      </c>
      <c r="D140" s="6">
        <f t="shared" si="1"/>
        <v>0</v>
      </c>
      <c r="E140" s="6">
        <f t="shared" si="2"/>
        <v>3</v>
      </c>
      <c r="F140" s="5">
        <f t="shared" si="3"/>
        <v>1</v>
      </c>
      <c r="G140" s="5">
        <f t="shared" si="4"/>
        <v>2</v>
      </c>
      <c r="H140" s="6">
        <f t="shared" si="5"/>
        <v>27</v>
      </c>
      <c r="I140" s="6">
        <f t="shared" si="6"/>
        <v>70</v>
      </c>
      <c r="J140" s="7"/>
      <c r="K140" s="7"/>
      <c r="L140" s="7"/>
    </row>
    <row r="141">
      <c r="A141" s="3">
        <v>44993.0</v>
      </c>
      <c r="B141" s="6" t="s">
        <v>41</v>
      </c>
      <c r="C141" s="5" t="str">
        <f>IFERROR(VLOOKUP(B141,'Overall Bean Summary'!A$2:B$36,2,FALSE),"")</f>
        <v>Bad</v>
      </c>
      <c r="D141" s="6">
        <f t="shared" si="1"/>
        <v>0</v>
      </c>
      <c r="E141" s="6">
        <f t="shared" si="2"/>
        <v>4</v>
      </c>
      <c r="F141" s="5">
        <f t="shared" si="3"/>
        <v>1</v>
      </c>
      <c r="G141" s="5">
        <f t="shared" si="4"/>
        <v>1</v>
      </c>
      <c r="H141" s="6">
        <f t="shared" si="5"/>
        <v>28</v>
      </c>
      <c r="I141" s="6">
        <f t="shared" si="6"/>
        <v>71</v>
      </c>
      <c r="J141" s="7"/>
      <c r="K141" s="7"/>
      <c r="L141" s="7"/>
    </row>
    <row r="142">
      <c r="A142" s="3">
        <v>44993.0</v>
      </c>
      <c r="B142" s="6" t="s">
        <v>56</v>
      </c>
      <c r="C142" s="5" t="str">
        <f>IFERROR(VLOOKUP(B142,'Overall Bean Summary'!A$2:B$36,2,FALSE),"")</f>
        <v>Good</v>
      </c>
      <c r="D142" s="6">
        <f t="shared" si="1"/>
        <v>1</v>
      </c>
      <c r="E142" s="6">
        <f t="shared" si="2"/>
        <v>0</v>
      </c>
      <c r="F142" s="5">
        <f t="shared" si="3"/>
        <v>1</v>
      </c>
      <c r="G142" s="5">
        <f t="shared" si="4"/>
        <v>2</v>
      </c>
      <c r="H142" s="6">
        <f t="shared" si="5"/>
        <v>29</v>
      </c>
      <c r="I142" s="6">
        <f t="shared" si="6"/>
        <v>72</v>
      </c>
      <c r="J142" s="7"/>
      <c r="K142" s="7"/>
      <c r="L142" s="7"/>
    </row>
    <row r="143">
      <c r="A143" s="3">
        <v>44993.0</v>
      </c>
      <c r="B143" s="33" t="s">
        <v>58</v>
      </c>
      <c r="C143" s="5" t="str">
        <f>IFERROR(VLOOKUP(B143,'Overall Bean Summary'!A$2:B$36,2,FALSE),"")</f>
        <v>Bad</v>
      </c>
      <c r="D143" s="6">
        <f t="shared" si="1"/>
        <v>0</v>
      </c>
      <c r="E143" s="6">
        <f t="shared" si="2"/>
        <v>1</v>
      </c>
      <c r="F143" s="5">
        <f t="shared" si="3"/>
        <v>1</v>
      </c>
      <c r="G143" s="5">
        <f t="shared" si="4"/>
        <v>3</v>
      </c>
      <c r="H143" s="6">
        <f t="shared" si="5"/>
        <v>30</v>
      </c>
      <c r="I143" s="6">
        <f t="shared" si="6"/>
        <v>73</v>
      </c>
      <c r="J143" s="7"/>
      <c r="K143" s="7"/>
      <c r="L143" s="7"/>
    </row>
    <row r="144">
      <c r="A144" s="3">
        <v>44994.0</v>
      </c>
      <c r="B144" s="6" t="s">
        <v>40</v>
      </c>
      <c r="C144" s="5" t="str">
        <f>IFERROR(VLOOKUP(B144,'Overall Bean Summary'!A$2:B$36,2,FALSE),"")</f>
        <v>Bad</v>
      </c>
      <c r="D144" s="6">
        <f t="shared" si="1"/>
        <v>0</v>
      </c>
      <c r="E144" s="6">
        <f t="shared" si="2"/>
        <v>2</v>
      </c>
      <c r="F144" s="5">
        <f t="shared" si="3"/>
        <v>1</v>
      </c>
      <c r="G144" s="5">
        <f t="shared" si="4"/>
        <v>1</v>
      </c>
      <c r="H144" s="6">
        <f t="shared" si="5"/>
        <v>31</v>
      </c>
      <c r="I144" s="6">
        <f t="shared" si="6"/>
        <v>74</v>
      </c>
      <c r="J144" s="7"/>
      <c r="K144" s="7"/>
      <c r="L144" s="7"/>
    </row>
    <row r="145">
      <c r="A145" s="3">
        <v>44994.0</v>
      </c>
      <c r="B145" s="6" t="s">
        <v>41</v>
      </c>
      <c r="C145" s="5" t="str">
        <f>IFERROR(VLOOKUP(B145,'Overall Bean Summary'!A$2:B$36,2,FALSE),"")</f>
        <v>Bad</v>
      </c>
      <c r="D145" s="6">
        <f t="shared" si="1"/>
        <v>0</v>
      </c>
      <c r="E145" s="6">
        <f t="shared" si="2"/>
        <v>3</v>
      </c>
      <c r="F145" s="5">
        <f t="shared" si="3"/>
        <v>1</v>
      </c>
      <c r="G145" s="5">
        <f t="shared" si="4"/>
        <v>2</v>
      </c>
      <c r="H145" s="6">
        <f t="shared" si="5"/>
        <v>32</v>
      </c>
      <c r="I145" s="6">
        <f t="shared" si="6"/>
        <v>75</v>
      </c>
      <c r="J145" s="7"/>
      <c r="K145" s="7"/>
      <c r="L145" s="7"/>
    </row>
    <row r="146">
      <c r="A146" s="3">
        <v>44994.0</v>
      </c>
      <c r="B146" s="26" t="s">
        <v>48</v>
      </c>
      <c r="C146" s="5" t="str">
        <f>IFERROR(VLOOKUP(B146,'Overall Bean Summary'!A$2:B$36,2,FALSE),"")</f>
        <v>Bad</v>
      </c>
      <c r="D146" s="6">
        <f t="shared" si="1"/>
        <v>0</v>
      </c>
      <c r="E146" s="6">
        <f t="shared" si="2"/>
        <v>4</v>
      </c>
      <c r="F146" s="5">
        <f t="shared" si="3"/>
        <v>1</v>
      </c>
      <c r="G146" s="5">
        <f t="shared" si="4"/>
        <v>3</v>
      </c>
      <c r="H146" s="6">
        <f t="shared" si="5"/>
        <v>33</v>
      </c>
      <c r="I146" s="6">
        <f t="shared" si="6"/>
        <v>76</v>
      </c>
      <c r="J146" s="7"/>
      <c r="K146" s="7"/>
      <c r="L146" s="7"/>
    </row>
    <row r="147">
      <c r="A147" s="3">
        <v>44994.0</v>
      </c>
      <c r="B147" s="6" t="s">
        <v>40</v>
      </c>
      <c r="C147" s="5" t="str">
        <f>IFERROR(VLOOKUP(B147,'Overall Bean Summary'!A$2:B$36,2,FALSE),"")</f>
        <v>Bad</v>
      </c>
      <c r="D147" s="6">
        <f t="shared" si="1"/>
        <v>0</v>
      </c>
      <c r="E147" s="6">
        <f t="shared" si="2"/>
        <v>5</v>
      </c>
      <c r="F147" s="5">
        <f t="shared" si="3"/>
        <v>1</v>
      </c>
      <c r="G147" s="5">
        <f t="shared" si="4"/>
        <v>4</v>
      </c>
      <c r="H147" s="6">
        <f t="shared" si="5"/>
        <v>34</v>
      </c>
      <c r="I147" s="6">
        <f t="shared" si="6"/>
        <v>77</v>
      </c>
      <c r="J147" s="7"/>
      <c r="K147" s="7"/>
      <c r="L147" s="7"/>
    </row>
    <row r="148">
      <c r="A148" s="3">
        <v>44995.0</v>
      </c>
      <c r="B148" s="6" t="s">
        <v>124</v>
      </c>
      <c r="C148" s="5" t="str">
        <f>IFERROR(VLOOKUP(B148,'Overall Bean Summary'!A$2:B$36,2,FALSE),"")</f>
        <v>Good</v>
      </c>
      <c r="D148" s="6">
        <f t="shared" si="1"/>
        <v>1</v>
      </c>
      <c r="E148" s="6">
        <f t="shared" si="2"/>
        <v>0</v>
      </c>
      <c r="F148" s="5">
        <f t="shared" si="3"/>
        <v>1</v>
      </c>
      <c r="G148" s="5">
        <f t="shared" si="4"/>
        <v>1</v>
      </c>
      <c r="H148" s="6">
        <f t="shared" si="5"/>
        <v>35</v>
      </c>
      <c r="I148" s="6">
        <f t="shared" si="6"/>
        <v>78</v>
      </c>
      <c r="J148" s="7"/>
      <c r="K148" s="7"/>
      <c r="L148" s="7"/>
    </row>
    <row r="149">
      <c r="A149" s="3">
        <v>44998.0</v>
      </c>
      <c r="B149" s="6" t="s">
        <v>72</v>
      </c>
      <c r="C149" s="5" t="str">
        <f>IFERROR(VLOOKUP(B149,'Overall Bean Summary'!A$2:B$36,2,FALSE),"")</f>
        <v>Bad</v>
      </c>
      <c r="D149" s="6">
        <f t="shared" si="1"/>
        <v>0</v>
      </c>
      <c r="E149" s="6">
        <f t="shared" si="2"/>
        <v>1</v>
      </c>
      <c r="F149" s="5">
        <f t="shared" si="3"/>
        <v>1</v>
      </c>
      <c r="G149" s="5">
        <f t="shared" si="4"/>
        <v>1</v>
      </c>
      <c r="H149" s="6">
        <f t="shared" si="5"/>
        <v>36</v>
      </c>
      <c r="I149" s="6">
        <f t="shared" si="6"/>
        <v>79</v>
      </c>
      <c r="J149" s="7"/>
      <c r="K149" s="7"/>
      <c r="L149" s="7"/>
    </row>
    <row r="150">
      <c r="A150" s="3">
        <v>44998.0</v>
      </c>
      <c r="B150" s="6" t="s">
        <v>56</v>
      </c>
      <c r="C150" s="5" t="str">
        <f>IFERROR(VLOOKUP(B150,'Overall Bean Summary'!A$2:B$36,2,FALSE),"")</f>
        <v>Good</v>
      </c>
      <c r="D150" s="6">
        <f t="shared" si="1"/>
        <v>1</v>
      </c>
      <c r="E150" s="6">
        <f t="shared" si="2"/>
        <v>0</v>
      </c>
      <c r="F150" s="5">
        <f t="shared" si="3"/>
        <v>1</v>
      </c>
      <c r="G150" s="5">
        <f t="shared" si="4"/>
        <v>2</v>
      </c>
      <c r="H150" s="6">
        <f t="shared" si="5"/>
        <v>37</v>
      </c>
      <c r="I150" s="6">
        <f t="shared" si="6"/>
        <v>80</v>
      </c>
      <c r="J150" s="7"/>
      <c r="K150" s="7"/>
      <c r="L150" s="7"/>
    </row>
    <row r="151">
      <c r="A151" s="3">
        <v>44999.0</v>
      </c>
      <c r="B151" s="6" t="s">
        <v>122</v>
      </c>
      <c r="C151" s="5" t="str">
        <f>IFERROR(VLOOKUP(B151,'Overall Bean Summary'!A$2:B$36,2,FALSE),"")</f>
        <v>Bad</v>
      </c>
      <c r="D151" s="6">
        <f t="shared" si="1"/>
        <v>0</v>
      </c>
      <c r="E151" s="6">
        <f t="shared" si="2"/>
        <v>1</v>
      </c>
      <c r="F151" s="5">
        <f t="shared" si="3"/>
        <v>1</v>
      </c>
      <c r="G151" s="5">
        <f t="shared" si="4"/>
        <v>1</v>
      </c>
      <c r="H151" s="6">
        <f t="shared" si="5"/>
        <v>38</v>
      </c>
      <c r="I151" s="6">
        <f t="shared" si="6"/>
        <v>81</v>
      </c>
      <c r="J151" s="7"/>
      <c r="K151" s="7"/>
      <c r="L151" s="7"/>
    </row>
    <row r="152">
      <c r="A152" s="3">
        <v>44999.0</v>
      </c>
      <c r="B152" s="6" t="s">
        <v>118</v>
      </c>
      <c r="C152" s="5" t="str">
        <f>IFERROR(VLOOKUP(B152,'Overall Bean Summary'!A$2:B$36,2,FALSE),"")</f>
        <v>Good</v>
      </c>
      <c r="D152" s="6">
        <f t="shared" si="1"/>
        <v>1</v>
      </c>
      <c r="E152" s="6">
        <f t="shared" si="2"/>
        <v>0</v>
      </c>
      <c r="F152" s="5">
        <f t="shared" si="3"/>
        <v>1</v>
      </c>
      <c r="G152" s="5">
        <f t="shared" si="4"/>
        <v>2</v>
      </c>
      <c r="H152" s="6">
        <f t="shared" si="5"/>
        <v>39</v>
      </c>
      <c r="I152" s="6">
        <f t="shared" si="6"/>
        <v>82</v>
      </c>
      <c r="J152" s="7"/>
      <c r="K152" s="7"/>
      <c r="L152" s="7"/>
    </row>
    <row r="153">
      <c r="A153" s="3">
        <v>45000.0</v>
      </c>
      <c r="B153" s="6" t="s">
        <v>59</v>
      </c>
      <c r="C153" s="5" t="str">
        <f>IFERROR(VLOOKUP(B153,'Overall Bean Summary'!A$2:B$36,2,FALSE),"")</f>
        <v>Good</v>
      </c>
      <c r="D153" s="6">
        <f t="shared" si="1"/>
        <v>2</v>
      </c>
      <c r="E153" s="6">
        <f t="shared" si="2"/>
        <v>0</v>
      </c>
      <c r="F153" s="5">
        <f t="shared" si="3"/>
        <v>1</v>
      </c>
      <c r="G153" s="5">
        <f t="shared" si="4"/>
        <v>1</v>
      </c>
      <c r="H153" s="6">
        <f t="shared" si="5"/>
        <v>40</v>
      </c>
      <c r="I153" s="6">
        <f t="shared" si="6"/>
        <v>83</v>
      </c>
      <c r="J153" s="7"/>
      <c r="K153" s="7"/>
      <c r="L153" s="7"/>
    </row>
    <row r="154">
      <c r="A154" s="3">
        <v>45000.0</v>
      </c>
      <c r="B154" s="9" t="s">
        <v>45</v>
      </c>
      <c r="C154" s="5" t="str">
        <f>IFERROR(VLOOKUP(B154,'Overall Bean Summary'!A$2:B$36,2,FALSE),"")</f>
        <v>Good</v>
      </c>
      <c r="D154" s="6">
        <f t="shared" si="1"/>
        <v>3</v>
      </c>
      <c r="E154" s="6">
        <f t="shared" si="2"/>
        <v>0</v>
      </c>
      <c r="F154" s="5">
        <f t="shared" si="3"/>
        <v>1</v>
      </c>
      <c r="G154" s="5">
        <f t="shared" si="4"/>
        <v>2</v>
      </c>
      <c r="H154" s="6">
        <f t="shared" si="5"/>
        <v>41</v>
      </c>
      <c r="I154" s="6">
        <f t="shared" si="6"/>
        <v>84</v>
      </c>
      <c r="J154" s="7"/>
      <c r="K154" s="7"/>
      <c r="L154" s="7"/>
    </row>
    <row r="155">
      <c r="A155" s="3">
        <v>45001.0</v>
      </c>
      <c r="B155" s="6" t="s">
        <v>80</v>
      </c>
      <c r="C155" s="5" t="str">
        <f>IFERROR(VLOOKUP(B155,'Overall Bean Summary'!A$2:B$36,2,FALSE),"")</f>
        <v>Bad</v>
      </c>
      <c r="D155" s="6">
        <f t="shared" si="1"/>
        <v>0</v>
      </c>
      <c r="E155" s="6">
        <f t="shared" si="2"/>
        <v>1</v>
      </c>
      <c r="F155" s="5">
        <f t="shared" si="3"/>
        <v>1</v>
      </c>
      <c r="G155" s="5">
        <f t="shared" si="4"/>
        <v>1</v>
      </c>
      <c r="H155" s="6">
        <f t="shared" si="5"/>
        <v>42</v>
      </c>
      <c r="I155" s="6">
        <f t="shared" si="6"/>
        <v>85</v>
      </c>
      <c r="J155" s="7"/>
      <c r="K155" s="7"/>
      <c r="L155" s="7"/>
    </row>
    <row r="156">
      <c r="A156" s="3">
        <v>45002.0</v>
      </c>
      <c r="B156" s="26" t="s">
        <v>48</v>
      </c>
      <c r="C156" s="5" t="str">
        <f>IFERROR(VLOOKUP(B156,'Overall Bean Summary'!A$2:B$36,2,FALSE),"")</f>
        <v>Bad</v>
      </c>
      <c r="D156" s="6">
        <f t="shared" si="1"/>
        <v>0</v>
      </c>
      <c r="E156" s="6">
        <f t="shared" si="2"/>
        <v>2</v>
      </c>
      <c r="F156" s="5">
        <f t="shared" si="3"/>
        <v>1</v>
      </c>
      <c r="G156" s="5">
        <f t="shared" si="4"/>
        <v>1</v>
      </c>
      <c r="H156" s="6">
        <f t="shared" si="5"/>
        <v>43</v>
      </c>
      <c r="I156" s="6">
        <f t="shared" si="6"/>
        <v>86</v>
      </c>
      <c r="J156" s="7"/>
      <c r="K156" s="7"/>
      <c r="L156" s="7"/>
    </row>
    <row r="157">
      <c r="A157" s="3">
        <v>45005.0</v>
      </c>
      <c r="B157" s="26" t="s">
        <v>48</v>
      </c>
      <c r="C157" s="5" t="str">
        <f>IFERROR(VLOOKUP(B157,'Overall Bean Summary'!A$2:B$36,2,FALSE),"")</f>
        <v>Bad</v>
      </c>
      <c r="D157" s="6">
        <f t="shared" si="1"/>
        <v>0</v>
      </c>
      <c r="E157" s="6">
        <f t="shared" si="2"/>
        <v>3</v>
      </c>
      <c r="F157" s="5">
        <f t="shared" si="3"/>
        <v>2</v>
      </c>
      <c r="G157" s="5">
        <f t="shared" si="4"/>
        <v>1</v>
      </c>
      <c r="H157" s="6">
        <f t="shared" si="5"/>
        <v>44</v>
      </c>
      <c r="I157" s="6">
        <f t="shared" si="6"/>
        <v>87</v>
      </c>
      <c r="J157" s="7"/>
      <c r="K157" s="7"/>
      <c r="L157" s="7"/>
    </row>
    <row r="158">
      <c r="A158" s="3">
        <v>45006.0</v>
      </c>
      <c r="B158" s="6" t="s">
        <v>40</v>
      </c>
      <c r="C158" s="5" t="str">
        <f>IFERROR(VLOOKUP(B158,'Overall Bean Summary'!A$2:B$36,2,FALSE),"")</f>
        <v>Bad</v>
      </c>
      <c r="D158" s="6">
        <f t="shared" si="1"/>
        <v>0</v>
      </c>
      <c r="E158" s="6">
        <f t="shared" si="2"/>
        <v>4</v>
      </c>
      <c r="F158" s="5">
        <f t="shared" si="3"/>
        <v>1</v>
      </c>
      <c r="G158" s="5">
        <f t="shared" si="4"/>
        <v>1</v>
      </c>
      <c r="H158" s="6">
        <f t="shared" si="5"/>
        <v>45</v>
      </c>
      <c r="I158" s="6">
        <f t="shared" si="6"/>
        <v>88</v>
      </c>
      <c r="J158" s="7"/>
      <c r="K158" s="7"/>
      <c r="L158" s="7"/>
    </row>
    <row r="159">
      <c r="A159" s="3">
        <v>45007.0</v>
      </c>
      <c r="B159" s="6" t="s">
        <v>40</v>
      </c>
      <c r="C159" s="5" t="str">
        <f>IFERROR(VLOOKUP(B159,'Overall Bean Summary'!A$2:B$36,2,FALSE),"")</f>
        <v>Bad</v>
      </c>
      <c r="D159" s="6">
        <f t="shared" si="1"/>
        <v>0</v>
      </c>
      <c r="E159" s="6">
        <f t="shared" si="2"/>
        <v>5</v>
      </c>
      <c r="F159" s="5">
        <f t="shared" si="3"/>
        <v>2</v>
      </c>
      <c r="G159" s="5">
        <f t="shared" si="4"/>
        <v>1</v>
      </c>
      <c r="H159" s="6">
        <f t="shared" si="5"/>
        <v>46</v>
      </c>
      <c r="I159" s="6">
        <f t="shared" si="6"/>
        <v>89</v>
      </c>
      <c r="J159" s="7"/>
      <c r="K159" s="7"/>
      <c r="L159" s="7"/>
    </row>
    <row r="160">
      <c r="A160" s="3">
        <v>45007.0</v>
      </c>
      <c r="B160" s="26" t="s">
        <v>48</v>
      </c>
      <c r="C160" s="5" t="str">
        <f>IFERROR(VLOOKUP(B160,'Overall Bean Summary'!A$2:B$36,2,FALSE),"")</f>
        <v>Bad</v>
      </c>
      <c r="D160" s="6">
        <f t="shared" si="1"/>
        <v>0</v>
      </c>
      <c r="E160" s="6">
        <f t="shared" si="2"/>
        <v>6</v>
      </c>
      <c r="F160" s="5">
        <f t="shared" si="3"/>
        <v>1</v>
      </c>
      <c r="G160" s="5">
        <f t="shared" si="4"/>
        <v>2</v>
      </c>
      <c r="H160" s="6">
        <f t="shared" si="5"/>
        <v>47</v>
      </c>
      <c r="I160" s="6">
        <f t="shared" si="6"/>
        <v>90</v>
      </c>
      <c r="J160" s="7"/>
      <c r="K160" s="7"/>
      <c r="L160" s="7"/>
    </row>
    <row r="161">
      <c r="A161" s="3">
        <v>45007.0</v>
      </c>
      <c r="B161" s="33" t="s">
        <v>58</v>
      </c>
      <c r="C161" s="5" t="str">
        <f>IFERROR(VLOOKUP(B161,'Overall Bean Summary'!A$2:B$36,2,FALSE),"")</f>
        <v>Bad</v>
      </c>
      <c r="D161" s="6">
        <f t="shared" si="1"/>
        <v>0</v>
      </c>
      <c r="E161" s="6">
        <f t="shared" si="2"/>
        <v>7</v>
      </c>
      <c r="F161" s="5">
        <f t="shared" si="3"/>
        <v>1</v>
      </c>
      <c r="G161" s="5">
        <f t="shared" si="4"/>
        <v>3</v>
      </c>
      <c r="H161" s="6">
        <f t="shared" si="5"/>
        <v>48</v>
      </c>
      <c r="I161" s="6">
        <f t="shared" si="6"/>
        <v>91</v>
      </c>
      <c r="J161" s="7"/>
      <c r="K161" s="7"/>
      <c r="L161" s="7"/>
    </row>
    <row r="162">
      <c r="A162" s="3">
        <v>45008.0</v>
      </c>
      <c r="B162" s="6" t="s">
        <v>41</v>
      </c>
      <c r="C162" s="5" t="str">
        <f>IFERROR(VLOOKUP(B162,'Overall Bean Summary'!A$2:B$36,2,FALSE),"")</f>
        <v>Bad</v>
      </c>
      <c r="D162" s="6">
        <f t="shared" si="1"/>
        <v>0</v>
      </c>
      <c r="E162" s="6">
        <f t="shared" si="2"/>
        <v>8</v>
      </c>
      <c r="F162" s="5">
        <f t="shared" si="3"/>
        <v>1</v>
      </c>
      <c r="G162" s="5">
        <f t="shared" si="4"/>
        <v>1</v>
      </c>
      <c r="H162" s="6">
        <f t="shared" si="5"/>
        <v>49</v>
      </c>
      <c r="I162" s="6">
        <f t="shared" si="6"/>
        <v>92</v>
      </c>
      <c r="J162" s="7"/>
      <c r="K162" s="7"/>
      <c r="L162" s="7"/>
    </row>
    <row r="163">
      <c r="A163" s="3">
        <v>45009.0</v>
      </c>
      <c r="B163" s="6" t="s">
        <v>80</v>
      </c>
      <c r="C163" s="5" t="str">
        <f>IFERROR(VLOOKUP(B163,'Overall Bean Summary'!A$2:B$36,2,FALSE),"")</f>
        <v>Bad</v>
      </c>
      <c r="D163" s="6">
        <f t="shared" si="1"/>
        <v>0</v>
      </c>
      <c r="E163" s="6">
        <f t="shared" si="2"/>
        <v>9</v>
      </c>
      <c r="F163" s="5">
        <f t="shared" si="3"/>
        <v>1</v>
      </c>
      <c r="G163" s="5">
        <f t="shared" si="4"/>
        <v>1</v>
      </c>
      <c r="H163" s="6">
        <f t="shared" si="5"/>
        <v>50</v>
      </c>
      <c r="I163" s="6">
        <f t="shared" si="6"/>
        <v>93</v>
      </c>
      <c r="J163" s="7"/>
      <c r="K163" s="7"/>
      <c r="L163" s="7"/>
    </row>
    <row r="164">
      <c r="A164" s="3">
        <v>45013.0</v>
      </c>
      <c r="B164" s="26" t="s">
        <v>48</v>
      </c>
      <c r="C164" s="5" t="str">
        <f>IFERROR(VLOOKUP(B164,'Overall Bean Summary'!A$2:B$36,2,FALSE),"")</f>
        <v>Bad</v>
      </c>
      <c r="D164" s="6">
        <f t="shared" si="1"/>
        <v>0</v>
      </c>
      <c r="E164" s="6">
        <f t="shared" si="2"/>
        <v>10</v>
      </c>
      <c r="F164" s="5">
        <f t="shared" si="3"/>
        <v>1</v>
      </c>
      <c r="G164" s="5">
        <f t="shared" si="4"/>
        <v>1</v>
      </c>
      <c r="H164" s="6">
        <f t="shared" si="5"/>
        <v>51</v>
      </c>
      <c r="I164" s="6">
        <f t="shared" si="6"/>
        <v>94</v>
      </c>
      <c r="J164" s="7"/>
      <c r="K164" s="7"/>
      <c r="L164" s="7"/>
    </row>
    <row r="165">
      <c r="A165" s="3">
        <v>45014.0</v>
      </c>
      <c r="B165" s="6" t="s">
        <v>122</v>
      </c>
      <c r="C165" s="5" t="str">
        <f>IFERROR(VLOOKUP(B165,'Overall Bean Summary'!A$2:B$36,2,FALSE),"")</f>
        <v>Bad</v>
      </c>
      <c r="D165" s="6">
        <f t="shared" si="1"/>
        <v>0</v>
      </c>
      <c r="E165" s="6">
        <f t="shared" si="2"/>
        <v>11</v>
      </c>
      <c r="F165" s="5">
        <f t="shared" si="3"/>
        <v>1</v>
      </c>
      <c r="G165" s="5">
        <f t="shared" si="4"/>
        <v>1</v>
      </c>
      <c r="H165" s="6">
        <f t="shared" si="5"/>
        <v>52</v>
      </c>
      <c r="I165" s="6">
        <f t="shared" si="6"/>
        <v>95</v>
      </c>
      <c r="J165" s="7"/>
      <c r="K165" s="7"/>
      <c r="L165" s="7"/>
    </row>
    <row r="166">
      <c r="A166" s="3">
        <v>45014.0</v>
      </c>
      <c r="B166" s="6" t="s">
        <v>72</v>
      </c>
      <c r="C166" s="5" t="str">
        <f>IFERROR(VLOOKUP(B166,'Overall Bean Summary'!A$2:B$36,2,FALSE),"")</f>
        <v>Bad</v>
      </c>
      <c r="D166" s="6">
        <f t="shared" si="1"/>
        <v>0</v>
      </c>
      <c r="E166" s="6">
        <f t="shared" si="2"/>
        <v>12</v>
      </c>
      <c r="F166" s="5">
        <f t="shared" si="3"/>
        <v>1</v>
      </c>
      <c r="G166" s="5">
        <f t="shared" si="4"/>
        <v>2</v>
      </c>
      <c r="H166" s="6">
        <f t="shared" si="5"/>
        <v>53</v>
      </c>
      <c r="I166" s="6">
        <f t="shared" si="6"/>
        <v>96</v>
      </c>
      <c r="J166" s="7"/>
      <c r="K166" s="7"/>
      <c r="L166" s="7"/>
    </row>
    <row r="167">
      <c r="A167" s="3">
        <v>45015.0</v>
      </c>
      <c r="B167" s="6" t="s">
        <v>122</v>
      </c>
      <c r="C167" s="5" t="str">
        <f>IFERROR(VLOOKUP(B167,'Overall Bean Summary'!A$2:B$36,2,FALSE),"")</f>
        <v>Bad</v>
      </c>
      <c r="D167" s="6">
        <f t="shared" si="1"/>
        <v>0</v>
      </c>
      <c r="E167" s="6">
        <f t="shared" si="2"/>
        <v>13</v>
      </c>
      <c r="F167" s="5">
        <f t="shared" si="3"/>
        <v>1</v>
      </c>
      <c r="G167" s="5">
        <f t="shared" si="4"/>
        <v>1</v>
      </c>
      <c r="H167" s="6">
        <f t="shared" si="5"/>
        <v>54</v>
      </c>
      <c r="I167" s="6">
        <f t="shared" si="6"/>
        <v>97</v>
      </c>
      <c r="J167" s="7"/>
      <c r="K167" s="7"/>
      <c r="L167" s="7"/>
    </row>
    <row r="168">
      <c r="A168" s="3">
        <v>45016.0</v>
      </c>
      <c r="B168" s="6" t="s">
        <v>80</v>
      </c>
      <c r="C168" s="5" t="str">
        <f>IFERROR(VLOOKUP(B168,'Overall Bean Summary'!A$2:B$36,2,FALSE),"")</f>
        <v>Bad</v>
      </c>
      <c r="D168" s="6">
        <f t="shared" si="1"/>
        <v>0</v>
      </c>
      <c r="E168" s="6">
        <f t="shared" si="2"/>
        <v>14</v>
      </c>
      <c r="F168" s="5">
        <f t="shared" si="3"/>
        <v>1</v>
      </c>
      <c r="G168" s="5">
        <f t="shared" si="4"/>
        <v>1</v>
      </c>
      <c r="H168" s="6">
        <f t="shared" si="5"/>
        <v>55</v>
      </c>
      <c r="I168" s="6">
        <f t="shared" si="6"/>
        <v>98</v>
      </c>
      <c r="J168" s="7"/>
      <c r="K168" s="7"/>
      <c r="L168" s="7"/>
    </row>
    <row r="169">
      <c r="A169" s="3">
        <v>45016.0</v>
      </c>
      <c r="B169" s="6" t="s">
        <v>127</v>
      </c>
      <c r="C169" s="5" t="str">
        <f>IFERROR(VLOOKUP(B169,'Overall Bean Summary'!A$2:B$36,2,FALSE),"")</f>
        <v>Bad</v>
      </c>
      <c r="D169" s="6">
        <f t="shared" si="1"/>
        <v>0</v>
      </c>
      <c r="E169" s="6">
        <f t="shared" si="2"/>
        <v>15</v>
      </c>
      <c r="F169" s="5">
        <f t="shared" si="3"/>
        <v>1</v>
      </c>
      <c r="G169" s="5">
        <f t="shared" si="4"/>
        <v>2</v>
      </c>
      <c r="H169" s="6">
        <f t="shared" si="5"/>
        <v>56</v>
      </c>
      <c r="I169" s="6">
        <f t="shared" si="6"/>
        <v>99</v>
      </c>
      <c r="J169" s="7"/>
      <c r="K169" s="7"/>
      <c r="L169" s="7"/>
    </row>
    <row r="170">
      <c r="A170" s="3">
        <v>45016.0</v>
      </c>
      <c r="B170" s="6" t="s">
        <v>122</v>
      </c>
      <c r="C170" s="5" t="str">
        <f>IFERROR(VLOOKUP(B170,'Overall Bean Summary'!A$2:B$36,2,FALSE),"")</f>
        <v>Bad</v>
      </c>
      <c r="D170" s="6">
        <f t="shared" si="1"/>
        <v>0</v>
      </c>
      <c r="E170" s="6">
        <f t="shared" si="2"/>
        <v>16</v>
      </c>
      <c r="F170" s="5">
        <f t="shared" si="3"/>
        <v>1</v>
      </c>
      <c r="G170" s="5">
        <f t="shared" si="4"/>
        <v>3</v>
      </c>
      <c r="H170" s="6">
        <f t="shared" si="5"/>
        <v>57</v>
      </c>
      <c r="I170" s="6">
        <f t="shared" si="6"/>
        <v>100</v>
      </c>
      <c r="J170" s="7"/>
      <c r="K170" s="7"/>
      <c r="L170" s="7"/>
    </row>
    <row r="171">
      <c r="A171" s="3">
        <v>45019.0</v>
      </c>
      <c r="B171" s="6" t="s">
        <v>67</v>
      </c>
      <c r="C171" s="5" t="str">
        <f>IFERROR(VLOOKUP(B171,'Overall Bean Summary'!A$2:B$36,2,FALSE),"")</f>
        <v>Good</v>
      </c>
      <c r="D171" s="6">
        <f t="shared" si="1"/>
        <v>1</v>
      </c>
      <c r="E171" s="6">
        <f t="shared" si="2"/>
        <v>0</v>
      </c>
      <c r="F171" s="5">
        <f t="shared" si="3"/>
        <v>1</v>
      </c>
      <c r="G171" s="5">
        <f t="shared" si="4"/>
        <v>1</v>
      </c>
      <c r="H171" s="6">
        <f t="shared" si="5"/>
        <v>1</v>
      </c>
      <c r="I171" s="6">
        <f t="shared" si="6"/>
        <v>101</v>
      </c>
      <c r="J171" s="7"/>
      <c r="K171" s="7"/>
      <c r="L171" s="7"/>
    </row>
    <row r="172">
      <c r="A172" s="3">
        <v>45020.0</v>
      </c>
      <c r="B172" s="6" t="s">
        <v>72</v>
      </c>
      <c r="C172" s="5" t="str">
        <f>IFERROR(VLOOKUP(B172,'Overall Bean Summary'!A$2:B$36,2,FALSE),"")</f>
        <v>Bad</v>
      </c>
      <c r="D172" s="6">
        <f t="shared" si="1"/>
        <v>0</v>
      </c>
      <c r="E172" s="6">
        <f t="shared" si="2"/>
        <v>1</v>
      </c>
      <c r="F172" s="5">
        <f t="shared" si="3"/>
        <v>1</v>
      </c>
      <c r="G172" s="5">
        <f t="shared" si="4"/>
        <v>1</v>
      </c>
      <c r="H172" s="6">
        <f t="shared" si="5"/>
        <v>2</v>
      </c>
      <c r="I172" s="6">
        <f t="shared" si="6"/>
        <v>102</v>
      </c>
      <c r="J172" s="7"/>
      <c r="K172" s="7"/>
      <c r="L172" s="7"/>
    </row>
    <row r="173">
      <c r="A173" s="3">
        <v>45021.0</v>
      </c>
      <c r="B173" s="6" t="s">
        <v>56</v>
      </c>
      <c r="C173" s="5" t="str">
        <f>IFERROR(VLOOKUP(B173,'Overall Bean Summary'!A$2:B$36,2,FALSE),"")</f>
        <v>Good</v>
      </c>
      <c r="D173" s="6">
        <f t="shared" si="1"/>
        <v>1</v>
      </c>
      <c r="E173" s="6">
        <f t="shared" si="2"/>
        <v>0</v>
      </c>
      <c r="F173" s="5">
        <f t="shared" si="3"/>
        <v>1</v>
      </c>
      <c r="G173" s="5">
        <f t="shared" si="4"/>
        <v>1</v>
      </c>
      <c r="H173" s="6">
        <f t="shared" si="5"/>
        <v>3</v>
      </c>
      <c r="I173" s="6">
        <f t="shared" si="6"/>
        <v>103</v>
      </c>
      <c r="J173" s="7"/>
      <c r="K173" s="7"/>
      <c r="L173" s="7"/>
    </row>
    <row r="174">
      <c r="A174" s="3">
        <v>45021.0</v>
      </c>
      <c r="B174" s="6" t="s">
        <v>59</v>
      </c>
      <c r="C174" s="5" t="str">
        <f>IFERROR(VLOOKUP(B174,'Overall Bean Summary'!A$2:B$36,2,FALSE),"")</f>
        <v>Good</v>
      </c>
      <c r="D174" s="6">
        <f t="shared" si="1"/>
        <v>2</v>
      </c>
      <c r="E174" s="6">
        <f t="shared" si="2"/>
        <v>0</v>
      </c>
      <c r="F174" s="5">
        <f t="shared" si="3"/>
        <v>1</v>
      </c>
      <c r="G174" s="5">
        <f t="shared" si="4"/>
        <v>2</v>
      </c>
      <c r="H174" s="6">
        <f t="shared" si="5"/>
        <v>4</v>
      </c>
      <c r="I174" s="6">
        <f t="shared" si="6"/>
        <v>104</v>
      </c>
      <c r="J174" s="7"/>
      <c r="K174" s="7"/>
      <c r="L174" s="7"/>
    </row>
    <row r="175">
      <c r="A175" s="3">
        <v>45021.0</v>
      </c>
      <c r="B175" s="6" t="s">
        <v>67</v>
      </c>
      <c r="C175" s="5" t="str">
        <f>IFERROR(VLOOKUP(B175,'Overall Bean Summary'!A$2:B$36,2,FALSE),"")</f>
        <v>Good</v>
      </c>
      <c r="D175" s="6">
        <f t="shared" si="1"/>
        <v>3</v>
      </c>
      <c r="E175" s="6">
        <f t="shared" si="2"/>
        <v>0</v>
      </c>
      <c r="F175" s="5">
        <f t="shared" si="3"/>
        <v>1</v>
      </c>
      <c r="G175" s="5">
        <f t="shared" si="4"/>
        <v>3</v>
      </c>
      <c r="H175" s="6">
        <f t="shared" si="5"/>
        <v>5</v>
      </c>
      <c r="I175" s="6">
        <f t="shared" si="6"/>
        <v>105</v>
      </c>
      <c r="J175" s="7"/>
      <c r="K175" s="7"/>
      <c r="L175" s="7"/>
    </row>
    <row r="176">
      <c r="A176" s="3">
        <v>45021.0</v>
      </c>
      <c r="B176" s="6" t="s">
        <v>122</v>
      </c>
      <c r="C176" s="5" t="str">
        <f>IFERROR(VLOOKUP(B176,'Overall Bean Summary'!A$2:B$36,2,FALSE),"")</f>
        <v>Bad</v>
      </c>
      <c r="D176" s="6">
        <f t="shared" si="1"/>
        <v>0</v>
      </c>
      <c r="E176" s="6">
        <f t="shared" si="2"/>
        <v>1</v>
      </c>
      <c r="F176" s="5">
        <f t="shared" si="3"/>
        <v>1</v>
      </c>
      <c r="G176" s="5">
        <f t="shared" si="4"/>
        <v>4</v>
      </c>
      <c r="H176" s="6">
        <f t="shared" si="5"/>
        <v>6</v>
      </c>
      <c r="I176" s="6">
        <f t="shared" si="6"/>
        <v>106</v>
      </c>
      <c r="J176" s="7"/>
      <c r="K176" s="7"/>
      <c r="L176" s="7"/>
    </row>
    <row r="177">
      <c r="A177" s="3">
        <v>45021.0</v>
      </c>
      <c r="B177" s="6" t="s">
        <v>122</v>
      </c>
      <c r="C177" s="5" t="str">
        <f>IFERROR(VLOOKUP(B177,'Overall Bean Summary'!A$2:B$36,2,FALSE),"")</f>
        <v>Bad</v>
      </c>
      <c r="D177" s="6">
        <f t="shared" si="1"/>
        <v>0</v>
      </c>
      <c r="E177" s="6">
        <f t="shared" si="2"/>
        <v>2</v>
      </c>
      <c r="F177" s="5">
        <f t="shared" si="3"/>
        <v>2</v>
      </c>
      <c r="G177" s="5">
        <f t="shared" si="4"/>
        <v>5</v>
      </c>
      <c r="H177" s="6">
        <f t="shared" si="5"/>
        <v>7</v>
      </c>
      <c r="I177" s="6">
        <f t="shared" si="6"/>
        <v>107</v>
      </c>
      <c r="J177" s="7"/>
      <c r="K177" s="7"/>
      <c r="L177" s="7"/>
    </row>
    <row r="178">
      <c r="A178" s="3">
        <v>45021.0</v>
      </c>
      <c r="B178" s="6" t="s">
        <v>124</v>
      </c>
      <c r="C178" s="5" t="str">
        <f>IFERROR(VLOOKUP(B178,'Overall Bean Summary'!A$2:B$36,2,FALSE),"")</f>
        <v>Good</v>
      </c>
      <c r="D178" s="6">
        <f t="shared" si="1"/>
        <v>1</v>
      </c>
      <c r="E178" s="6">
        <f t="shared" si="2"/>
        <v>0</v>
      </c>
      <c r="F178" s="5">
        <f t="shared" si="3"/>
        <v>1</v>
      </c>
      <c r="G178" s="5">
        <f t="shared" si="4"/>
        <v>6</v>
      </c>
      <c r="H178" s="6">
        <f t="shared" si="5"/>
        <v>8</v>
      </c>
      <c r="I178" s="6">
        <f t="shared" si="6"/>
        <v>108</v>
      </c>
      <c r="J178" s="7"/>
      <c r="K178" s="7"/>
      <c r="L178" s="7"/>
    </row>
    <row r="179">
      <c r="A179" s="3">
        <v>45021.0</v>
      </c>
      <c r="B179" s="6" t="s">
        <v>72</v>
      </c>
      <c r="C179" s="5" t="str">
        <f>IFERROR(VLOOKUP(B179,'Overall Bean Summary'!A$2:B$36,2,FALSE),"")</f>
        <v>Bad</v>
      </c>
      <c r="D179" s="6">
        <f t="shared" si="1"/>
        <v>0</v>
      </c>
      <c r="E179" s="6">
        <f t="shared" si="2"/>
        <v>1</v>
      </c>
      <c r="F179" s="5">
        <f t="shared" si="3"/>
        <v>1</v>
      </c>
      <c r="G179" s="5">
        <f t="shared" si="4"/>
        <v>7</v>
      </c>
      <c r="H179" s="6">
        <f t="shared" si="5"/>
        <v>9</v>
      </c>
      <c r="I179" s="6">
        <f t="shared" si="6"/>
        <v>109</v>
      </c>
      <c r="J179" s="7"/>
      <c r="K179" s="7"/>
      <c r="L179" s="7"/>
    </row>
    <row r="180">
      <c r="A180" s="3">
        <v>45021.0</v>
      </c>
      <c r="B180" s="6" t="s">
        <v>99</v>
      </c>
      <c r="C180" s="5" t="str">
        <f>IFERROR(VLOOKUP(B180,'Overall Bean Summary'!A$2:B$36,2,FALSE),"")</f>
        <v>Good</v>
      </c>
      <c r="D180" s="6">
        <f t="shared" si="1"/>
        <v>1</v>
      </c>
      <c r="E180" s="6">
        <f t="shared" si="2"/>
        <v>0</v>
      </c>
      <c r="F180" s="5">
        <f t="shared" si="3"/>
        <v>1</v>
      </c>
      <c r="G180" s="5">
        <f t="shared" si="4"/>
        <v>8</v>
      </c>
      <c r="H180" s="6">
        <f t="shared" si="5"/>
        <v>10</v>
      </c>
      <c r="I180" s="6">
        <f t="shared" si="6"/>
        <v>110</v>
      </c>
      <c r="J180" s="7"/>
      <c r="K180" s="7"/>
      <c r="L180" s="6" t="s">
        <v>186</v>
      </c>
    </row>
    <row r="181">
      <c r="A181" s="3">
        <v>45021.0</v>
      </c>
      <c r="B181" s="6" t="s">
        <v>63</v>
      </c>
      <c r="C181" s="5" t="str">
        <f>IFERROR(VLOOKUP(B181,'Overall Bean Summary'!A$2:B$36,2,FALSE),"")</f>
        <v>Bad</v>
      </c>
      <c r="D181" s="6">
        <f t="shared" si="1"/>
        <v>0</v>
      </c>
      <c r="E181" s="6">
        <f t="shared" si="2"/>
        <v>1</v>
      </c>
      <c r="F181" s="5">
        <f t="shared" si="3"/>
        <v>1</v>
      </c>
      <c r="G181" s="5">
        <f t="shared" si="4"/>
        <v>9</v>
      </c>
      <c r="H181" s="6">
        <f t="shared" si="5"/>
        <v>11</v>
      </c>
      <c r="I181" s="6">
        <f t="shared" si="6"/>
        <v>111</v>
      </c>
      <c r="J181" s="7"/>
      <c r="K181" s="7"/>
      <c r="L181" s="6" t="s">
        <v>187</v>
      </c>
    </row>
    <row r="182">
      <c r="A182" s="3">
        <v>45021.0</v>
      </c>
      <c r="B182" s="6" t="s">
        <v>122</v>
      </c>
      <c r="C182" s="5" t="str">
        <f>IFERROR(VLOOKUP(B182,'Overall Bean Summary'!A$2:B$36,2,FALSE),"")</f>
        <v>Bad</v>
      </c>
      <c r="D182" s="6">
        <f t="shared" si="1"/>
        <v>0</v>
      </c>
      <c r="E182" s="6">
        <f t="shared" si="2"/>
        <v>2</v>
      </c>
      <c r="F182" s="5">
        <f t="shared" si="3"/>
        <v>1</v>
      </c>
      <c r="G182" s="5">
        <f t="shared" si="4"/>
        <v>10</v>
      </c>
      <c r="H182" s="6">
        <f t="shared" si="5"/>
        <v>12</v>
      </c>
      <c r="I182" s="6">
        <f t="shared" si="6"/>
        <v>112</v>
      </c>
      <c r="J182" s="7"/>
      <c r="K182" s="7"/>
      <c r="L182" s="7"/>
    </row>
    <row r="183">
      <c r="A183" s="3">
        <v>45021.0</v>
      </c>
      <c r="B183" s="6" t="s">
        <v>122</v>
      </c>
      <c r="C183" s="5" t="str">
        <f>IFERROR(VLOOKUP(B183,'Overall Bean Summary'!A$2:B$36,2,FALSE),"")</f>
        <v>Bad</v>
      </c>
      <c r="D183" s="6">
        <f t="shared" si="1"/>
        <v>0</v>
      </c>
      <c r="E183" s="6">
        <f t="shared" si="2"/>
        <v>3</v>
      </c>
      <c r="F183" s="5">
        <f t="shared" si="3"/>
        <v>2</v>
      </c>
      <c r="G183" s="5">
        <f t="shared" si="4"/>
        <v>11</v>
      </c>
      <c r="H183" s="6">
        <f t="shared" si="5"/>
        <v>13</v>
      </c>
      <c r="I183" s="6">
        <f t="shared" si="6"/>
        <v>113</v>
      </c>
      <c r="J183" s="7"/>
      <c r="K183" s="7"/>
      <c r="L183" s="7"/>
    </row>
    <row r="184">
      <c r="A184" s="3">
        <v>45021.0</v>
      </c>
      <c r="B184" s="6" t="s">
        <v>122</v>
      </c>
      <c r="C184" s="5" t="str">
        <f>IFERROR(VLOOKUP(B184,'Overall Bean Summary'!A$2:B$36,2,FALSE),"")</f>
        <v>Bad</v>
      </c>
      <c r="D184" s="6">
        <f t="shared" si="1"/>
        <v>0</v>
      </c>
      <c r="E184" s="6">
        <f t="shared" si="2"/>
        <v>4</v>
      </c>
      <c r="F184" s="5">
        <f t="shared" si="3"/>
        <v>3</v>
      </c>
      <c r="G184" s="5">
        <f t="shared" si="4"/>
        <v>12</v>
      </c>
      <c r="H184" s="6">
        <f t="shared" si="5"/>
        <v>14</v>
      </c>
      <c r="I184" s="6">
        <f t="shared" si="6"/>
        <v>114</v>
      </c>
      <c r="J184" s="7"/>
      <c r="K184" s="7"/>
      <c r="L184" s="7"/>
    </row>
    <row r="185">
      <c r="A185" s="3">
        <v>45021.0</v>
      </c>
      <c r="B185" s="6" t="s">
        <v>124</v>
      </c>
      <c r="C185" s="5" t="str">
        <f>IFERROR(VLOOKUP(B185,'Overall Bean Summary'!A$2:B$36,2,FALSE),"")</f>
        <v>Good</v>
      </c>
      <c r="D185" s="6">
        <f t="shared" si="1"/>
        <v>1</v>
      </c>
      <c r="E185" s="6">
        <f t="shared" si="2"/>
        <v>0</v>
      </c>
      <c r="F185" s="5">
        <f t="shared" si="3"/>
        <v>1</v>
      </c>
      <c r="G185" s="5">
        <f t="shared" si="4"/>
        <v>13</v>
      </c>
      <c r="H185" s="6">
        <f t="shared" si="5"/>
        <v>15</v>
      </c>
      <c r="I185" s="6">
        <f t="shared" si="6"/>
        <v>115</v>
      </c>
      <c r="J185" s="7"/>
      <c r="K185" s="7"/>
      <c r="L185" s="7"/>
    </row>
    <row r="186">
      <c r="A186" s="3">
        <v>45021.0</v>
      </c>
      <c r="B186" s="6" t="s">
        <v>122</v>
      </c>
      <c r="C186" s="5" t="str">
        <f>IFERROR(VLOOKUP(B186,'Overall Bean Summary'!A$2:B$36,2,FALSE),"")</f>
        <v>Bad</v>
      </c>
      <c r="D186" s="6">
        <f t="shared" si="1"/>
        <v>0</v>
      </c>
      <c r="E186" s="6">
        <f t="shared" si="2"/>
        <v>1</v>
      </c>
      <c r="F186" s="5">
        <f t="shared" si="3"/>
        <v>1</v>
      </c>
      <c r="G186" s="5">
        <f t="shared" si="4"/>
        <v>14</v>
      </c>
      <c r="H186" s="6">
        <f t="shared" si="5"/>
        <v>16</v>
      </c>
      <c r="I186" s="6">
        <f t="shared" si="6"/>
        <v>116</v>
      </c>
      <c r="J186" s="7"/>
      <c r="K186" s="7"/>
      <c r="L186" s="7"/>
    </row>
    <row r="187">
      <c r="A187" s="3">
        <v>45022.0</v>
      </c>
      <c r="B187" s="6" t="s">
        <v>122</v>
      </c>
      <c r="C187" s="5" t="str">
        <f>IFERROR(VLOOKUP(B187,'Overall Bean Summary'!A$2:B$36,2,FALSE),"")</f>
        <v>Bad</v>
      </c>
      <c r="D187" s="6">
        <f t="shared" si="1"/>
        <v>0</v>
      </c>
      <c r="E187" s="6">
        <f t="shared" si="2"/>
        <v>2</v>
      </c>
      <c r="F187" s="5">
        <f t="shared" si="3"/>
        <v>2</v>
      </c>
      <c r="G187" s="5">
        <f t="shared" si="4"/>
        <v>1</v>
      </c>
      <c r="H187" s="6">
        <f t="shared" si="5"/>
        <v>17</v>
      </c>
      <c r="I187" s="6">
        <f t="shared" si="6"/>
        <v>117</v>
      </c>
      <c r="J187" s="7"/>
      <c r="K187" s="7"/>
      <c r="L187" s="7"/>
    </row>
    <row r="188">
      <c r="A188" s="3">
        <v>45022.0</v>
      </c>
      <c r="B188" s="6" t="s">
        <v>122</v>
      </c>
      <c r="C188" s="5" t="str">
        <f>IFERROR(VLOOKUP(B188,'Overall Bean Summary'!A$2:B$36,2,FALSE),"")</f>
        <v>Bad</v>
      </c>
      <c r="D188" s="6">
        <f t="shared" si="1"/>
        <v>0</v>
      </c>
      <c r="E188" s="6">
        <f t="shared" si="2"/>
        <v>3</v>
      </c>
      <c r="F188" s="5">
        <f t="shared" si="3"/>
        <v>3</v>
      </c>
      <c r="G188" s="5">
        <f t="shared" si="4"/>
        <v>2</v>
      </c>
      <c r="H188" s="6">
        <f t="shared" si="5"/>
        <v>18</v>
      </c>
      <c r="I188" s="6">
        <f t="shared" si="6"/>
        <v>118</v>
      </c>
      <c r="J188" s="7"/>
      <c r="K188" s="7"/>
      <c r="L188" s="7"/>
    </row>
    <row r="189">
      <c r="A189" s="3">
        <v>45023.0</v>
      </c>
      <c r="B189" s="6" t="s">
        <v>127</v>
      </c>
      <c r="C189" s="5" t="str">
        <f>IFERROR(VLOOKUP(B189,'Overall Bean Summary'!A$2:B$36,2,FALSE),"")</f>
        <v>Bad</v>
      </c>
      <c r="D189" s="6">
        <f t="shared" si="1"/>
        <v>0</v>
      </c>
      <c r="E189" s="6">
        <f t="shared" si="2"/>
        <v>4</v>
      </c>
      <c r="F189" s="5">
        <f t="shared" si="3"/>
        <v>1</v>
      </c>
      <c r="G189" s="5">
        <f t="shared" si="4"/>
        <v>1</v>
      </c>
      <c r="H189" s="6">
        <f t="shared" si="5"/>
        <v>19</v>
      </c>
      <c r="I189" s="6">
        <f t="shared" si="6"/>
        <v>119</v>
      </c>
      <c r="J189" s="7"/>
      <c r="K189" s="7"/>
      <c r="L189" s="7"/>
    </row>
    <row r="190">
      <c r="A190" s="3">
        <v>45023.0</v>
      </c>
      <c r="B190" s="6" t="s">
        <v>122</v>
      </c>
      <c r="C190" s="5" t="str">
        <f>IFERROR(VLOOKUP(B190,'Overall Bean Summary'!A$2:B$36,2,FALSE),"")</f>
        <v>Bad</v>
      </c>
      <c r="D190" s="6">
        <f t="shared" si="1"/>
        <v>0</v>
      </c>
      <c r="E190" s="6">
        <f t="shared" si="2"/>
        <v>5</v>
      </c>
      <c r="F190" s="5">
        <f t="shared" si="3"/>
        <v>1</v>
      </c>
      <c r="G190" s="5">
        <f t="shared" si="4"/>
        <v>2</v>
      </c>
      <c r="H190" s="6">
        <f t="shared" si="5"/>
        <v>20</v>
      </c>
      <c r="I190" s="6">
        <f t="shared" si="6"/>
        <v>120</v>
      </c>
      <c r="J190" s="7"/>
      <c r="K190" s="7"/>
      <c r="L190" s="6" t="s">
        <v>188</v>
      </c>
    </row>
    <row r="191">
      <c r="A191" s="3">
        <v>45027.0</v>
      </c>
      <c r="B191" s="6" t="s">
        <v>127</v>
      </c>
      <c r="C191" s="5" t="str">
        <f>IFERROR(VLOOKUP(B191,'Overall Bean Summary'!A$2:B$36,2,FALSE),"")</f>
        <v>Bad</v>
      </c>
      <c r="D191" s="6">
        <f t="shared" si="1"/>
        <v>0</v>
      </c>
      <c r="E191" s="6">
        <f t="shared" si="2"/>
        <v>6</v>
      </c>
      <c r="F191" s="5">
        <f t="shared" si="3"/>
        <v>1</v>
      </c>
      <c r="G191" s="5">
        <f t="shared" si="4"/>
        <v>1</v>
      </c>
      <c r="H191" s="6">
        <f t="shared" si="5"/>
        <v>21</v>
      </c>
      <c r="I191" s="6">
        <f t="shared" si="6"/>
        <v>121</v>
      </c>
      <c r="J191" s="7"/>
      <c r="K191" s="7"/>
      <c r="L191" s="7"/>
    </row>
    <row r="192">
      <c r="A192" s="3">
        <v>45027.0</v>
      </c>
      <c r="B192" s="6" t="s">
        <v>111</v>
      </c>
      <c r="C192" s="5" t="str">
        <f>IFERROR(VLOOKUP(B192,'Overall Bean Summary'!A$2:B$36,2,FALSE),"")</f>
        <v>Bad</v>
      </c>
      <c r="D192" s="6">
        <f t="shared" si="1"/>
        <v>0</v>
      </c>
      <c r="E192" s="6">
        <f t="shared" si="2"/>
        <v>7</v>
      </c>
      <c r="F192" s="5">
        <f t="shared" si="3"/>
        <v>1</v>
      </c>
      <c r="G192" s="5">
        <f t="shared" si="4"/>
        <v>2</v>
      </c>
      <c r="H192" s="6">
        <f t="shared" si="5"/>
        <v>22</v>
      </c>
      <c r="I192" s="6">
        <f t="shared" si="6"/>
        <v>122</v>
      </c>
      <c r="J192" s="7"/>
      <c r="K192" s="7"/>
      <c r="L192" s="7"/>
    </row>
    <row r="193">
      <c r="A193" s="3">
        <v>45027.0</v>
      </c>
      <c r="B193" s="6" t="s">
        <v>80</v>
      </c>
      <c r="C193" s="5" t="str">
        <f>IFERROR(VLOOKUP(B193,'Overall Bean Summary'!A$2:B$36,2,FALSE),"")</f>
        <v>Bad</v>
      </c>
      <c r="D193" s="6">
        <f t="shared" si="1"/>
        <v>0</v>
      </c>
      <c r="E193" s="6">
        <f t="shared" si="2"/>
        <v>8</v>
      </c>
      <c r="F193" s="5">
        <f t="shared" si="3"/>
        <v>1</v>
      </c>
      <c r="G193" s="5">
        <f t="shared" si="4"/>
        <v>3</v>
      </c>
      <c r="H193" s="6">
        <f t="shared" si="5"/>
        <v>23</v>
      </c>
      <c r="I193" s="6">
        <f t="shared" si="6"/>
        <v>123</v>
      </c>
      <c r="J193" s="7"/>
      <c r="K193" s="7"/>
      <c r="L193" s="7"/>
    </row>
    <row r="194">
      <c r="A194" s="3">
        <v>45030.0</v>
      </c>
      <c r="B194" s="6" t="s">
        <v>124</v>
      </c>
      <c r="C194" s="5" t="str">
        <f>IFERROR(VLOOKUP(B194,'Overall Bean Summary'!A$2:B$36,2,FALSE),"")</f>
        <v>Good</v>
      </c>
      <c r="D194" s="6">
        <f t="shared" si="1"/>
        <v>1</v>
      </c>
      <c r="E194" s="6">
        <f t="shared" si="2"/>
        <v>0</v>
      </c>
      <c r="F194" s="5">
        <f t="shared" si="3"/>
        <v>1</v>
      </c>
      <c r="G194" s="5">
        <f t="shared" si="4"/>
        <v>1</v>
      </c>
      <c r="H194" s="6">
        <f t="shared" si="5"/>
        <v>24</v>
      </c>
      <c r="I194" s="6">
        <f t="shared" si="6"/>
        <v>124</v>
      </c>
      <c r="J194" s="7"/>
      <c r="K194" s="7"/>
      <c r="L194" s="7"/>
    </row>
    <row r="195">
      <c r="A195" s="3">
        <v>45030.0</v>
      </c>
      <c r="B195" s="6" t="s">
        <v>145</v>
      </c>
      <c r="C195" s="5" t="str">
        <f>IFERROR(VLOOKUP(B195,'Overall Bean Summary'!A$2:B$36,2,FALSE),"")</f>
        <v>Spicy</v>
      </c>
      <c r="D195" s="6">
        <f t="shared" si="1"/>
        <v>1</v>
      </c>
      <c r="E195" s="6">
        <f t="shared" si="2"/>
        <v>0</v>
      </c>
      <c r="F195" s="5">
        <f t="shared" si="3"/>
        <v>1</v>
      </c>
      <c r="G195" s="5">
        <f t="shared" si="4"/>
        <v>2</v>
      </c>
      <c r="H195" s="6">
        <f t="shared" si="5"/>
        <v>25</v>
      </c>
      <c r="I195" s="6">
        <f t="shared" si="6"/>
        <v>125</v>
      </c>
      <c r="J195" s="7"/>
      <c r="K195" s="7"/>
      <c r="L195" s="7"/>
    </row>
    <row r="196">
      <c r="A196" s="3">
        <v>45033.0</v>
      </c>
      <c r="B196" s="6" t="s">
        <v>141</v>
      </c>
      <c r="C196" s="5" t="str">
        <f>IFERROR(VLOOKUP(B196,'Overall Bean Summary'!A$2:B$36,2,FALSE),"")</f>
        <v>Spicy</v>
      </c>
      <c r="D196" s="6">
        <f t="shared" si="1"/>
        <v>1</v>
      </c>
      <c r="E196" s="6">
        <f t="shared" si="2"/>
        <v>0</v>
      </c>
      <c r="F196" s="5">
        <f t="shared" si="3"/>
        <v>1</v>
      </c>
      <c r="G196" s="5">
        <f t="shared" si="4"/>
        <v>1</v>
      </c>
      <c r="H196" s="6">
        <f t="shared" si="5"/>
        <v>26</v>
      </c>
      <c r="I196" s="6">
        <f t="shared" si="6"/>
        <v>126</v>
      </c>
      <c r="J196" s="7"/>
      <c r="K196" s="7"/>
      <c r="L196" s="7"/>
    </row>
    <row r="197">
      <c r="A197" s="3">
        <v>45033.0</v>
      </c>
      <c r="B197" s="6" t="s">
        <v>139</v>
      </c>
      <c r="C197" s="5" t="str">
        <f>IFERROR(VLOOKUP(B197,'Overall Bean Summary'!A$2:B$36,2,FALSE),"")</f>
        <v>Spicy</v>
      </c>
      <c r="D197" s="6">
        <f t="shared" si="1"/>
        <v>1</v>
      </c>
      <c r="E197" s="6">
        <f t="shared" si="2"/>
        <v>0</v>
      </c>
      <c r="F197" s="5">
        <f t="shared" si="3"/>
        <v>1</v>
      </c>
      <c r="G197" s="5">
        <f t="shared" si="4"/>
        <v>2</v>
      </c>
      <c r="H197" s="6">
        <f t="shared" si="5"/>
        <v>27</v>
      </c>
      <c r="I197" s="6">
        <f t="shared" si="6"/>
        <v>127</v>
      </c>
      <c r="J197" s="7"/>
      <c r="K197" s="7"/>
      <c r="L197" s="7"/>
    </row>
    <row r="198">
      <c r="A198" s="3">
        <v>45033.0</v>
      </c>
      <c r="B198" s="6" t="s">
        <v>140</v>
      </c>
      <c r="C198" s="5" t="str">
        <f>IFERROR(VLOOKUP(B198,'Overall Bean Summary'!A$2:B$36,2,FALSE),"")</f>
        <v>Spicy</v>
      </c>
      <c r="D198" s="6">
        <f t="shared" si="1"/>
        <v>1</v>
      </c>
      <c r="E198" s="6">
        <f t="shared" si="2"/>
        <v>0</v>
      </c>
      <c r="F198" s="5">
        <f t="shared" si="3"/>
        <v>1</v>
      </c>
      <c r="G198" s="5">
        <f t="shared" si="4"/>
        <v>3</v>
      </c>
      <c r="H198" s="6">
        <f t="shared" si="5"/>
        <v>28</v>
      </c>
      <c r="I198" s="6">
        <f t="shared" si="6"/>
        <v>128</v>
      </c>
      <c r="J198" s="7"/>
      <c r="K198" s="7"/>
      <c r="L198" s="6" t="s">
        <v>189</v>
      </c>
    </row>
    <row r="199">
      <c r="A199" s="3">
        <v>45033.0</v>
      </c>
      <c r="B199" s="6" t="s">
        <v>145</v>
      </c>
      <c r="C199" s="5" t="str">
        <f>IFERROR(VLOOKUP(B199,'Overall Bean Summary'!A$2:B$36,2,FALSE),"")</f>
        <v>Spicy</v>
      </c>
      <c r="D199" s="6">
        <f t="shared" si="1"/>
        <v>1</v>
      </c>
      <c r="E199" s="6">
        <f t="shared" si="2"/>
        <v>0</v>
      </c>
      <c r="F199" s="5">
        <f t="shared" si="3"/>
        <v>1</v>
      </c>
      <c r="G199" s="5">
        <f t="shared" si="4"/>
        <v>4</v>
      </c>
      <c r="H199" s="6">
        <f t="shared" si="5"/>
        <v>29</v>
      </c>
      <c r="I199" s="6">
        <f t="shared" si="6"/>
        <v>129</v>
      </c>
      <c r="J199" s="7"/>
      <c r="K199" s="7"/>
      <c r="L199" s="7"/>
    </row>
    <row r="200">
      <c r="A200" s="3">
        <v>45033.0</v>
      </c>
      <c r="B200" s="6" t="s">
        <v>140</v>
      </c>
      <c r="C200" s="5" t="str">
        <f>IFERROR(VLOOKUP(B200,'Overall Bean Summary'!A$2:B$36,2,FALSE),"")</f>
        <v>Spicy</v>
      </c>
      <c r="D200" s="6">
        <f t="shared" si="1"/>
        <v>1</v>
      </c>
      <c r="E200" s="6">
        <f t="shared" si="2"/>
        <v>0</v>
      </c>
      <c r="F200" s="5">
        <f t="shared" si="3"/>
        <v>1</v>
      </c>
      <c r="G200" s="5">
        <f t="shared" si="4"/>
        <v>5</v>
      </c>
      <c r="H200" s="6">
        <f t="shared" si="5"/>
        <v>30</v>
      </c>
      <c r="I200" s="6">
        <f t="shared" si="6"/>
        <v>130</v>
      </c>
      <c r="J200" s="7"/>
      <c r="K200" s="7"/>
      <c r="L200" s="7"/>
    </row>
    <row r="201">
      <c r="A201" s="3">
        <v>45033.0</v>
      </c>
      <c r="B201" s="6" t="s">
        <v>139</v>
      </c>
      <c r="C201" s="5" t="str">
        <f>IFERROR(VLOOKUP(B201,'Overall Bean Summary'!A$2:B$36,2,FALSE),"")</f>
        <v>Spicy</v>
      </c>
      <c r="D201" s="6">
        <f t="shared" si="1"/>
        <v>1</v>
      </c>
      <c r="E201" s="6">
        <f t="shared" si="2"/>
        <v>0</v>
      </c>
      <c r="F201" s="5">
        <f t="shared" si="3"/>
        <v>1</v>
      </c>
      <c r="G201" s="5">
        <f t="shared" si="4"/>
        <v>6</v>
      </c>
      <c r="H201" s="6">
        <f t="shared" si="5"/>
        <v>31</v>
      </c>
      <c r="I201" s="6">
        <f t="shared" si="6"/>
        <v>131</v>
      </c>
      <c r="J201" s="7"/>
      <c r="K201" s="7"/>
      <c r="L201" s="7"/>
    </row>
    <row r="202">
      <c r="A202" s="3">
        <v>45033.0</v>
      </c>
      <c r="B202" s="6" t="s">
        <v>145</v>
      </c>
      <c r="C202" s="5" t="str">
        <f>IFERROR(VLOOKUP(B202,'Overall Bean Summary'!A$2:B$36,2,FALSE),"")</f>
        <v>Spicy</v>
      </c>
      <c r="D202" s="6">
        <f t="shared" si="1"/>
        <v>1</v>
      </c>
      <c r="E202" s="6">
        <f t="shared" si="2"/>
        <v>0</v>
      </c>
      <c r="F202" s="5">
        <f t="shared" si="3"/>
        <v>1</v>
      </c>
      <c r="G202" s="5">
        <f t="shared" si="4"/>
        <v>7</v>
      </c>
      <c r="H202" s="6">
        <f t="shared" si="5"/>
        <v>32</v>
      </c>
      <c r="I202" s="6">
        <f t="shared" si="6"/>
        <v>132</v>
      </c>
      <c r="J202" s="7"/>
      <c r="K202" s="7"/>
      <c r="L202" s="7"/>
    </row>
    <row r="203">
      <c r="A203" s="3">
        <v>45034.0</v>
      </c>
      <c r="B203" s="6" t="s">
        <v>141</v>
      </c>
      <c r="C203" s="5" t="str">
        <f>IFERROR(VLOOKUP(B203,'Overall Bean Summary'!A$2:B$36,2,FALSE),"")</f>
        <v>Spicy</v>
      </c>
      <c r="D203" s="6">
        <f t="shared" si="1"/>
        <v>1</v>
      </c>
      <c r="E203" s="6">
        <f t="shared" si="2"/>
        <v>0</v>
      </c>
      <c r="F203" s="5">
        <f t="shared" si="3"/>
        <v>1</v>
      </c>
      <c r="G203" s="5">
        <f t="shared" si="4"/>
        <v>1</v>
      </c>
      <c r="H203" s="6">
        <f t="shared" si="5"/>
        <v>33</v>
      </c>
      <c r="I203" s="6">
        <f t="shared" si="6"/>
        <v>133</v>
      </c>
      <c r="J203" s="7"/>
      <c r="K203" s="7"/>
      <c r="L203" s="7"/>
    </row>
    <row r="204">
      <c r="A204" s="3">
        <v>45034.0</v>
      </c>
      <c r="B204" s="6" t="s">
        <v>141</v>
      </c>
      <c r="C204" s="5" t="str">
        <f>IFERROR(VLOOKUP(B204,'Overall Bean Summary'!A$2:B$36,2,FALSE),"")</f>
        <v>Spicy</v>
      </c>
      <c r="D204" s="6">
        <f t="shared" si="1"/>
        <v>1</v>
      </c>
      <c r="E204" s="6">
        <f t="shared" si="2"/>
        <v>0</v>
      </c>
      <c r="F204" s="5">
        <f t="shared" si="3"/>
        <v>2</v>
      </c>
      <c r="G204" s="5">
        <f t="shared" si="4"/>
        <v>2</v>
      </c>
      <c r="H204" s="6">
        <f t="shared" si="5"/>
        <v>34</v>
      </c>
      <c r="I204" s="6">
        <f t="shared" si="6"/>
        <v>134</v>
      </c>
      <c r="J204" s="7"/>
      <c r="K204" s="7"/>
      <c r="L204" s="7"/>
    </row>
    <row r="205">
      <c r="A205" s="3">
        <v>45034.0</v>
      </c>
      <c r="B205" s="6" t="s">
        <v>145</v>
      </c>
      <c r="C205" s="5" t="str">
        <f>IFERROR(VLOOKUP(B205,'Overall Bean Summary'!A$2:B$36,2,FALSE),"")</f>
        <v>Spicy</v>
      </c>
      <c r="D205" s="6">
        <f t="shared" si="1"/>
        <v>1</v>
      </c>
      <c r="E205" s="6">
        <f t="shared" si="2"/>
        <v>0</v>
      </c>
      <c r="F205" s="5">
        <f t="shared" si="3"/>
        <v>1</v>
      </c>
      <c r="G205" s="5">
        <f t="shared" si="4"/>
        <v>3</v>
      </c>
      <c r="H205" s="6">
        <f t="shared" si="5"/>
        <v>35</v>
      </c>
      <c r="I205" s="6">
        <f t="shared" si="6"/>
        <v>135</v>
      </c>
      <c r="J205" s="7"/>
      <c r="K205" s="7"/>
      <c r="L205" s="7"/>
    </row>
    <row r="206">
      <c r="A206" s="3">
        <v>45034.0</v>
      </c>
      <c r="B206" s="6" t="s">
        <v>145</v>
      </c>
      <c r="C206" s="5" t="str">
        <f>IFERROR(VLOOKUP(B206,'Overall Bean Summary'!A$2:B$36,2,FALSE),"")</f>
        <v>Spicy</v>
      </c>
      <c r="D206" s="6">
        <f t="shared" si="1"/>
        <v>1</v>
      </c>
      <c r="E206" s="6">
        <f t="shared" si="2"/>
        <v>0</v>
      </c>
      <c r="F206" s="5">
        <f t="shared" si="3"/>
        <v>2</v>
      </c>
      <c r="G206" s="5">
        <f t="shared" si="4"/>
        <v>4</v>
      </c>
      <c r="H206" s="6">
        <f t="shared" si="5"/>
        <v>36</v>
      </c>
      <c r="I206" s="6">
        <f t="shared" si="6"/>
        <v>136</v>
      </c>
      <c r="J206" s="7"/>
      <c r="K206" s="7"/>
      <c r="L206" s="7"/>
    </row>
    <row r="207">
      <c r="A207" s="3">
        <v>45034.0</v>
      </c>
      <c r="B207" s="6" t="s">
        <v>145</v>
      </c>
      <c r="C207" s="5" t="str">
        <f>IFERROR(VLOOKUP(B207,'Overall Bean Summary'!A$2:B$36,2,FALSE),"")</f>
        <v>Spicy</v>
      </c>
      <c r="D207" s="6">
        <f t="shared" si="1"/>
        <v>1</v>
      </c>
      <c r="E207" s="6">
        <f t="shared" si="2"/>
        <v>0</v>
      </c>
      <c r="F207" s="5">
        <f t="shared" si="3"/>
        <v>3</v>
      </c>
      <c r="G207" s="5">
        <f t="shared" si="4"/>
        <v>5</v>
      </c>
      <c r="H207" s="6">
        <f t="shared" si="5"/>
        <v>37</v>
      </c>
      <c r="I207" s="6">
        <f t="shared" si="6"/>
        <v>137</v>
      </c>
      <c r="J207" s="7"/>
      <c r="K207" s="7"/>
      <c r="L207" s="6" t="s">
        <v>190</v>
      </c>
    </row>
    <row r="208">
      <c r="A208" s="3">
        <v>45035.0</v>
      </c>
      <c r="B208" s="6" t="s">
        <v>145</v>
      </c>
      <c r="C208" s="5" t="str">
        <f>IFERROR(VLOOKUP(B208,'Overall Bean Summary'!A$2:B$36,2,FALSE),"")</f>
        <v>Spicy</v>
      </c>
      <c r="D208" s="6">
        <f t="shared" si="1"/>
        <v>1</v>
      </c>
      <c r="E208" s="6">
        <f t="shared" si="2"/>
        <v>0</v>
      </c>
      <c r="F208" s="5">
        <f t="shared" si="3"/>
        <v>4</v>
      </c>
      <c r="G208" s="5">
        <f t="shared" si="4"/>
        <v>1</v>
      </c>
      <c r="H208" s="6">
        <f t="shared" si="5"/>
        <v>38</v>
      </c>
      <c r="I208" s="6">
        <f t="shared" si="6"/>
        <v>138</v>
      </c>
      <c r="J208" s="7"/>
      <c r="K208" s="7"/>
      <c r="L208" s="7"/>
    </row>
    <row r="209">
      <c r="A209" s="3">
        <v>45035.0</v>
      </c>
      <c r="B209" s="6" t="s">
        <v>145</v>
      </c>
      <c r="C209" s="5" t="str">
        <f>IFERROR(VLOOKUP(B209,'Overall Bean Summary'!A$2:B$36,2,FALSE),"")</f>
        <v>Spicy</v>
      </c>
      <c r="D209" s="6">
        <f t="shared" si="1"/>
        <v>1</v>
      </c>
      <c r="E209" s="6">
        <f t="shared" si="2"/>
        <v>0</v>
      </c>
      <c r="F209" s="5">
        <f t="shared" si="3"/>
        <v>5</v>
      </c>
      <c r="G209" s="5">
        <f t="shared" si="4"/>
        <v>2</v>
      </c>
      <c r="H209" s="6">
        <f t="shared" si="5"/>
        <v>39</v>
      </c>
      <c r="I209" s="6">
        <f t="shared" si="6"/>
        <v>139</v>
      </c>
      <c r="J209" s="7"/>
      <c r="K209" s="7"/>
      <c r="L209" s="7"/>
    </row>
    <row r="210">
      <c r="A210" s="3">
        <v>45035.0</v>
      </c>
      <c r="B210" s="6" t="s">
        <v>137</v>
      </c>
      <c r="C210" s="5" t="str">
        <f>IFERROR(VLOOKUP(B210,'Overall Bean Summary'!A$2:B$36,2,FALSE),"")</f>
        <v>Spicy</v>
      </c>
      <c r="D210" s="6">
        <f t="shared" si="1"/>
        <v>1</v>
      </c>
      <c r="E210" s="6">
        <f t="shared" si="2"/>
        <v>0</v>
      </c>
      <c r="F210" s="5">
        <f t="shared" si="3"/>
        <v>1</v>
      </c>
      <c r="G210" s="5">
        <f t="shared" si="4"/>
        <v>3</v>
      </c>
      <c r="H210" s="6">
        <f t="shared" si="5"/>
        <v>40</v>
      </c>
      <c r="I210" s="6">
        <f t="shared" si="6"/>
        <v>140</v>
      </c>
      <c r="J210" s="7"/>
      <c r="K210" s="7"/>
      <c r="L210" s="7"/>
    </row>
    <row r="211">
      <c r="A211" s="3">
        <v>45035.0</v>
      </c>
      <c r="B211" s="6" t="s">
        <v>141</v>
      </c>
      <c r="C211" s="5" t="str">
        <f>IFERROR(VLOOKUP(B211,'Overall Bean Summary'!A$2:B$36,2,FALSE),"")</f>
        <v>Spicy</v>
      </c>
      <c r="D211" s="6">
        <f t="shared" si="1"/>
        <v>1</v>
      </c>
      <c r="E211" s="6">
        <f t="shared" si="2"/>
        <v>0</v>
      </c>
      <c r="F211" s="5">
        <f t="shared" si="3"/>
        <v>1</v>
      </c>
      <c r="G211" s="5">
        <f t="shared" si="4"/>
        <v>4</v>
      </c>
      <c r="H211" s="6">
        <f t="shared" si="5"/>
        <v>41</v>
      </c>
      <c r="I211" s="6">
        <f t="shared" si="6"/>
        <v>141</v>
      </c>
      <c r="J211" s="7"/>
      <c r="K211" s="7"/>
      <c r="L211" s="7"/>
    </row>
    <row r="212">
      <c r="A212" s="3">
        <v>45035.0</v>
      </c>
      <c r="B212" s="6" t="s">
        <v>141</v>
      </c>
      <c r="C212" s="5" t="str">
        <f>IFERROR(VLOOKUP(B212,'Overall Bean Summary'!A$2:B$36,2,FALSE),"")</f>
        <v>Spicy</v>
      </c>
      <c r="D212" s="6">
        <f t="shared" si="1"/>
        <v>1</v>
      </c>
      <c r="E212" s="6">
        <f t="shared" si="2"/>
        <v>0</v>
      </c>
      <c r="F212" s="5">
        <f t="shared" si="3"/>
        <v>2</v>
      </c>
      <c r="G212" s="5">
        <f t="shared" si="4"/>
        <v>5</v>
      </c>
      <c r="H212" s="6">
        <f t="shared" si="5"/>
        <v>42</v>
      </c>
      <c r="I212" s="6">
        <f t="shared" si="6"/>
        <v>142</v>
      </c>
      <c r="J212" s="7"/>
      <c r="K212" s="7"/>
      <c r="L212" s="7"/>
    </row>
    <row r="213">
      <c r="A213" s="3">
        <v>45035.0</v>
      </c>
      <c r="B213" s="6" t="s">
        <v>141</v>
      </c>
      <c r="C213" s="5" t="str">
        <f>IFERROR(VLOOKUP(B213,'Overall Bean Summary'!A$2:B$36,2,FALSE),"")</f>
        <v>Spicy</v>
      </c>
      <c r="D213" s="6">
        <f t="shared" si="1"/>
        <v>1</v>
      </c>
      <c r="E213" s="6">
        <f t="shared" si="2"/>
        <v>0</v>
      </c>
      <c r="F213" s="5">
        <f t="shared" si="3"/>
        <v>3</v>
      </c>
      <c r="G213" s="5">
        <f t="shared" si="4"/>
        <v>6</v>
      </c>
      <c r="H213" s="6">
        <f t="shared" si="5"/>
        <v>43</v>
      </c>
      <c r="I213" s="6">
        <f t="shared" si="6"/>
        <v>143</v>
      </c>
      <c r="J213" s="7"/>
      <c r="K213" s="7"/>
      <c r="M213" s="5" t="s">
        <v>16</v>
      </c>
      <c r="N213" s="5" t="s">
        <v>21</v>
      </c>
      <c r="O213" s="5" t="s">
        <v>16</v>
      </c>
      <c r="P213" s="5" t="s">
        <v>21</v>
      </c>
    </row>
    <row r="214">
      <c r="A214" s="3">
        <v>45036.0</v>
      </c>
      <c r="B214" s="6" t="s">
        <v>14</v>
      </c>
      <c r="C214" s="5" t="str">
        <f>IFERROR(VLOOKUP(B214,'Overall Bean Summary'!A$2:B$36,2,FALSE),"")</f>
        <v>Bad</v>
      </c>
      <c r="D214" s="6">
        <f t="shared" si="1"/>
        <v>0</v>
      </c>
      <c r="E214" s="6">
        <f t="shared" si="2"/>
        <v>1</v>
      </c>
      <c r="F214" s="5">
        <f t="shared" si="3"/>
        <v>1</v>
      </c>
      <c r="G214" s="5">
        <f t="shared" si="4"/>
        <v>1</v>
      </c>
      <c r="H214" s="6">
        <f t="shared" si="5"/>
        <v>44</v>
      </c>
      <c r="I214" s="6">
        <f t="shared" si="6"/>
        <v>144</v>
      </c>
      <c r="J214" s="7"/>
      <c r="K214" s="7"/>
      <c r="L214" s="5" t="s">
        <v>173</v>
      </c>
      <c r="M214" s="24">
        <f>COUNTIF(C214:C368, "Good")</f>
        <v>35</v>
      </c>
      <c r="N214" s="24">
        <f>COUNTIF(C214:C368, "Bad")</f>
        <v>116</v>
      </c>
      <c r="O214" s="25">
        <f>M214/(M214+N214)</f>
        <v>0.2317880795</v>
      </c>
      <c r="P214" s="25">
        <f>N214/(M214+N214)</f>
        <v>0.7682119205</v>
      </c>
    </row>
    <row r="215">
      <c r="A215" s="3">
        <v>45036.0</v>
      </c>
      <c r="B215" s="6" t="s">
        <v>45</v>
      </c>
      <c r="C215" s="5" t="str">
        <f>IFERROR(VLOOKUP(B215,'Overall Bean Summary'!A$2:B$36,2,FALSE),"")</f>
        <v>Good</v>
      </c>
      <c r="D215" s="6">
        <f t="shared" si="1"/>
        <v>1</v>
      </c>
      <c r="E215" s="6">
        <f t="shared" si="2"/>
        <v>0</v>
      </c>
      <c r="F215" s="5">
        <f t="shared" si="3"/>
        <v>1</v>
      </c>
      <c r="G215" s="5">
        <f t="shared" si="4"/>
        <v>2</v>
      </c>
      <c r="H215" s="6">
        <f t="shared" si="5"/>
        <v>45</v>
      </c>
      <c r="I215" s="6">
        <f t="shared" si="6"/>
        <v>145</v>
      </c>
      <c r="J215" s="7"/>
      <c r="K215" s="7"/>
      <c r="L215" s="7"/>
    </row>
    <row r="216">
      <c r="A216" s="3">
        <v>45036.0</v>
      </c>
      <c r="B216" s="6" t="s">
        <v>40</v>
      </c>
      <c r="C216" s="5" t="str">
        <f>IFERROR(VLOOKUP(B216,'Overall Bean Summary'!A$2:B$36,2,FALSE),"")</f>
        <v>Bad</v>
      </c>
      <c r="D216" s="6">
        <f t="shared" si="1"/>
        <v>0</v>
      </c>
      <c r="E216" s="6">
        <f t="shared" si="2"/>
        <v>1</v>
      </c>
      <c r="F216" s="5">
        <f t="shared" si="3"/>
        <v>1</v>
      </c>
      <c r="G216" s="5">
        <f t="shared" si="4"/>
        <v>3</v>
      </c>
      <c r="H216" s="6">
        <f t="shared" si="5"/>
        <v>46</v>
      </c>
      <c r="I216" s="6">
        <f t="shared" si="6"/>
        <v>146</v>
      </c>
      <c r="J216" s="7"/>
      <c r="K216" s="7"/>
      <c r="L216" s="7"/>
    </row>
    <row r="217">
      <c r="A217" s="3">
        <v>45036.0</v>
      </c>
      <c r="B217" s="6" t="s">
        <v>80</v>
      </c>
      <c r="C217" s="5" t="str">
        <f>IFERROR(VLOOKUP(B217,'Overall Bean Summary'!A$2:B$36,2,FALSE),"")</f>
        <v>Bad</v>
      </c>
      <c r="D217" s="6">
        <f t="shared" si="1"/>
        <v>0</v>
      </c>
      <c r="E217" s="6">
        <f t="shared" si="2"/>
        <v>2</v>
      </c>
      <c r="F217" s="5">
        <f t="shared" si="3"/>
        <v>1</v>
      </c>
      <c r="G217" s="5">
        <f t="shared" si="4"/>
        <v>4</v>
      </c>
      <c r="H217" s="6">
        <f t="shared" si="5"/>
        <v>47</v>
      </c>
      <c r="I217" s="6">
        <f t="shared" si="6"/>
        <v>147</v>
      </c>
      <c r="J217" s="7"/>
      <c r="K217" s="7"/>
      <c r="L217" s="7"/>
    </row>
    <row r="218">
      <c r="A218" s="3">
        <v>45037.0</v>
      </c>
      <c r="B218" s="6" t="s">
        <v>44</v>
      </c>
      <c r="C218" s="5" t="str">
        <f>IFERROR(VLOOKUP(B218,'Overall Bean Summary'!A$2:B$36,2,FALSE),"")</f>
        <v>Good</v>
      </c>
      <c r="D218" s="6">
        <f t="shared" si="1"/>
        <v>1</v>
      </c>
      <c r="E218" s="6">
        <f t="shared" si="2"/>
        <v>0</v>
      </c>
      <c r="F218" s="5">
        <f t="shared" si="3"/>
        <v>1</v>
      </c>
      <c r="G218" s="5">
        <f t="shared" si="4"/>
        <v>1</v>
      </c>
      <c r="H218" s="6">
        <f t="shared" si="5"/>
        <v>48</v>
      </c>
      <c r="I218" s="6">
        <f t="shared" si="6"/>
        <v>148</v>
      </c>
      <c r="J218" s="7"/>
      <c r="K218" s="7"/>
      <c r="L218" s="7"/>
    </row>
    <row r="219">
      <c r="A219" s="3">
        <v>45037.0</v>
      </c>
      <c r="B219" s="6" t="s">
        <v>51</v>
      </c>
      <c r="C219" s="5" t="str">
        <f>IFERROR(VLOOKUP(B219,'Overall Bean Summary'!A$2:B$36,2,FALSE),"")</f>
        <v>Bad</v>
      </c>
      <c r="D219" s="6">
        <f t="shared" si="1"/>
        <v>0</v>
      </c>
      <c r="E219" s="6">
        <f t="shared" si="2"/>
        <v>1</v>
      </c>
      <c r="F219" s="5">
        <f t="shared" si="3"/>
        <v>1</v>
      </c>
      <c r="G219" s="5">
        <f t="shared" si="4"/>
        <v>2</v>
      </c>
      <c r="H219" s="6">
        <f t="shared" si="5"/>
        <v>49</v>
      </c>
      <c r="I219" s="6">
        <f t="shared" si="6"/>
        <v>149</v>
      </c>
      <c r="J219" s="7"/>
      <c r="K219" s="7"/>
      <c r="L219" s="7"/>
    </row>
    <row r="220">
      <c r="A220" s="3">
        <v>45037.0</v>
      </c>
      <c r="B220" s="6" t="s">
        <v>14</v>
      </c>
      <c r="C220" s="5" t="str">
        <f>IFERROR(VLOOKUP(B220,'Overall Bean Summary'!A$2:B$36,2,FALSE),"")</f>
        <v>Bad</v>
      </c>
      <c r="D220" s="6">
        <f t="shared" si="1"/>
        <v>0</v>
      </c>
      <c r="E220" s="6">
        <f t="shared" si="2"/>
        <v>2</v>
      </c>
      <c r="F220" s="5">
        <f t="shared" si="3"/>
        <v>1</v>
      </c>
      <c r="G220" s="5">
        <f t="shared" si="4"/>
        <v>3</v>
      </c>
      <c r="H220" s="6">
        <f t="shared" si="5"/>
        <v>50</v>
      </c>
      <c r="I220" s="6">
        <f t="shared" si="6"/>
        <v>150</v>
      </c>
      <c r="J220" s="7"/>
      <c r="K220" s="7"/>
      <c r="L220" s="7"/>
    </row>
    <row r="221">
      <c r="A221" s="3">
        <v>45037.0</v>
      </c>
      <c r="B221" s="6" t="s">
        <v>14</v>
      </c>
      <c r="C221" s="5" t="str">
        <f>IFERROR(VLOOKUP(B221,'Overall Bean Summary'!A$2:B$36,2,FALSE),"")</f>
        <v>Bad</v>
      </c>
      <c r="D221" s="6">
        <f t="shared" si="1"/>
        <v>0</v>
      </c>
      <c r="E221" s="6">
        <f t="shared" si="2"/>
        <v>3</v>
      </c>
      <c r="F221" s="5">
        <f t="shared" si="3"/>
        <v>2</v>
      </c>
      <c r="G221" s="5">
        <f t="shared" si="4"/>
        <v>4</v>
      </c>
      <c r="H221" s="6">
        <f t="shared" si="5"/>
        <v>51</v>
      </c>
      <c r="I221" s="6">
        <f t="shared" si="6"/>
        <v>151</v>
      </c>
      <c r="J221" s="7"/>
      <c r="K221" s="7"/>
      <c r="L221" s="7"/>
    </row>
    <row r="222">
      <c r="A222" s="3">
        <v>45037.0</v>
      </c>
      <c r="B222" s="6" t="s">
        <v>41</v>
      </c>
      <c r="C222" s="5" t="str">
        <f>IFERROR(VLOOKUP(B222,'Overall Bean Summary'!A$2:B$36,2,FALSE),"")</f>
        <v>Bad</v>
      </c>
      <c r="D222" s="6">
        <f t="shared" si="1"/>
        <v>0</v>
      </c>
      <c r="E222" s="6">
        <f t="shared" si="2"/>
        <v>4</v>
      </c>
      <c r="F222" s="5">
        <f t="shared" si="3"/>
        <v>1</v>
      </c>
      <c r="G222" s="5">
        <f t="shared" si="4"/>
        <v>5</v>
      </c>
      <c r="H222" s="6">
        <f t="shared" si="5"/>
        <v>52</v>
      </c>
      <c r="I222" s="6">
        <f t="shared" si="6"/>
        <v>152</v>
      </c>
      <c r="J222" s="7"/>
      <c r="K222" s="7"/>
      <c r="L222" s="7"/>
    </row>
    <row r="223">
      <c r="A223" s="3">
        <v>45040.0</v>
      </c>
      <c r="B223" s="6" t="s">
        <v>58</v>
      </c>
      <c r="C223" s="5" t="str">
        <f>IFERROR(VLOOKUP(B223,'Overall Bean Summary'!A$2:B$36,2,FALSE),"")</f>
        <v>Bad</v>
      </c>
      <c r="D223" s="6">
        <f t="shared" si="1"/>
        <v>0</v>
      </c>
      <c r="E223" s="6">
        <f t="shared" si="2"/>
        <v>5</v>
      </c>
      <c r="F223" s="5">
        <f t="shared" si="3"/>
        <v>1</v>
      </c>
      <c r="G223" s="5">
        <f t="shared" si="4"/>
        <v>1</v>
      </c>
      <c r="H223" s="6">
        <f t="shared" si="5"/>
        <v>53</v>
      </c>
      <c r="I223" s="6">
        <f t="shared" si="6"/>
        <v>153</v>
      </c>
      <c r="J223" s="7"/>
      <c r="K223" s="7"/>
      <c r="L223" s="7"/>
    </row>
    <row r="224">
      <c r="A224" s="3">
        <v>45040.0</v>
      </c>
      <c r="B224" s="6" t="s">
        <v>40</v>
      </c>
      <c r="C224" s="5" t="str">
        <f>IFERROR(VLOOKUP(B224,'Overall Bean Summary'!A$2:B$36,2,FALSE),"")</f>
        <v>Bad</v>
      </c>
      <c r="D224" s="6">
        <f t="shared" si="1"/>
        <v>0</v>
      </c>
      <c r="E224" s="6">
        <f t="shared" si="2"/>
        <v>6</v>
      </c>
      <c r="F224" s="5">
        <f t="shared" si="3"/>
        <v>1</v>
      </c>
      <c r="G224" s="5">
        <f t="shared" si="4"/>
        <v>2</v>
      </c>
      <c r="H224" s="6">
        <f t="shared" si="5"/>
        <v>54</v>
      </c>
      <c r="I224" s="6">
        <f t="shared" si="6"/>
        <v>154</v>
      </c>
      <c r="J224" s="7"/>
      <c r="K224" s="7"/>
      <c r="L224" s="7"/>
    </row>
    <row r="225">
      <c r="A225" s="1">
        <v>45041.0</v>
      </c>
      <c r="B225" s="5" t="s">
        <v>40</v>
      </c>
      <c r="C225" s="5" t="str">
        <f>IFERROR(VLOOKUP(B225,'Overall Bean Summary'!A$2:B$36,2,FALSE),"")</f>
        <v>Bad</v>
      </c>
      <c r="D225" s="6">
        <f t="shared" si="1"/>
        <v>0</v>
      </c>
      <c r="E225" s="6">
        <f t="shared" si="2"/>
        <v>7</v>
      </c>
      <c r="F225" s="5">
        <f t="shared" si="3"/>
        <v>2</v>
      </c>
      <c r="G225" s="5">
        <f t="shared" si="4"/>
        <v>1</v>
      </c>
      <c r="H225" s="5">
        <f t="shared" si="5"/>
        <v>55</v>
      </c>
      <c r="I225" s="6">
        <f t="shared" si="6"/>
        <v>155</v>
      </c>
    </row>
    <row r="226">
      <c r="A226" s="1">
        <v>45041.0</v>
      </c>
      <c r="B226" s="5" t="s">
        <v>41</v>
      </c>
      <c r="C226" s="5" t="str">
        <f>IFERROR(VLOOKUP(B226,'Overall Bean Summary'!A$2:B$36,2,FALSE),"")</f>
        <v>Bad</v>
      </c>
      <c r="D226" s="6">
        <f t="shared" si="1"/>
        <v>0</v>
      </c>
      <c r="E226" s="6">
        <f t="shared" si="2"/>
        <v>8</v>
      </c>
      <c r="F226" s="5">
        <f t="shared" si="3"/>
        <v>1</v>
      </c>
      <c r="G226" s="5">
        <f t="shared" si="4"/>
        <v>2</v>
      </c>
      <c r="H226" s="5">
        <f t="shared" si="5"/>
        <v>56</v>
      </c>
      <c r="I226" s="6">
        <f t="shared" si="6"/>
        <v>156</v>
      </c>
      <c r="L226" s="5" t="s">
        <v>191</v>
      </c>
    </row>
    <row r="227">
      <c r="A227" s="1">
        <v>45042.0</v>
      </c>
      <c r="B227" s="5" t="s">
        <v>29</v>
      </c>
      <c r="C227" s="5" t="str">
        <f>IFERROR(VLOOKUP(B227,'Overall Bean Summary'!A$2:B$36,2,FALSE),"")</f>
        <v>Good</v>
      </c>
      <c r="D227" s="6">
        <f t="shared" si="1"/>
        <v>1</v>
      </c>
      <c r="E227" s="6">
        <f t="shared" si="2"/>
        <v>0</v>
      </c>
      <c r="F227" s="5">
        <f t="shared" si="3"/>
        <v>1</v>
      </c>
      <c r="G227" s="5">
        <f t="shared" si="4"/>
        <v>1</v>
      </c>
      <c r="H227" s="5">
        <f t="shared" si="5"/>
        <v>57</v>
      </c>
      <c r="I227" s="6">
        <f t="shared" si="6"/>
        <v>157</v>
      </c>
    </row>
    <row r="228">
      <c r="A228" s="1">
        <v>45042.0</v>
      </c>
      <c r="B228" s="5" t="s">
        <v>69</v>
      </c>
      <c r="C228" s="5" t="str">
        <f>IFERROR(VLOOKUP(B228,'Overall Bean Summary'!A$2:B$36,2,FALSE),"")</f>
        <v>Bad</v>
      </c>
      <c r="D228" s="6">
        <f t="shared" si="1"/>
        <v>0</v>
      </c>
      <c r="E228" s="6">
        <f t="shared" si="2"/>
        <v>1</v>
      </c>
      <c r="F228" s="5">
        <f t="shared" si="3"/>
        <v>1</v>
      </c>
      <c r="G228" s="5">
        <f t="shared" si="4"/>
        <v>2</v>
      </c>
      <c r="H228" s="5">
        <f t="shared" si="5"/>
        <v>58</v>
      </c>
      <c r="I228" s="6">
        <f t="shared" si="6"/>
        <v>158</v>
      </c>
    </row>
    <row r="229">
      <c r="A229" s="1">
        <v>45042.0</v>
      </c>
      <c r="B229" s="5" t="s">
        <v>41</v>
      </c>
      <c r="C229" s="5" t="str">
        <f>IFERROR(VLOOKUP(B229,'Overall Bean Summary'!A$2:B$36,2,FALSE),"")</f>
        <v>Bad</v>
      </c>
      <c r="D229" s="6">
        <f t="shared" si="1"/>
        <v>0</v>
      </c>
      <c r="E229" s="6">
        <f t="shared" si="2"/>
        <v>2</v>
      </c>
      <c r="F229" s="5">
        <f t="shared" si="3"/>
        <v>1</v>
      </c>
      <c r="G229" s="5">
        <f t="shared" si="4"/>
        <v>3</v>
      </c>
      <c r="H229" s="5">
        <f t="shared" si="5"/>
        <v>59</v>
      </c>
      <c r="I229" s="6">
        <f t="shared" si="6"/>
        <v>159</v>
      </c>
      <c r="L229" s="5" t="s">
        <v>192</v>
      </c>
    </row>
    <row r="230">
      <c r="A230" s="1">
        <v>45042.0</v>
      </c>
      <c r="B230" s="5" t="s">
        <v>45</v>
      </c>
      <c r="C230" s="5" t="str">
        <f>IFERROR(VLOOKUP(B230,'Overall Bean Summary'!A$2:B$36,2,FALSE),"")</f>
        <v>Good</v>
      </c>
      <c r="D230" s="6">
        <f t="shared" si="1"/>
        <v>1</v>
      </c>
      <c r="E230" s="6">
        <f t="shared" si="2"/>
        <v>0</v>
      </c>
      <c r="F230" s="5">
        <f t="shared" si="3"/>
        <v>1</v>
      </c>
      <c r="G230" s="5">
        <f t="shared" si="4"/>
        <v>4</v>
      </c>
      <c r="H230" s="5">
        <f t="shared" si="5"/>
        <v>60</v>
      </c>
      <c r="I230" s="6">
        <f t="shared" si="6"/>
        <v>160</v>
      </c>
    </row>
    <row r="231">
      <c r="A231" s="1">
        <v>45042.0</v>
      </c>
      <c r="B231" s="5" t="s">
        <v>95</v>
      </c>
      <c r="C231" s="5" t="str">
        <f>IFERROR(VLOOKUP(B231,'Overall Bean Summary'!A$2:B$36,2,FALSE),"")</f>
        <v>Good</v>
      </c>
      <c r="D231" s="6">
        <f t="shared" si="1"/>
        <v>2</v>
      </c>
      <c r="E231" s="6">
        <f t="shared" si="2"/>
        <v>0</v>
      </c>
      <c r="F231" s="5">
        <f t="shared" si="3"/>
        <v>1</v>
      </c>
      <c r="G231" s="5">
        <f t="shared" si="4"/>
        <v>5</v>
      </c>
      <c r="H231" s="5">
        <f t="shared" si="5"/>
        <v>61</v>
      </c>
      <c r="I231" s="6">
        <f t="shared" si="6"/>
        <v>161</v>
      </c>
    </row>
    <row r="232">
      <c r="A232" s="1">
        <v>45042.0</v>
      </c>
      <c r="B232" s="5" t="s">
        <v>40</v>
      </c>
      <c r="C232" s="5" t="str">
        <f>IFERROR(VLOOKUP(B232,'Overall Bean Summary'!A$2:B$36,2,FALSE),"")</f>
        <v>Bad</v>
      </c>
      <c r="D232" s="6">
        <f t="shared" si="1"/>
        <v>0</v>
      </c>
      <c r="E232" s="6">
        <f t="shared" si="2"/>
        <v>1</v>
      </c>
      <c r="F232" s="5">
        <f t="shared" si="3"/>
        <v>1</v>
      </c>
      <c r="G232" s="5">
        <f t="shared" si="4"/>
        <v>6</v>
      </c>
      <c r="H232" s="5">
        <f t="shared" si="5"/>
        <v>62</v>
      </c>
      <c r="I232" s="6">
        <f t="shared" si="6"/>
        <v>162</v>
      </c>
    </row>
    <row r="233">
      <c r="A233" s="1">
        <v>45042.0</v>
      </c>
      <c r="B233" s="5" t="s">
        <v>51</v>
      </c>
      <c r="C233" s="5" t="str">
        <f>IFERROR(VLOOKUP(B233,'Overall Bean Summary'!A$2:B$36,2,FALSE),"")</f>
        <v>Bad</v>
      </c>
      <c r="D233" s="6">
        <f t="shared" si="1"/>
        <v>0</v>
      </c>
      <c r="E233" s="6">
        <f t="shared" si="2"/>
        <v>2</v>
      </c>
      <c r="F233" s="5">
        <f t="shared" si="3"/>
        <v>1</v>
      </c>
      <c r="G233" s="5">
        <f t="shared" si="4"/>
        <v>7</v>
      </c>
      <c r="H233" s="5">
        <f t="shared" si="5"/>
        <v>63</v>
      </c>
      <c r="I233" s="6">
        <f t="shared" si="6"/>
        <v>163</v>
      </c>
    </row>
    <row r="234">
      <c r="A234" s="1">
        <v>45042.0</v>
      </c>
      <c r="B234" s="5" t="s">
        <v>40</v>
      </c>
      <c r="C234" s="5" t="str">
        <f>IFERROR(VLOOKUP(B234,'Overall Bean Summary'!A$2:B$36,2,FALSE),"")</f>
        <v>Bad</v>
      </c>
      <c r="D234" s="6">
        <f t="shared" si="1"/>
        <v>0</v>
      </c>
      <c r="E234" s="6">
        <f t="shared" si="2"/>
        <v>3</v>
      </c>
      <c r="F234" s="5">
        <f t="shared" si="3"/>
        <v>1</v>
      </c>
      <c r="G234" s="5">
        <f t="shared" si="4"/>
        <v>8</v>
      </c>
      <c r="H234" s="5">
        <f t="shared" si="5"/>
        <v>64</v>
      </c>
      <c r="I234" s="6">
        <f t="shared" si="6"/>
        <v>164</v>
      </c>
      <c r="L234" s="5" t="s">
        <v>193</v>
      </c>
    </row>
    <row r="235">
      <c r="A235" s="1">
        <v>45042.0</v>
      </c>
      <c r="B235" s="5" t="s">
        <v>53</v>
      </c>
      <c r="C235" s="5" t="str">
        <f>IFERROR(VLOOKUP(B235,'Overall Bean Summary'!A$2:B$36,2,FALSE),"")</f>
        <v>Good</v>
      </c>
      <c r="D235" s="6">
        <f t="shared" si="1"/>
        <v>1</v>
      </c>
      <c r="E235" s="6">
        <f t="shared" si="2"/>
        <v>0</v>
      </c>
      <c r="F235" s="5">
        <f t="shared" si="3"/>
        <v>1</v>
      </c>
      <c r="G235" s="5">
        <f t="shared" si="4"/>
        <v>9</v>
      </c>
      <c r="H235" s="5">
        <f t="shared" si="5"/>
        <v>65</v>
      </c>
      <c r="I235" s="6">
        <f t="shared" si="6"/>
        <v>165</v>
      </c>
    </row>
    <row r="236">
      <c r="A236" s="1">
        <v>45042.0</v>
      </c>
      <c r="B236" s="5" t="s">
        <v>67</v>
      </c>
      <c r="C236" s="5" t="str">
        <f>IFERROR(VLOOKUP(B236,'Overall Bean Summary'!A$2:B$36,2,FALSE),"")</f>
        <v>Good</v>
      </c>
      <c r="D236" s="6">
        <f t="shared" si="1"/>
        <v>2</v>
      </c>
      <c r="E236" s="6">
        <f t="shared" si="2"/>
        <v>0</v>
      </c>
      <c r="F236" s="5">
        <f t="shared" si="3"/>
        <v>1</v>
      </c>
      <c r="G236" s="5">
        <f t="shared" si="4"/>
        <v>10</v>
      </c>
      <c r="H236" s="5">
        <f t="shared" si="5"/>
        <v>66</v>
      </c>
      <c r="I236" s="6">
        <f t="shared" si="6"/>
        <v>166</v>
      </c>
      <c r="L236" s="5" t="s">
        <v>194</v>
      </c>
    </row>
    <row r="237">
      <c r="A237" s="1">
        <v>45042.0</v>
      </c>
      <c r="B237" s="5" t="s">
        <v>40</v>
      </c>
      <c r="C237" s="5" t="str">
        <f>IFERROR(VLOOKUP(B237,'Overall Bean Summary'!A$2:B$36,2,FALSE),"")</f>
        <v>Bad</v>
      </c>
      <c r="D237" s="6">
        <f t="shared" si="1"/>
        <v>0</v>
      </c>
      <c r="E237" s="6">
        <f t="shared" si="2"/>
        <v>1</v>
      </c>
      <c r="F237" s="5">
        <f t="shared" si="3"/>
        <v>1</v>
      </c>
      <c r="G237" s="5">
        <f t="shared" si="4"/>
        <v>11</v>
      </c>
      <c r="H237" s="5">
        <f t="shared" si="5"/>
        <v>67</v>
      </c>
      <c r="I237" s="6">
        <f t="shared" si="6"/>
        <v>167</v>
      </c>
      <c r="L237" s="5" t="s">
        <v>195</v>
      </c>
    </row>
    <row r="238">
      <c r="A238" s="1">
        <v>45042.0</v>
      </c>
      <c r="B238" s="5" t="s">
        <v>48</v>
      </c>
      <c r="C238" s="5" t="str">
        <f>IFERROR(VLOOKUP(B238,'Overall Bean Summary'!A$2:B$36,2,FALSE),"")</f>
        <v>Bad</v>
      </c>
      <c r="D238" s="6">
        <f t="shared" si="1"/>
        <v>0</v>
      </c>
      <c r="E238" s="6">
        <f t="shared" si="2"/>
        <v>2</v>
      </c>
      <c r="F238" s="5">
        <f t="shared" si="3"/>
        <v>1</v>
      </c>
      <c r="G238" s="5">
        <f t="shared" si="4"/>
        <v>12</v>
      </c>
      <c r="H238" s="5">
        <f t="shared" si="5"/>
        <v>68</v>
      </c>
      <c r="I238" s="6">
        <f t="shared" si="6"/>
        <v>168</v>
      </c>
    </row>
    <row r="239">
      <c r="A239" s="1">
        <v>45042.0</v>
      </c>
      <c r="B239" s="5" t="s">
        <v>58</v>
      </c>
      <c r="C239" s="5" t="str">
        <f>IFERROR(VLOOKUP(B239,'Overall Bean Summary'!A$2:B$36,2,FALSE),"")</f>
        <v>Bad</v>
      </c>
      <c r="D239" s="6">
        <f t="shared" si="1"/>
        <v>0</v>
      </c>
      <c r="E239" s="6">
        <f t="shared" si="2"/>
        <v>3</v>
      </c>
      <c r="F239" s="5">
        <f t="shared" si="3"/>
        <v>1</v>
      </c>
      <c r="G239" s="5">
        <f t="shared" si="4"/>
        <v>13</v>
      </c>
      <c r="H239" s="5">
        <f t="shared" si="5"/>
        <v>69</v>
      </c>
      <c r="I239" s="6">
        <f t="shared" si="6"/>
        <v>169</v>
      </c>
      <c r="L239" s="5" t="s">
        <v>196</v>
      </c>
    </row>
    <row r="240">
      <c r="A240" s="1">
        <v>45042.0</v>
      </c>
      <c r="B240" s="5" t="s">
        <v>44</v>
      </c>
      <c r="C240" s="5" t="str">
        <f>IFERROR(VLOOKUP(B240,'Overall Bean Summary'!A$2:B$36,2,FALSE),"")</f>
        <v>Good</v>
      </c>
      <c r="D240" s="6">
        <f t="shared" si="1"/>
        <v>1</v>
      </c>
      <c r="E240" s="6">
        <f t="shared" si="2"/>
        <v>0</v>
      </c>
      <c r="F240" s="5">
        <f t="shared" si="3"/>
        <v>1</v>
      </c>
      <c r="G240" s="5">
        <f t="shared" si="4"/>
        <v>14</v>
      </c>
      <c r="H240" s="5">
        <f t="shared" si="5"/>
        <v>70</v>
      </c>
      <c r="I240" s="6">
        <f t="shared" si="6"/>
        <v>170</v>
      </c>
    </row>
    <row r="241">
      <c r="A241" s="1">
        <v>45042.0</v>
      </c>
      <c r="B241" s="5" t="s">
        <v>14</v>
      </c>
      <c r="C241" s="5" t="str">
        <f>IFERROR(VLOOKUP(B241,'Overall Bean Summary'!A$2:B$36,2,FALSE),"")</f>
        <v>Bad</v>
      </c>
      <c r="D241" s="6">
        <f t="shared" si="1"/>
        <v>0</v>
      </c>
      <c r="E241" s="6">
        <f t="shared" si="2"/>
        <v>1</v>
      </c>
      <c r="F241" s="5">
        <f t="shared" si="3"/>
        <v>1</v>
      </c>
      <c r="G241" s="5">
        <f t="shared" si="4"/>
        <v>15</v>
      </c>
      <c r="H241" s="5">
        <f t="shared" si="5"/>
        <v>71</v>
      </c>
      <c r="I241" s="6">
        <f t="shared" si="6"/>
        <v>171</v>
      </c>
    </row>
    <row r="242">
      <c r="A242" s="1">
        <v>45043.0</v>
      </c>
      <c r="B242" s="5" t="s">
        <v>69</v>
      </c>
      <c r="C242" s="5" t="str">
        <f>IFERROR(VLOOKUP(B242,'Overall Bean Summary'!A$2:B$36,2,FALSE),"")</f>
        <v>Bad</v>
      </c>
      <c r="D242" s="6">
        <f t="shared" si="1"/>
        <v>0</v>
      </c>
      <c r="E242" s="6">
        <f t="shared" si="2"/>
        <v>2</v>
      </c>
      <c r="F242" s="5">
        <f t="shared" si="3"/>
        <v>1</v>
      </c>
      <c r="G242" s="5">
        <f t="shared" si="4"/>
        <v>1</v>
      </c>
      <c r="H242" s="5">
        <f t="shared" si="5"/>
        <v>72</v>
      </c>
      <c r="I242" s="6">
        <f t="shared" si="6"/>
        <v>172</v>
      </c>
      <c r="L242" s="5" t="s">
        <v>197</v>
      </c>
    </row>
    <row r="243">
      <c r="A243" s="1">
        <v>45043.0</v>
      </c>
      <c r="B243" s="5" t="s">
        <v>41</v>
      </c>
      <c r="C243" s="5" t="str">
        <f>IFERROR(VLOOKUP(B243,'Overall Bean Summary'!A$2:B$36,2,FALSE),"")</f>
        <v>Bad</v>
      </c>
      <c r="D243" s="6">
        <f t="shared" si="1"/>
        <v>0</v>
      </c>
      <c r="E243" s="6">
        <f t="shared" si="2"/>
        <v>3</v>
      </c>
      <c r="F243" s="5">
        <f t="shared" si="3"/>
        <v>1</v>
      </c>
      <c r="G243" s="5">
        <f t="shared" si="4"/>
        <v>2</v>
      </c>
      <c r="H243" s="5">
        <f t="shared" si="5"/>
        <v>73</v>
      </c>
      <c r="I243" s="6">
        <f t="shared" si="6"/>
        <v>173</v>
      </c>
    </row>
    <row r="244">
      <c r="A244" s="1">
        <v>45044.0</v>
      </c>
      <c r="B244" s="5" t="s">
        <v>56</v>
      </c>
      <c r="C244" s="5" t="str">
        <f>IFERROR(VLOOKUP(B244,'Overall Bean Summary'!A$2:B$36,2,FALSE),"")</f>
        <v>Good</v>
      </c>
      <c r="D244" s="6">
        <f t="shared" si="1"/>
        <v>1</v>
      </c>
      <c r="E244" s="6">
        <f t="shared" si="2"/>
        <v>0</v>
      </c>
      <c r="F244" s="5">
        <f t="shared" si="3"/>
        <v>1</v>
      </c>
      <c r="G244" s="5">
        <f t="shared" si="4"/>
        <v>1</v>
      </c>
      <c r="H244" s="5">
        <f t="shared" si="5"/>
        <v>74</v>
      </c>
      <c r="I244" s="6">
        <f t="shared" si="6"/>
        <v>174</v>
      </c>
    </row>
    <row r="245">
      <c r="A245" s="1">
        <v>45047.0</v>
      </c>
      <c r="B245" s="5" t="s">
        <v>80</v>
      </c>
      <c r="C245" s="5" t="str">
        <f>IFERROR(VLOOKUP(B245,'Overall Bean Summary'!A$2:B$36,2,FALSE),"")</f>
        <v>Bad</v>
      </c>
      <c r="D245" s="6">
        <f t="shared" si="1"/>
        <v>0</v>
      </c>
      <c r="E245" s="6">
        <f t="shared" si="2"/>
        <v>1</v>
      </c>
      <c r="F245" s="5">
        <f t="shared" si="3"/>
        <v>1</v>
      </c>
      <c r="G245" s="5">
        <f t="shared" si="4"/>
        <v>1</v>
      </c>
      <c r="H245" s="5">
        <f t="shared" si="5"/>
        <v>1</v>
      </c>
      <c r="I245" s="6">
        <f t="shared" si="6"/>
        <v>175</v>
      </c>
    </row>
    <row r="246">
      <c r="A246" s="1">
        <v>45048.0</v>
      </c>
      <c r="B246" s="5" t="s">
        <v>48</v>
      </c>
      <c r="C246" s="5" t="str">
        <f>IFERROR(VLOOKUP(B246,'Overall Bean Summary'!A$2:B$36,2,FALSE),"")</f>
        <v>Bad</v>
      </c>
      <c r="D246" s="6">
        <f t="shared" si="1"/>
        <v>0</v>
      </c>
      <c r="E246" s="6">
        <f t="shared" si="2"/>
        <v>2</v>
      </c>
      <c r="F246" s="5">
        <f t="shared" si="3"/>
        <v>1</v>
      </c>
      <c r="G246" s="5">
        <f t="shared" si="4"/>
        <v>1</v>
      </c>
      <c r="H246" s="5">
        <f t="shared" si="5"/>
        <v>2</v>
      </c>
      <c r="I246" s="6">
        <f t="shared" si="6"/>
        <v>176</v>
      </c>
    </row>
    <row r="247">
      <c r="A247" s="1">
        <v>45048.0</v>
      </c>
      <c r="B247" s="5" t="s">
        <v>72</v>
      </c>
      <c r="C247" s="5" t="str">
        <f>IFERROR(VLOOKUP(B247,'Overall Bean Summary'!A$2:B$36,2,FALSE),"")</f>
        <v>Bad</v>
      </c>
      <c r="D247" s="6">
        <f t="shared" si="1"/>
        <v>0</v>
      </c>
      <c r="E247" s="6">
        <f t="shared" si="2"/>
        <v>3</v>
      </c>
      <c r="F247" s="5">
        <f t="shared" si="3"/>
        <v>1</v>
      </c>
      <c r="G247" s="5">
        <f t="shared" si="4"/>
        <v>2</v>
      </c>
      <c r="H247" s="5">
        <f t="shared" si="5"/>
        <v>3</v>
      </c>
      <c r="I247" s="6">
        <f t="shared" si="6"/>
        <v>177</v>
      </c>
    </row>
    <row r="248">
      <c r="A248" s="1">
        <v>45049.0</v>
      </c>
      <c r="B248" s="5" t="s">
        <v>40</v>
      </c>
      <c r="C248" s="5" t="str">
        <f>IFERROR(VLOOKUP(B248,'Overall Bean Summary'!A$2:B$36,2,FALSE),"")</f>
        <v>Bad</v>
      </c>
      <c r="D248" s="6">
        <f t="shared" si="1"/>
        <v>0</v>
      </c>
      <c r="E248" s="6">
        <f t="shared" si="2"/>
        <v>4</v>
      </c>
      <c r="F248" s="5">
        <f t="shared" si="3"/>
        <v>1</v>
      </c>
      <c r="G248" s="5">
        <f t="shared" si="4"/>
        <v>1</v>
      </c>
      <c r="H248" s="5">
        <f t="shared" si="5"/>
        <v>4</v>
      </c>
      <c r="I248" s="6">
        <f t="shared" si="6"/>
        <v>178</v>
      </c>
    </row>
    <row r="249">
      <c r="A249" s="1">
        <v>45049.0</v>
      </c>
      <c r="B249" s="5" t="s">
        <v>48</v>
      </c>
      <c r="C249" s="5" t="str">
        <f>IFERROR(VLOOKUP(B249,'Overall Bean Summary'!A$2:B$36,2,FALSE),"")</f>
        <v>Bad</v>
      </c>
      <c r="D249" s="6">
        <f t="shared" si="1"/>
        <v>0</v>
      </c>
      <c r="E249" s="6">
        <f t="shared" si="2"/>
        <v>5</v>
      </c>
      <c r="F249" s="5">
        <f t="shared" si="3"/>
        <v>1</v>
      </c>
      <c r="G249" s="5">
        <f t="shared" si="4"/>
        <v>2</v>
      </c>
      <c r="H249" s="5">
        <f t="shared" si="5"/>
        <v>5</v>
      </c>
      <c r="I249" s="6">
        <f t="shared" si="6"/>
        <v>179</v>
      </c>
    </row>
    <row r="250">
      <c r="A250" s="1">
        <v>45049.0</v>
      </c>
      <c r="B250" s="5" t="s">
        <v>41</v>
      </c>
      <c r="C250" s="5" t="str">
        <f>IFERROR(VLOOKUP(B250,'Overall Bean Summary'!A$2:B$36,2,FALSE),"")</f>
        <v>Bad</v>
      </c>
      <c r="D250" s="6">
        <f t="shared" si="1"/>
        <v>0</v>
      </c>
      <c r="E250" s="6">
        <f t="shared" si="2"/>
        <v>6</v>
      </c>
      <c r="F250" s="5">
        <f t="shared" si="3"/>
        <v>1</v>
      </c>
      <c r="G250" s="5">
        <f t="shared" si="4"/>
        <v>3</v>
      </c>
      <c r="H250" s="5">
        <f t="shared" si="5"/>
        <v>6</v>
      </c>
      <c r="I250" s="6">
        <f t="shared" si="6"/>
        <v>180</v>
      </c>
    </row>
    <row r="251">
      <c r="A251" s="1">
        <v>45051.0</v>
      </c>
      <c r="B251" s="5" t="s">
        <v>80</v>
      </c>
      <c r="C251" s="5" t="str">
        <f>IFERROR(VLOOKUP(B251,'Overall Bean Summary'!A$2:B$36,2,FALSE),"")</f>
        <v>Bad</v>
      </c>
      <c r="D251" s="6">
        <f t="shared" si="1"/>
        <v>0</v>
      </c>
      <c r="E251" s="6">
        <f t="shared" si="2"/>
        <v>7</v>
      </c>
      <c r="F251" s="5">
        <f t="shared" si="3"/>
        <v>1</v>
      </c>
      <c r="G251" s="5">
        <f t="shared" si="4"/>
        <v>1</v>
      </c>
      <c r="H251" s="5">
        <f t="shared" si="5"/>
        <v>7</v>
      </c>
      <c r="I251" s="6">
        <f t="shared" si="6"/>
        <v>181</v>
      </c>
    </row>
    <row r="252">
      <c r="A252" s="1">
        <v>45051.0</v>
      </c>
      <c r="B252" s="5" t="s">
        <v>41</v>
      </c>
      <c r="C252" s="5" t="str">
        <f>IFERROR(VLOOKUP(B252,'Overall Bean Summary'!A$2:B$36,2,FALSE),"")</f>
        <v>Bad</v>
      </c>
      <c r="D252" s="6">
        <f t="shared" si="1"/>
        <v>0</v>
      </c>
      <c r="E252" s="6">
        <f t="shared" si="2"/>
        <v>8</v>
      </c>
      <c r="F252" s="5">
        <f t="shared" si="3"/>
        <v>1</v>
      </c>
      <c r="G252" s="5">
        <f t="shared" si="4"/>
        <v>2</v>
      </c>
      <c r="H252" s="5">
        <f t="shared" si="5"/>
        <v>8</v>
      </c>
      <c r="I252" s="6">
        <f t="shared" si="6"/>
        <v>182</v>
      </c>
    </row>
    <row r="253">
      <c r="A253" s="1">
        <v>45051.0</v>
      </c>
      <c r="B253" s="5" t="s">
        <v>58</v>
      </c>
      <c r="C253" s="5" t="str">
        <f>IFERROR(VLOOKUP(B253,'Overall Bean Summary'!A$2:B$36,2,FALSE),"")</f>
        <v>Bad</v>
      </c>
      <c r="D253" s="6">
        <f t="shared" si="1"/>
        <v>0</v>
      </c>
      <c r="E253" s="6">
        <f t="shared" si="2"/>
        <v>9</v>
      </c>
      <c r="F253" s="5">
        <f t="shared" si="3"/>
        <v>1</v>
      </c>
      <c r="G253" s="5">
        <f t="shared" si="4"/>
        <v>3</v>
      </c>
      <c r="H253" s="5">
        <f t="shared" si="5"/>
        <v>9</v>
      </c>
      <c r="I253" s="6">
        <f t="shared" si="6"/>
        <v>183</v>
      </c>
    </row>
    <row r="254">
      <c r="A254" s="1">
        <v>45051.0</v>
      </c>
      <c r="B254" s="5" t="s">
        <v>41</v>
      </c>
      <c r="C254" s="5" t="str">
        <f>IFERROR(VLOOKUP(B254,'Overall Bean Summary'!A$2:B$36,2,FALSE),"")</f>
        <v>Bad</v>
      </c>
      <c r="D254" s="6">
        <f t="shared" si="1"/>
        <v>0</v>
      </c>
      <c r="E254" s="6">
        <f t="shared" si="2"/>
        <v>10</v>
      </c>
      <c r="F254" s="5">
        <f t="shared" si="3"/>
        <v>1</v>
      </c>
      <c r="G254" s="5">
        <f t="shared" si="4"/>
        <v>4</v>
      </c>
      <c r="H254" s="5">
        <f t="shared" si="5"/>
        <v>10</v>
      </c>
      <c r="I254" s="6">
        <f t="shared" si="6"/>
        <v>184</v>
      </c>
    </row>
    <row r="255">
      <c r="A255" s="1">
        <v>45054.0</v>
      </c>
      <c r="B255" s="5" t="s">
        <v>63</v>
      </c>
      <c r="C255" s="5" t="str">
        <f>IFERROR(VLOOKUP(B255,'Overall Bean Summary'!A$2:B$36,2,FALSE),"")</f>
        <v>Bad</v>
      </c>
      <c r="D255" s="6">
        <f t="shared" si="1"/>
        <v>0</v>
      </c>
      <c r="E255" s="6">
        <f t="shared" si="2"/>
        <v>11</v>
      </c>
      <c r="F255" s="5">
        <f t="shared" si="3"/>
        <v>1</v>
      </c>
      <c r="G255" s="5">
        <f t="shared" si="4"/>
        <v>1</v>
      </c>
      <c r="H255" s="5">
        <f t="shared" si="5"/>
        <v>11</v>
      </c>
      <c r="I255" s="6">
        <f t="shared" si="6"/>
        <v>185</v>
      </c>
    </row>
    <row r="256">
      <c r="A256" s="1">
        <v>45055.0</v>
      </c>
      <c r="B256" s="5" t="s">
        <v>48</v>
      </c>
      <c r="C256" s="5" t="str">
        <f>IFERROR(VLOOKUP(B256,'Overall Bean Summary'!A$2:B$36,2,FALSE),"")</f>
        <v>Bad</v>
      </c>
      <c r="D256" s="6">
        <f t="shared" si="1"/>
        <v>0</v>
      </c>
      <c r="E256" s="6">
        <f t="shared" si="2"/>
        <v>12</v>
      </c>
      <c r="F256" s="5">
        <f t="shared" si="3"/>
        <v>1</v>
      </c>
      <c r="G256" s="5">
        <f t="shared" si="4"/>
        <v>1</v>
      </c>
      <c r="H256" s="5">
        <f t="shared" si="5"/>
        <v>12</v>
      </c>
      <c r="I256" s="6">
        <f t="shared" si="6"/>
        <v>186</v>
      </c>
    </row>
    <row r="257">
      <c r="A257" s="1">
        <v>45055.0</v>
      </c>
      <c r="B257" s="5" t="s">
        <v>41</v>
      </c>
      <c r="C257" s="5" t="str">
        <f>IFERROR(VLOOKUP(B257,'Overall Bean Summary'!A$2:B$36,2,FALSE),"")</f>
        <v>Bad</v>
      </c>
      <c r="D257" s="6">
        <f t="shared" si="1"/>
        <v>0</v>
      </c>
      <c r="E257" s="6">
        <f t="shared" si="2"/>
        <v>13</v>
      </c>
      <c r="F257" s="5">
        <f t="shared" si="3"/>
        <v>1</v>
      </c>
      <c r="G257" s="5">
        <f t="shared" si="4"/>
        <v>2</v>
      </c>
      <c r="H257" s="5">
        <f t="shared" si="5"/>
        <v>13</v>
      </c>
      <c r="I257" s="6">
        <f t="shared" si="6"/>
        <v>187</v>
      </c>
    </row>
    <row r="258">
      <c r="A258" s="1">
        <v>45056.0</v>
      </c>
      <c r="B258" s="5" t="s">
        <v>14</v>
      </c>
      <c r="C258" s="5" t="str">
        <f>IFERROR(VLOOKUP(B258,'Overall Bean Summary'!A$2:B$36,2,FALSE),"")</f>
        <v>Bad</v>
      </c>
      <c r="D258" s="6">
        <f t="shared" si="1"/>
        <v>0</v>
      </c>
      <c r="E258" s="6">
        <f t="shared" si="2"/>
        <v>14</v>
      </c>
      <c r="F258" s="5">
        <f t="shared" si="3"/>
        <v>1</v>
      </c>
      <c r="G258" s="5">
        <f t="shared" si="4"/>
        <v>1</v>
      </c>
      <c r="H258" s="5">
        <f t="shared" si="5"/>
        <v>14</v>
      </c>
      <c r="I258" s="6">
        <f t="shared" si="6"/>
        <v>188</v>
      </c>
    </row>
    <row r="259">
      <c r="A259" s="1">
        <v>45057.0</v>
      </c>
      <c r="B259" s="5" t="s">
        <v>48</v>
      </c>
      <c r="C259" s="5" t="str">
        <f>IFERROR(VLOOKUP(B259,'Overall Bean Summary'!A$2:B$36,2,FALSE),"")</f>
        <v>Bad</v>
      </c>
      <c r="D259" s="6">
        <f t="shared" si="1"/>
        <v>0</v>
      </c>
      <c r="E259" s="6">
        <f t="shared" si="2"/>
        <v>15</v>
      </c>
      <c r="F259" s="5">
        <f t="shared" si="3"/>
        <v>1</v>
      </c>
      <c r="G259" s="5">
        <f t="shared" si="4"/>
        <v>1</v>
      </c>
      <c r="H259" s="5">
        <f t="shared" si="5"/>
        <v>15</v>
      </c>
      <c r="I259" s="6">
        <f t="shared" si="6"/>
        <v>189</v>
      </c>
    </row>
    <row r="260">
      <c r="A260" s="1">
        <v>45057.0</v>
      </c>
      <c r="B260" s="5" t="s">
        <v>69</v>
      </c>
      <c r="C260" s="5" t="str">
        <f>IFERROR(VLOOKUP(B260,'Overall Bean Summary'!A$2:B$36,2,FALSE),"")</f>
        <v>Bad</v>
      </c>
      <c r="D260" s="6">
        <f t="shared" si="1"/>
        <v>0</v>
      </c>
      <c r="E260" s="6">
        <f t="shared" si="2"/>
        <v>16</v>
      </c>
      <c r="F260" s="5">
        <f t="shared" si="3"/>
        <v>1</v>
      </c>
      <c r="G260" s="5">
        <f t="shared" si="4"/>
        <v>2</v>
      </c>
      <c r="H260" s="5">
        <f t="shared" si="5"/>
        <v>16</v>
      </c>
      <c r="I260" s="6">
        <f t="shared" si="6"/>
        <v>190</v>
      </c>
    </row>
    <row r="261">
      <c r="A261" s="1">
        <v>45062.0</v>
      </c>
      <c r="B261" s="5" t="s">
        <v>48</v>
      </c>
      <c r="C261" s="5" t="str">
        <f>IFERROR(VLOOKUP(B261,'Overall Bean Summary'!A$2:B$36,2,FALSE),"")</f>
        <v>Bad</v>
      </c>
      <c r="D261" s="6">
        <f t="shared" si="1"/>
        <v>0</v>
      </c>
      <c r="E261" s="6">
        <f t="shared" si="2"/>
        <v>17</v>
      </c>
      <c r="F261" s="5">
        <f t="shared" si="3"/>
        <v>1</v>
      </c>
      <c r="G261" s="5">
        <f t="shared" si="4"/>
        <v>1</v>
      </c>
      <c r="H261" s="5">
        <f t="shared" si="5"/>
        <v>17</v>
      </c>
      <c r="I261" s="6">
        <f t="shared" si="6"/>
        <v>191</v>
      </c>
    </row>
    <row r="262">
      <c r="A262" s="1">
        <v>45062.0</v>
      </c>
      <c r="B262" s="5" t="s">
        <v>67</v>
      </c>
      <c r="C262" s="5" t="str">
        <f>IFERROR(VLOOKUP(B262,'Overall Bean Summary'!A$2:B$36,2,FALSE),"")</f>
        <v>Good</v>
      </c>
      <c r="D262" s="6">
        <f t="shared" si="1"/>
        <v>1</v>
      </c>
      <c r="E262" s="6">
        <f t="shared" si="2"/>
        <v>0</v>
      </c>
      <c r="F262" s="5">
        <f t="shared" si="3"/>
        <v>1</v>
      </c>
      <c r="G262" s="5">
        <f t="shared" si="4"/>
        <v>2</v>
      </c>
      <c r="H262" s="5">
        <f t="shared" si="5"/>
        <v>18</v>
      </c>
      <c r="I262" s="6">
        <f t="shared" si="6"/>
        <v>192</v>
      </c>
    </row>
    <row r="263">
      <c r="A263" s="1">
        <v>45063.0</v>
      </c>
      <c r="B263" s="5" t="s">
        <v>95</v>
      </c>
      <c r="C263" s="5" t="str">
        <f>IFERROR(VLOOKUP(B263,'Overall Bean Summary'!A$2:B$36,2,FALSE),"")</f>
        <v>Good</v>
      </c>
      <c r="D263" s="6">
        <f t="shared" si="1"/>
        <v>2</v>
      </c>
      <c r="E263" s="6">
        <f t="shared" si="2"/>
        <v>0</v>
      </c>
      <c r="F263" s="5">
        <f t="shared" si="3"/>
        <v>1</v>
      </c>
      <c r="G263" s="5">
        <f t="shared" si="4"/>
        <v>1</v>
      </c>
      <c r="H263" s="5">
        <f t="shared" si="5"/>
        <v>19</v>
      </c>
      <c r="I263" s="6">
        <f t="shared" si="6"/>
        <v>193</v>
      </c>
    </row>
    <row r="264">
      <c r="A264" s="1">
        <v>45064.0</v>
      </c>
      <c r="B264" s="5" t="s">
        <v>85</v>
      </c>
      <c r="C264" s="5" t="str">
        <f>IFERROR(VLOOKUP(B264,'Overall Bean Summary'!A$2:B$36,2,FALSE),"")</f>
        <v>Good</v>
      </c>
      <c r="D264" s="6">
        <f t="shared" si="1"/>
        <v>3</v>
      </c>
      <c r="E264" s="6">
        <f t="shared" si="2"/>
        <v>0</v>
      </c>
      <c r="F264" s="5">
        <f t="shared" si="3"/>
        <v>1</v>
      </c>
      <c r="G264" s="5">
        <f t="shared" si="4"/>
        <v>1</v>
      </c>
      <c r="H264" s="5">
        <f t="shared" si="5"/>
        <v>20</v>
      </c>
      <c r="I264" s="6">
        <f t="shared" si="6"/>
        <v>194</v>
      </c>
    </row>
    <row r="265">
      <c r="A265" s="1">
        <v>45069.0</v>
      </c>
      <c r="B265" s="5" t="s">
        <v>48</v>
      </c>
      <c r="C265" s="5" t="str">
        <f>IFERROR(VLOOKUP(B265,'Overall Bean Summary'!A$2:B$36,2,FALSE),"")</f>
        <v>Bad</v>
      </c>
      <c r="D265" s="6">
        <f t="shared" si="1"/>
        <v>0</v>
      </c>
      <c r="E265" s="6">
        <f t="shared" si="2"/>
        <v>1</v>
      </c>
      <c r="F265" s="5">
        <f t="shared" si="3"/>
        <v>1</v>
      </c>
      <c r="G265" s="5">
        <f t="shared" si="4"/>
        <v>1</v>
      </c>
      <c r="H265" s="5">
        <f t="shared" si="5"/>
        <v>21</v>
      </c>
      <c r="I265" s="6">
        <f t="shared" si="6"/>
        <v>195</v>
      </c>
    </row>
    <row r="266">
      <c r="A266" s="1">
        <v>45070.0</v>
      </c>
      <c r="B266" s="5" t="s">
        <v>48</v>
      </c>
      <c r="C266" s="5" t="str">
        <f>IFERROR(VLOOKUP(B266,'Overall Bean Summary'!A$2:B$36,2,FALSE),"")</f>
        <v>Bad</v>
      </c>
      <c r="D266" s="6">
        <f t="shared" si="1"/>
        <v>0</v>
      </c>
      <c r="E266" s="6">
        <f t="shared" si="2"/>
        <v>2</v>
      </c>
      <c r="F266" s="5">
        <f t="shared" si="3"/>
        <v>2</v>
      </c>
      <c r="G266" s="5">
        <f t="shared" si="4"/>
        <v>1</v>
      </c>
      <c r="H266" s="5">
        <f t="shared" si="5"/>
        <v>22</v>
      </c>
      <c r="I266" s="6">
        <f t="shared" si="6"/>
        <v>196</v>
      </c>
    </row>
    <row r="267">
      <c r="A267" s="1">
        <v>45070.0</v>
      </c>
      <c r="B267" s="5" t="s">
        <v>48</v>
      </c>
      <c r="C267" s="5" t="str">
        <f>IFERROR(VLOOKUP(B267,'Overall Bean Summary'!A$2:B$36,2,FALSE),"")</f>
        <v>Bad</v>
      </c>
      <c r="D267" s="6">
        <f t="shared" si="1"/>
        <v>0</v>
      </c>
      <c r="E267" s="6">
        <f t="shared" si="2"/>
        <v>3</v>
      </c>
      <c r="F267" s="5">
        <f t="shared" si="3"/>
        <v>3</v>
      </c>
      <c r="G267" s="5">
        <f t="shared" si="4"/>
        <v>2</v>
      </c>
      <c r="H267" s="5">
        <f t="shared" si="5"/>
        <v>23</v>
      </c>
      <c r="I267" s="6">
        <f t="shared" si="6"/>
        <v>197</v>
      </c>
    </row>
    <row r="268">
      <c r="A268" s="1">
        <v>45070.0</v>
      </c>
      <c r="B268" s="5" t="s">
        <v>40</v>
      </c>
      <c r="C268" s="5" t="str">
        <f>IFERROR(VLOOKUP(B268,'Overall Bean Summary'!A$2:B$36,2,FALSE),"")</f>
        <v>Bad</v>
      </c>
      <c r="D268" s="6">
        <f t="shared" si="1"/>
        <v>0</v>
      </c>
      <c r="E268" s="6">
        <f t="shared" si="2"/>
        <v>4</v>
      </c>
      <c r="F268" s="5">
        <f t="shared" si="3"/>
        <v>1</v>
      </c>
      <c r="G268" s="5">
        <f t="shared" si="4"/>
        <v>3</v>
      </c>
      <c r="H268" s="5">
        <f t="shared" si="5"/>
        <v>24</v>
      </c>
      <c r="I268" s="6">
        <f t="shared" si="6"/>
        <v>198</v>
      </c>
    </row>
    <row r="269">
      <c r="A269" s="1">
        <v>45070.0</v>
      </c>
      <c r="B269" s="5" t="s">
        <v>14</v>
      </c>
      <c r="C269" s="5" t="str">
        <f>IFERROR(VLOOKUP(B269,'Overall Bean Summary'!A$2:B$36,2,FALSE),"")</f>
        <v>Bad</v>
      </c>
      <c r="D269" s="6">
        <f t="shared" si="1"/>
        <v>0</v>
      </c>
      <c r="E269" s="6">
        <f t="shared" si="2"/>
        <v>5</v>
      </c>
      <c r="F269" s="5">
        <f t="shared" si="3"/>
        <v>1</v>
      </c>
      <c r="G269" s="5">
        <f t="shared" si="4"/>
        <v>4</v>
      </c>
      <c r="H269" s="5">
        <f t="shared" si="5"/>
        <v>25</v>
      </c>
      <c r="I269" s="6">
        <f t="shared" si="6"/>
        <v>199</v>
      </c>
    </row>
    <row r="270">
      <c r="A270" s="1">
        <v>45070.0</v>
      </c>
      <c r="B270" s="5" t="s">
        <v>41</v>
      </c>
      <c r="C270" s="5" t="str">
        <f>IFERROR(VLOOKUP(B270,'Overall Bean Summary'!A$2:B$36,2,FALSE),"")</f>
        <v>Bad</v>
      </c>
      <c r="D270" s="6">
        <f t="shared" si="1"/>
        <v>0</v>
      </c>
      <c r="E270" s="6">
        <f t="shared" si="2"/>
        <v>6</v>
      </c>
      <c r="F270" s="5">
        <f t="shared" si="3"/>
        <v>1</v>
      </c>
      <c r="G270" s="5">
        <f t="shared" si="4"/>
        <v>5</v>
      </c>
      <c r="H270" s="5">
        <f t="shared" si="5"/>
        <v>26</v>
      </c>
      <c r="I270" s="6">
        <f t="shared" si="6"/>
        <v>200</v>
      </c>
    </row>
    <row r="271">
      <c r="A271" s="1">
        <v>45071.0</v>
      </c>
      <c r="B271" s="5" t="s">
        <v>63</v>
      </c>
      <c r="C271" s="5" t="str">
        <f>IFERROR(VLOOKUP(B271,'Overall Bean Summary'!A$2:B$36,2,FALSE),"")</f>
        <v>Bad</v>
      </c>
      <c r="D271" s="6">
        <f t="shared" si="1"/>
        <v>0</v>
      </c>
      <c r="E271" s="6">
        <f t="shared" si="2"/>
        <v>7</v>
      </c>
      <c r="F271" s="5">
        <f t="shared" si="3"/>
        <v>1</v>
      </c>
      <c r="G271" s="5">
        <f t="shared" si="4"/>
        <v>1</v>
      </c>
      <c r="H271" s="5">
        <f t="shared" si="5"/>
        <v>27</v>
      </c>
      <c r="I271" s="6">
        <f t="shared" si="6"/>
        <v>201</v>
      </c>
    </row>
    <row r="272">
      <c r="A272" s="1">
        <v>45071.0</v>
      </c>
      <c r="B272" s="5" t="s">
        <v>67</v>
      </c>
      <c r="C272" s="5" t="str">
        <f>IFERROR(VLOOKUP(B272,'Overall Bean Summary'!A$2:B$36,2,FALSE),"")</f>
        <v>Good</v>
      </c>
      <c r="D272" s="6">
        <f t="shared" si="1"/>
        <v>1</v>
      </c>
      <c r="E272" s="6">
        <f t="shared" si="2"/>
        <v>0</v>
      </c>
      <c r="F272" s="5">
        <f t="shared" si="3"/>
        <v>1</v>
      </c>
      <c r="G272" s="5">
        <f t="shared" si="4"/>
        <v>2</v>
      </c>
      <c r="H272" s="5">
        <f t="shared" si="5"/>
        <v>28</v>
      </c>
      <c r="I272" s="6">
        <f t="shared" si="6"/>
        <v>202</v>
      </c>
    </row>
    <row r="273">
      <c r="A273" s="1">
        <v>45071.0</v>
      </c>
      <c r="B273" s="5" t="s">
        <v>29</v>
      </c>
      <c r="C273" s="5" t="str">
        <f>IFERROR(VLOOKUP(B273,'Overall Bean Summary'!A$2:B$36,2,FALSE),"")</f>
        <v>Good</v>
      </c>
      <c r="D273" s="6">
        <f t="shared" si="1"/>
        <v>2</v>
      </c>
      <c r="E273" s="6">
        <f t="shared" si="2"/>
        <v>0</v>
      </c>
      <c r="F273" s="5">
        <f t="shared" si="3"/>
        <v>1</v>
      </c>
      <c r="G273" s="5">
        <f t="shared" si="4"/>
        <v>3</v>
      </c>
      <c r="H273" s="5">
        <f t="shared" si="5"/>
        <v>29</v>
      </c>
      <c r="I273" s="6">
        <f t="shared" si="6"/>
        <v>203</v>
      </c>
    </row>
    <row r="274">
      <c r="A274" s="1">
        <v>45071.0</v>
      </c>
      <c r="B274" s="5" t="s">
        <v>95</v>
      </c>
      <c r="C274" s="5" t="str">
        <f>IFERROR(VLOOKUP(B274,'Overall Bean Summary'!A$2:B$36,2,FALSE),"")</f>
        <v>Good</v>
      </c>
      <c r="D274" s="6">
        <f t="shared" si="1"/>
        <v>3</v>
      </c>
      <c r="E274" s="6">
        <f t="shared" si="2"/>
        <v>0</v>
      </c>
      <c r="F274" s="5">
        <f t="shared" si="3"/>
        <v>1</v>
      </c>
      <c r="G274" s="5">
        <f t="shared" si="4"/>
        <v>4</v>
      </c>
      <c r="H274" s="5">
        <f t="shared" si="5"/>
        <v>30</v>
      </c>
      <c r="I274" s="6">
        <f t="shared" si="6"/>
        <v>204</v>
      </c>
    </row>
    <row r="275">
      <c r="A275" s="1">
        <v>45072.0</v>
      </c>
      <c r="B275" s="5" t="s">
        <v>14</v>
      </c>
      <c r="C275" s="5" t="str">
        <f>IFERROR(VLOOKUP(B275,'Overall Bean Summary'!A$2:B$36,2,FALSE),"")</f>
        <v>Bad</v>
      </c>
      <c r="D275" s="6">
        <f t="shared" si="1"/>
        <v>0</v>
      </c>
      <c r="E275" s="6">
        <f t="shared" si="2"/>
        <v>1</v>
      </c>
      <c r="F275" s="5">
        <f t="shared" si="3"/>
        <v>1</v>
      </c>
      <c r="G275" s="5">
        <f t="shared" si="4"/>
        <v>1</v>
      </c>
      <c r="H275" s="5">
        <f t="shared" si="5"/>
        <v>31</v>
      </c>
      <c r="I275" s="6">
        <f t="shared" si="6"/>
        <v>205</v>
      </c>
    </row>
    <row r="276">
      <c r="A276" s="1">
        <v>45072.0</v>
      </c>
      <c r="B276" s="5" t="s">
        <v>29</v>
      </c>
      <c r="C276" s="5" t="str">
        <f>IFERROR(VLOOKUP(B276,'Overall Bean Summary'!A$2:B$36,2,FALSE),"")</f>
        <v>Good</v>
      </c>
      <c r="D276" s="6">
        <f t="shared" si="1"/>
        <v>1</v>
      </c>
      <c r="E276" s="6">
        <f t="shared" si="2"/>
        <v>0</v>
      </c>
      <c r="F276" s="5">
        <f t="shared" si="3"/>
        <v>1</v>
      </c>
      <c r="G276" s="5">
        <f t="shared" si="4"/>
        <v>2</v>
      </c>
      <c r="H276" s="5">
        <f t="shared" si="5"/>
        <v>32</v>
      </c>
      <c r="I276" s="6">
        <f t="shared" si="6"/>
        <v>206</v>
      </c>
    </row>
    <row r="277">
      <c r="A277" s="1">
        <v>45072.0</v>
      </c>
      <c r="B277" s="5" t="s">
        <v>53</v>
      </c>
      <c r="C277" s="5" t="str">
        <f>IFERROR(VLOOKUP(B277,'Overall Bean Summary'!A$2:B$36,2,FALSE),"")</f>
        <v>Good</v>
      </c>
      <c r="D277" s="6">
        <f t="shared" si="1"/>
        <v>2</v>
      </c>
      <c r="E277" s="6">
        <f t="shared" si="2"/>
        <v>0</v>
      </c>
      <c r="F277" s="5">
        <f t="shared" si="3"/>
        <v>1</v>
      </c>
      <c r="G277" s="5">
        <f t="shared" si="4"/>
        <v>3</v>
      </c>
      <c r="H277" s="5">
        <f t="shared" si="5"/>
        <v>33</v>
      </c>
      <c r="I277" s="6">
        <f t="shared" si="6"/>
        <v>207</v>
      </c>
    </row>
    <row r="278">
      <c r="A278" s="1">
        <v>45075.0</v>
      </c>
      <c r="B278" s="5" t="s">
        <v>48</v>
      </c>
      <c r="C278" s="5" t="str">
        <f>IFERROR(VLOOKUP(B278,'Overall Bean Summary'!A$2:B$36,2,FALSE),"")</f>
        <v>Bad</v>
      </c>
      <c r="D278" s="6">
        <f t="shared" si="1"/>
        <v>0</v>
      </c>
      <c r="E278" s="6">
        <f t="shared" si="2"/>
        <v>1</v>
      </c>
      <c r="F278" s="5">
        <f t="shared" si="3"/>
        <v>1</v>
      </c>
      <c r="G278" s="5">
        <f t="shared" si="4"/>
        <v>1</v>
      </c>
      <c r="H278" s="5">
        <f t="shared" si="5"/>
        <v>34</v>
      </c>
      <c r="I278" s="6">
        <f t="shared" si="6"/>
        <v>208</v>
      </c>
      <c r="L278" s="5" t="s">
        <v>198</v>
      </c>
    </row>
    <row r="279">
      <c r="A279" s="1">
        <v>45076.0</v>
      </c>
      <c r="B279" s="5" t="s">
        <v>40</v>
      </c>
      <c r="C279" s="5" t="str">
        <f>IFERROR(VLOOKUP(B279,'Overall Bean Summary'!A$2:B$36,2,FALSE),"")</f>
        <v>Bad</v>
      </c>
      <c r="D279" s="6">
        <f t="shared" si="1"/>
        <v>0</v>
      </c>
      <c r="E279" s="6">
        <f t="shared" si="2"/>
        <v>2</v>
      </c>
      <c r="F279" s="5">
        <f t="shared" si="3"/>
        <v>1</v>
      </c>
      <c r="G279" s="5">
        <f t="shared" si="4"/>
        <v>1</v>
      </c>
      <c r="H279" s="5">
        <f t="shared" si="5"/>
        <v>35</v>
      </c>
      <c r="I279" s="6">
        <f t="shared" si="6"/>
        <v>209</v>
      </c>
    </row>
    <row r="280">
      <c r="A280" s="1">
        <v>45076.0</v>
      </c>
      <c r="B280" s="5" t="s">
        <v>34</v>
      </c>
      <c r="C280" s="5" t="str">
        <f>IFERROR(VLOOKUP(B280,'Overall Bean Summary'!A$2:B$36,2,FALSE),"")</f>
        <v>Good</v>
      </c>
      <c r="D280" s="6">
        <f t="shared" si="1"/>
        <v>1</v>
      </c>
      <c r="E280" s="6">
        <f t="shared" si="2"/>
        <v>0</v>
      </c>
      <c r="F280" s="5">
        <f t="shared" si="3"/>
        <v>1</v>
      </c>
      <c r="G280" s="5">
        <f t="shared" si="4"/>
        <v>2</v>
      </c>
      <c r="H280" s="5">
        <f t="shared" si="5"/>
        <v>36</v>
      </c>
      <c r="I280" s="6">
        <f t="shared" si="6"/>
        <v>210</v>
      </c>
    </row>
    <row r="281">
      <c r="A281" s="1">
        <v>45077.0</v>
      </c>
      <c r="B281" s="5" t="s">
        <v>40</v>
      </c>
      <c r="C281" s="5" t="str">
        <f>IFERROR(VLOOKUP(B281,'Overall Bean Summary'!A$2:B$36,2,FALSE),"")</f>
        <v>Bad</v>
      </c>
      <c r="D281" s="6">
        <f t="shared" si="1"/>
        <v>0</v>
      </c>
      <c r="E281" s="6">
        <f t="shared" si="2"/>
        <v>1</v>
      </c>
      <c r="F281" s="5">
        <f t="shared" si="3"/>
        <v>1</v>
      </c>
      <c r="G281" s="5">
        <f t="shared" si="4"/>
        <v>1</v>
      </c>
      <c r="H281" s="5">
        <f t="shared" si="5"/>
        <v>37</v>
      </c>
      <c r="I281" s="6">
        <f t="shared" si="6"/>
        <v>211</v>
      </c>
      <c r="L281" s="5" t="s">
        <v>199</v>
      </c>
    </row>
    <row r="282">
      <c r="A282" s="1">
        <v>45077.0</v>
      </c>
      <c r="B282" s="5" t="s">
        <v>34</v>
      </c>
      <c r="C282" s="5" t="str">
        <f>IFERROR(VLOOKUP(B282,'Overall Bean Summary'!A$2:B$36,2,FALSE),"")</f>
        <v>Good</v>
      </c>
      <c r="D282" s="6">
        <f t="shared" si="1"/>
        <v>1</v>
      </c>
      <c r="E282" s="6">
        <f t="shared" si="2"/>
        <v>0</v>
      </c>
      <c r="F282" s="5">
        <f t="shared" si="3"/>
        <v>1</v>
      </c>
      <c r="G282" s="5">
        <f t="shared" si="4"/>
        <v>2</v>
      </c>
      <c r="H282" s="5">
        <f t="shared" si="5"/>
        <v>38</v>
      </c>
      <c r="I282" s="6">
        <f t="shared" si="6"/>
        <v>212</v>
      </c>
      <c r="L282" s="5" t="s">
        <v>199</v>
      </c>
    </row>
    <row r="283">
      <c r="A283" s="1">
        <v>45078.0</v>
      </c>
      <c r="B283" s="5" t="s">
        <v>40</v>
      </c>
      <c r="C283" s="5" t="str">
        <f>IFERROR(VLOOKUP(B283,'Overall Bean Summary'!A$2:B$36,2,FALSE),"")</f>
        <v>Bad</v>
      </c>
      <c r="D283" s="6">
        <f t="shared" si="1"/>
        <v>0</v>
      </c>
      <c r="E283" s="6">
        <f t="shared" si="2"/>
        <v>1</v>
      </c>
      <c r="F283" s="5">
        <f t="shared" si="3"/>
        <v>1</v>
      </c>
      <c r="G283" s="5">
        <f t="shared" si="4"/>
        <v>1</v>
      </c>
      <c r="H283" s="5">
        <f t="shared" si="5"/>
        <v>1</v>
      </c>
      <c r="I283" s="6">
        <f t="shared" si="6"/>
        <v>213</v>
      </c>
    </row>
    <row r="284">
      <c r="A284" s="1">
        <v>45078.0</v>
      </c>
      <c r="B284" s="5" t="s">
        <v>48</v>
      </c>
      <c r="C284" s="5" t="str">
        <f>IFERROR(VLOOKUP(B284,'Overall Bean Summary'!A$2:B$36,2,FALSE),"")</f>
        <v>Bad</v>
      </c>
      <c r="D284" s="6">
        <f t="shared" si="1"/>
        <v>0</v>
      </c>
      <c r="E284" s="6">
        <f t="shared" si="2"/>
        <v>2</v>
      </c>
      <c r="F284" s="5">
        <f t="shared" si="3"/>
        <v>1</v>
      </c>
      <c r="G284" s="5">
        <f t="shared" si="4"/>
        <v>2</v>
      </c>
      <c r="H284" s="5">
        <f t="shared" si="5"/>
        <v>2</v>
      </c>
      <c r="I284" s="6">
        <f t="shared" si="6"/>
        <v>214</v>
      </c>
    </row>
    <row r="285">
      <c r="A285" s="1">
        <v>45078.0</v>
      </c>
      <c r="B285" s="5" t="s">
        <v>44</v>
      </c>
      <c r="C285" s="5" t="str">
        <f>IFERROR(VLOOKUP(B285,'Overall Bean Summary'!A$2:B$36,2,FALSE),"")</f>
        <v>Good</v>
      </c>
      <c r="D285" s="6">
        <f t="shared" si="1"/>
        <v>1</v>
      </c>
      <c r="E285" s="6">
        <f t="shared" si="2"/>
        <v>0</v>
      </c>
      <c r="F285" s="5">
        <f t="shared" si="3"/>
        <v>1</v>
      </c>
      <c r="G285" s="5">
        <f t="shared" si="4"/>
        <v>3</v>
      </c>
      <c r="H285" s="5">
        <f t="shared" si="5"/>
        <v>3</v>
      </c>
      <c r="I285" s="6">
        <f t="shared" si="6"/>
        <v>215</v>
      </c>
    </row>
    <row r="286">
      <c r="A286" s="1">
        <v>45078.0</v>
      </c>
      <c r="B286" s="5" t="s">
        <v>29</v>
      </c>
      <c r="C286" s="5" t="str">
        <f>IFERROR(VLOOKUP(B286,'Overall Bean Summary'!A$2:B$36,2,FALSE),"")</f>
        <v>Good</v>
      </c>
      <c r="D286" s="6">
        <f t="shared" si="1"/>
        <v>2</v>
      </c>
      <c r="E286" s="6">
        <f t="shared" si="2"/>
        <v>0</v>
      </c>
      <c r="F286" s="5">
        <f t="shared" si="3"/>
        <v>1</v>
      </c>
      <c r="G286" s="5">
        <f t="shared" si="4"/>
        <v>4</v>
      </c>
      <c r="H286" s="5">
        <f t="shared" si="5"/>
        <v>4</v>
      </c>
      <c r="I286" s="6">
        <f t="shared" si="6"/>
        <v>216</v>
      </c>
    </row>
    <row r="287">
      <c r="A287" s="1">
        <v>45079.0</v>
      </c>
      <c r="B287" s="5" t="s">
        <v>40</v>
      </c>
      <c r="C287" s="5" t="str">
        <f>IFERROR(VLOOKUP(B287,'Overall Bean Summary'!A$2:B$36,2,FALSE),"")</f>
        <v>Bad</v>
      </c>
      <c r="D287" s="6">
        <f t="shared" si="1"/>
        <v>0</v>
      </c>
      <c r="E287" s="6">
        <f t="shared" si="2"/>
        <v>1</v>
      </c>
      <c r="F287" s="5">
        <f t="shared" si="3"/>
        <v>1</v>
      </c>
      <c r="G287" s="5">
        <f t="shared" si="4"/>
        <v>1</v>
      </c>
      <c r="H287" s="5">
        <f t="shared" si="5"/>
        <v>5</v>
      </c>
      <c r="I287" s="6">
        <f t="shared" si="6"/>
        <v>217</v>
      </c>
    </row>
    <row r="288">
      <c r="A288" s="1">
        <v>45082.0</v>
      </c>
      <c r="B288" s="5" t="s">
        <v>40</v>
      </c>
      <c r="C288" s="5" t="str">
        <f>IFERROR(VLOOKUP(B288,'Overall Bean Summary'!A$2:B$36,2,FALSE),"")</f>
        <v>Bad</v>
      </c>
      <c r="D288" s="6">
        <f t="shared" si="1"/>
        <v>0</v>
      </c>
      <c r="E288" s="6">
        <f t="shared" si="2"/>
        <v>2</v>
      </c>
      <c r="F288" s="5">
        <f t="shared" si="3"/>
        <v>2</v>
      </c>
      <c r="G288" s="5">
        <f t="shared" si="4"/>
        <v>1</v>
      </c>
      <c r="H288" s="5">
        <f t="shared" si="5"/>
        <v>6</v>
      </c>
      <c r="I288" s="6">
        <f t="shared" si="6"/>
        <v>218</v>
      </c>
    </row>
    <row r="289">
      <c r="A289" s="1">
        <v>45082.0</v>
      </c>
      <c r="B289" s="5" t="s">
        <v>48</v>
      </c>
      <c r="C289" s="5" t="str">
        <f>IFERROR(VLOOKUP(B289,'Overall Bean Summary'!A$2:B$36,2,FALSE),"")</f>
        <v>Bad</v>
      </c>
      <c r="D289" s="6">
        <f t="shared" si="1"/>
        <v>0</v>
      </c>
      <c r="E289" s="6">
        <f t="shared" si="2"/>
        <v>3</v>
      </c>
      <c r="F289" s="5">
        <f t="shared" si="3"/>
        <v>1</v>
      </c>
      <c r="G289" s="5">
        <f t="shared" si="4"/>
        <v>2</v>
      </c>
      <c r="H289" s="5">
        <f t="shared" si="5"/>
        <v>7</v>
      </c>
      <c r="I289" s="6">
        <f t="shared" si="6"/>
        <v>219</v>
      </c>
    </row>
    <row r="290">
      <c r="A290" s="1">
        <v>45083.0</v>
      </c>
      <c r="B290" s="5" t="s">
        <v>72</v>
      </c>
      <c r="C290" s="5" t="str">
        <f>IFERROR(VLOOKUP(B290,'Overall Bean Summary'!A$2:B$36,2,FALSE),"")</f>
        <v>Bad</v>
      </c>
      <c r="D290" s="6">
        <f t="shared" si="1"/>
        <v>0</v>
      </c>
      <c r="E290" s="6">
        <f t="shared" si="2"/>
        <v>4</v>
      </c>
      <c r="F290" s="5">
        <f t="shared" si="3"/>
        <v>1</v>
      </c>
      <c r="G290" s="5">
        <f t="shared" si="4"/>
        <v>1</v>
      </c>
      <c r="H290" s="5">
        <f t="shared" si="5"/>
        <v>8</v>
      </c>
      <c r="I290" s="6">
        <f t="shared" si="6"/>
        <v>220</v>
      </c>
    </row>
    <row r="291">
      <c r="A291" s="1">
        <v>45083.0</v>
      </c>
      <c r="B291" s="5" t="s">
        <v>58</v>
      </c>
      <c r="C291" s="5" t="str">
        <f>IFERROR(VLOOKUP(B291,'Overall Bean Summary'!A$2:B$36,2,FALSE),"")</f>
        <v>Bad</v>
      </c>
      <c r="D291" s="6">
        <f t="shared" si="1"/>
        <v>0</v>
      </c>
      <c r="E291" s="6">
        <f t="shared" si="2"/>
        <v>5</v>
      </c>
      <c r="F291" s="5">
        <f t="shared" si="3"/>
        <v>1</v>
      </c>
      <c r="G291" s="5">
        <f t="shared" si="4"/>
        <v>2</v>
      </c>
      <c r="H291" s="5">
        <f t="shared" si="5"/>
        <v>9</v>
      </c>
      <c r="I291" s="6">
        <f t="shared" si="6"/>
        <v>221</v>
      </c>
    </row>
    <row r="292">
      <c r="A292" s="1">
        <v>45083.0</v>
      </c>
      <c r="B292" s="5" t="s">
        <v>95</v>
      </c>
      <c r="C292" s="5" t="str">
        <f>IFERROR(VLOOKUP(B292,'Overall Bean Summary'!A$2:B$36,2,FALSE),"")</f>
        <v>Good</v>
      </c>
      <c r="D292" s="6">
        <f t="shared" si="1"/>
        <v>1</v>
      </c>
      <c r="E292" s="6">
        <f t="shared" si="2"/>
        <v>0</v>
      </c>
      <c r="F292" s="5">
        <f t="shared" si="3"/>
        <v>1</v>
      </c>
      <c r="G292" s="5">
        <f t="shared" si="4"/>
        <v>3</v>
      </c>
      <c r="H292" s="5">
        <f t="shared" si="5"/>
        <v>10</v>
      </c>
      <c r="I292" s="6">
        <f t="shared" si="6"/>
        <v>222</v>
      </c>
    </row>
    <row r="293">
      <c r="A293" s="1">
        <v>45083.0</v>
      </c>
      <c r="B293" s="5" t="s">
        <v>45</v>
      </c>
      <c r="C293" s="5" t="str">
        <f>IFERROR(VLOOKUP(B293,'Overall Bean Summary'!A$2:B$36,2,FALSE),"")</f>
        <v>Good</v>
      </c>
      <c r="D293" s="6">
        <f t="shared" si="1"/>
        <v>2</v>
      </c>
      <c r="E293" s="6">
        <f t="shared" si="2"/>
        <v>0</v>
      </c>
      <c r="F293" s="5">
        <f t="shared" si="3"/>
        <v>1</v>
      </c>
      <c r="G293" s="5">
        <f t="shared" si="4"/>
        <v>4</v>
      </c>
      <c r="H293" s="5">
        <f t="shared" si="5"/>
        <v>11</v>
      </c>
      <c r="I293" s="6">
        <f t="shared" si="6"/>
        <v>223</v>
      </c>
    </row>
    <row r="294">
      <c r="A294" s="1">
        <v>45083.0</v>
      </c>
      <c r="B294" s="5" t="s">
        <v>63</v>
      </c>
      <c r="C294" s="5" t="str">
        <f>IFERROR(VLOOKUP(B294,'Overall Bean Summary'!A$2:B$36,2,FALSE),"")</f>
        <v>Bad</v>
      </c>
      <c r="D294" s="6">
        <f t="shared" si="1"/>
        <v>0</v>
      </c>
      <c r="E294" s="6">
        <f t="shared" si="2"/>
        <v>1</v>
      </c>
      <c r="F294" s="5">
        <f t="shared" si="3"/>
        <v>1</v>
      </c>
      <c r="G294" s="5">
        <f t="shared" si="4"/>
        <v>5</v>
      </c>
      <c r="H294" s="5">
        <f t="shared" si="5"/>
        <v>12</v>
      </c>
      <c r="I294" s="6">
        <f t="shared" si="6"/>
        <v>224</v>
      </c>
    </row>
    <row r="295">
      <c r="A295" s="1">
        <v>45084.0</v>
      </c>
      <c r="B295" s="5" t="s">
        <v>40</v>
      </c>
      <c r="C295" s="5" t="str">
        <f>IFERROR(VLOOKUP(B295,'Overall Bean Summary'!A$2:B$36,2,FALSE),"")</f>
        <v>Bad</v>
      </c>
      <c r="D295" s="6">
        <f t="shared" si="1"/>
        <v>0</v>
      </c>
      <c r="E295" s="6">
        <f t="shared" si="2"/>
        <v>2</v>
      </c>
      <c r="F295" s="5">
        <f t="shared" si="3"/>
        <v>1</v>
      </c>
      <c r="G295" s="5">
        <f t="shared" si="4"/>
        <v>1</v>
      </c>
      <c r="H295" s="5">
        <f t="shared" si="5"/>
        <v>13</v>
      </c>
      <c r="I295" s="6">
        <f t="shared" si="6"/>
        <v>225</v>
      </c>
    </row>
    <row r="296">
      <c r="A296" s="1">
        <v>45086.0</v>
      </c>
      <c r="B296" s="5" t="s">
        <v>67</v>
      </c>
      <c r="C296" s="5" t="str">
        <f>IFERROR(VLOOKUP(B296,'Overall Bean Summary'!A$2:B$36,2,FALSE),"")</f>
        <v>Good</v>
      </c>
      <c r="D296" s="6">
        <f t="shared" si="1"/>
        <v>1</v>
      </c>
      <c r="E296" s="6">
        <f t="shared" si="2"/>
        <v>0</v>
      </c>
      <c r="F296" s="5">
        <f t="shared" si="3"/>
        <v>1</v>
      </c>
      <c r="G296" s="5">
        <f t="shared" si="4"/>
        <v>1</v>
      </c>
      <c r="H296" s="5">
        <f t="shared" si="5"/>
        <v>14</v>
      </c>
      <c r="I296" s="6">
        <f t="shared" si="6"/>
        <v>226</v>
      </c>
    </row>
    <row r="297">
      <c r="A297" s="1">
        <v>45086.0</v>
      </c>
      <c r="B297" s="5" t="s">
        <v>48</v>
      </c>
      <c r="C297" s="5" t="str">
        <f>IFERROR(VLOOKUP(B297,'Overall Bean Summary'!A$2:B$36,2,FALSE),"")</f>
        <v>Bad</v>
      </c>
      <c r="D297" s="6">
        <f t="shared" si="1"/>
        <v>0</v>
      </c>
      <c r="E297" s="6">
        <f t="shared" si="2"/>
        <v>1</v>
      </c>
      <c r="F297" s="5">
        <f t="shared" si="3"/>
        <v>1</v>
      </c>
      <c r="G297" s="5">
        <f t="shared" si="4"/>
        <v>2</v>
      </c>
      <c r="H297" s="5">
        <f t="shared" si="5"/>
        <v>15</v>
      </c>
      <c r="I297" s="6">
        <f t="shared" si="6"/>
        <v>227</v>
      </c>
    </row>
    <row r="298">
      <c r="A298" s="1">
        <v>45086.0</v>
      </c>
      <c r="B298" s="5" t="s">
        <v>63</v>
      </c>
      <c r="C298" s="5" t="str">
        <f>IFERROR(VLOOKUP(B298,'Overall Bean Summary'!A$2:B$36,2,FALSE),"")</f>
        <v>Bad</v>
      </c>
      <c r="D298" s="6">
        <f t="shared" si="1"/>
        <v>0</v>
      </c>
      <c r="E298" s="6">
        <f t="shared" si="2"/>
        <v>2</v>
      </c>
      <c r="F298" s="5">
        <f t="shared" si="3"/>
        <v>1</v>
      </c>
      <c r="G298" s="5">
        <f t="shared" si="4"/>
        <v>3</v>
      </c>
      <c r="H298" s="5">
        <f t="shared" si="5"/>
        <v>16</v>
      </c>
      <c r="I298" s="6">
        <f t="shared" si="6"/>
        <v>228</v>
      </c>
    </row>
    <row r="299">
      <c r="A299" s="1">
        <v>45086.0</v>
      </c>
      <c r="B299" s="5" t="s">
        <v>14</v>
      </c>
      <c r="C299" s="5" t="str">
        <f>IFERROR(VLOOKUP(B299,'Overall Bean Summary'!A$2:B$36,2,FALSE),"")</f>
        <v>Bad</v>
      </c>
      <c r="D299" s="6">
        <f t="shared" si="1"/>
        <v>0</v>
      </c>
      <c r="E299" s="6">
        <f t="shared" si="2"/>
        <v>3</v>
      </c>
      <c r="F299" s="5">
        <f t="shared" si="3"/>
        <v>1</v>
      </c>
      <c r="G299" s="5">
        <f t="shared" si="4"/>
        <v>4</v>
      </c>
      <c r="H299" s="5">
        <f t="shared" si="5"/>
        <v>17</v>
      </c>
      <c r="I299" s="6">
        <f t="shared" si="6"/>
        <v>229</v>
      </c>
    </row>
    <row r="300">
      <c r="A300" s="1">
        <v>45086.0</v>
      </c>
      <c r="B300" s="5" t="s">
        <v>58</v>
      </c>
      <c r="C300" s="5" t="str">
        <f>IFERROR(VLOOKUP(B300,'Overall Bean Summary'!A$2:B$36,2,FALSE),"")</f>
        <v>Bad</v>
      </c>
      <c r="D300" s="6">
        <f t="shared" si="1"/>
        <v>0</v>
      </c>
      <c r="E300" s="6">
        <f t="shared" si="2"/>
        <v>4</v>
      </c>
      <c r="F300" s="5">
        <f t="shared" si="3"/>
        <v>1</v>
      </c>
      <c r="G300" s="5">
        <f t="shared" si="4"/>
        <v>5</v>
      </c>
      <c r="H300" s="5">
        <f t="shared" si="5"/>
        <v>18</v>
      </c>
      <c r="I300" s="6">
        <f t="shared" si="6"/>
        <v>230</v>
      </c>
    </row>
    <row r="301">
      <c r="A301" s="1">
        <v>45086.0</v>
      </c>
      <c r="B301" s="5" t="s">
        <v>80</v>
      </c>
      <c r="C301" s="5" t="str">
        <f>IFERROR(VLOOKUP(B301,'Overall Bean Summary'!A$2:B$36,2,FALSE),"")</f>
        <v>Bad</v>
      </c>
      <c r="D301" s="6">
        <f t="shared" si="1"/>
        <v>0</v>
      </c>
      <c r="E301" s="6">
        <f t="shared" si="2"/>
        <v>5</v>
      </c>
      <c r="F301" s="5">
        <f t="shared" si="3"/>
        <v>1</v>
      </c>
      <c r="G301" s="5">
        <f t="shared" si="4"/>
        <v>6</v>
      </c>
      <c r="H301" s="5">
        <f t="shared" si="5"/>
        <v>19</v>
      </c>
      <c r="I301" s="6">
        <f t="shared" si="6"/>
        <v>231</v>
      </c>
    </row>
    <row r="302">
      <c r="A302" s="1">
        <v>45090.0</v>
      </c>
      <c r="B302" s="5" t="s">
        <v>58</v>
      </c>
      <c r="C302" s="5" t="str">
        <f>IFERROR(VLOOKUP(B302,'Overall Bean Summary'!A$2:B$36,2,FALSE),"")</f>
        <v>Bad</v>
      </c>
      <c r="D302" s="6">
        <f t="shared" si="1"/>
        <v>0</v>
      </c>
      <c r="E302" s="6">
        <f t="shared" si="2"/>
        <v>6</v>
      </c>
      <c r="F302" s="5">
        <f t="shared" si="3"/>
        <v>1</v>
      </c>
      <c r="G302" s="5">
        <f t="shared" si="4"/>
        <v>1</v>
      </c>
      <c r="H302" s="5">
        <f t="shared" si="5"/>
        <v>20</v>
      </c>
      <c r="I302" s="6">
        <f t="shared" si="6"/>
        <v>232</v>
      </c>
    </row>
    <row r="303">
      <c r="A303" s="1">
        <v>45090.0</v>
      </c>
      <c r="B303" s="5" t="s">
        <v>41</v>
      </c>
      <c r="C303" s="5" t="str">
        <f>IFERROR(VLOOKUP(B303,'Overall Bean Summary'!A$2:B$36,2,FALSE),"")</f>
        <v>Bad</v>
      </c>
      <c r="D303" s="6">
        <f t="shared" si="1"/>
        <v>0</v>
      </c>
      <c r="E303" s="6">
        <f t="shared" si="2"/>
        <v>7</v>
      </c>
      <c r="F303" s="5">
        <f t="shared" si="3"/>
        <v>1</v>
      </c>
      <c r="G303" s="5">
        <f t="shared" si="4"/>
        <v>2</v>
      </c>
      <c r="H303" s="5">
        <f t="shared" si="5"/>
        <v>21</v>
      </c>
      <c r="I303" s="6">
        <f t="shared" si="6"/>
        <v>233</v>
      </c>
      <c r="L303" s="5" t="s">
        <v>200</v>
      </c>
    </row>
    <row r="304">
      <c r="A304" s="1">
        <v>45090.0</v>
      </c>
      <c r="B304" s="5" t="s">
        <v>41</v>
      </c>
      <c r="C304" s="5" t="str">
        <f>IFERROR(VLOOKUP(B304,'Overall Bean Summary'!A$2:B$36,2,FALSE),"")</f>
        <v>Bad</v>
      </c>
      <c r="D304" s="6">
        <f t="shared" si="1"/>
        <v>0</v>
      </c>
      <c r="E304" s="6">
        <f t="shared" si="2"/>
        <v>8</v>
      </c>
      <c r="F304" s="5">
        <f t="shared" si="3"/>
        <v>2</v>
      </c>
      <c r="G304" s="5">
        <f t="shared" si="4"/>
        <v>3</v>
      </c>
      <c r="H304" s="5">
        <f t="shared" si="5"/>
        <v>22</v>
      </c>
      <c r="I304" s="6">
        <f t="shared" si="6"/>
        <v>234</v>
      </c>
      <c r="L304" s="5" t="s">
        <v>200</v>
      </c>
    </row>
    <row r="305">
      <c r="A305" s="1">
        <v>45090.0</v>
      </c>
      <c r="B305" s="5" t="s">
        <v>41</v>
      </c>
      <c r="C305" s="5" t="str">
        <f>IFERROR(VLOOKUP(B305,'Overall Bean Summary'!A$2:B$36,2,FALSE),"")</f>
        <v>Bad</v>
      </c>
      <c r="D305" s="6">
        <f t="shared" si="1"/>
        <v>0</v>
      </c>
      <c r="E305" s="6">
        <f t="shared" si="2"/>
        <v>9</v>
      </c>
      <c r="F305" s="5">
        <f t="shared" si="3"/>
        <v>3</v>
      </c>
      <c r="G305" s="5">
        <f t="shared" si="4"/>
        <v>4</v>
      </c>
      <c r="H305" s="5">
        <f t="shared" si="5"/>
        <v>23</v>
      </c>
      <c r="I305" s="6">
        <f t="shared" si="6"/>
        <v>235</v>
      </c>
      <c r="L305" s="5" t="s">
        <v>200</v>
      </c>
    </row>
    <row r="306">
      <c r="A306" s="1">
        <v>45090.0</v>
      </c>
      <c r="B306" s="5" t="s">
        <v>41</v>
      </c>
      <c r="C306" s="5" t="str">
        <f>IFERROR(VLOOKUP(B306,'Overall Bean Summary'!A$2:B$36,2,FALSE),"")</f>
        <v>Bad</v>
      </c>
      <c r="D306" s="6">
        <f t="shared" si="1"/>
        <v>0</v>
      </c>
      <c r="E306" s="6">
        <f t="shared" si="2"/>
        <v>10</v>
      </c>
      <c r="F306" s="5">
        <f t="shared" si="3"/>
        <v>4</v>
      </c>
      <c r="G306" s="5">
        <f t="shared" si="4"/>
        <v>5</v>
      </c>
      <c r="H306" s="5">
        <f t="shared" si="5"/>
        <v>24</v>
      </c>
      <c r="I306" s="6">
        <f t="shared" si="6"/>
        <v>236</v>
      </c>
      <c r="L306" s="5" t="s">
        <v>200</v>
      </c>
    </row>
    <row r="307">
      <c r="A307" s="1">
        <v>45090.0</v>
      </c>
      <c r="B307" s="5" t="s">
        <v>59</v>
      </c>
      <c r="C307" s="5" t="str">
        <f>IFERROR(VLOOKUP(B307,'Overall Bean Summary'!A$2:B$36,2,FALSE),"")</f>
        <v>Good</v>
      </c>
      <c r="D307" s="6">
        <f t="shared" si="1"/>
        <v>1</v>
      </c>
      <c r="E307" s="6">
        <f t="shared" si="2"/>
        <v>0</v>
      </c>
      <c r="F307" s="5">
        <f t="shared" si="3"/>
        <v>1</v>
      </c>
      <c r="G307" s="5">
        <f t="shared" si="4"/>
        <v>6</v>
      </c>
      <c r="H307" s="5">
        <f t="shared" si="5"/>
        <v>25</v>
      </c>
      <c r="I307" s="6">
        <f t="shared" si="6"/>
        <v>237</v>
      </c>
      <c r="L307" s="5" t="s">
        <v>201</v>
      </c>
    </row>
    <row r="308">
      <c r="A308" s="1">
        <v>45090.0</v>
      </c>
      <c r="B308" s="5" t="s">
        <v>56</v>
      </c>
      <c r="C308" s="5" t="str">
        <f>IFERROR(VLOOKUP(B308,'Overall Bean Summary'!A$2:B$36,2,FALSE),"")</f>
        <v>Good</v>
      </c>
      <c r="D308" s="6">
        <f t="shared" si="1"/>
        <v>2</v>
      </c>
      <c r="E308" s="6">
        <f t="shared" si="2"/>
        <v>0</v>
      </c>
      <c r="F308" s="5">
        <f t="shared" si="3"/>
        <v>1</v>
      </c>
      <c r="G308" s="5">
        <f t="shared" si="4"/>
        <v>7</v>
      </c>
      <c r="H308" s="5">
        <f t="shared" si="5"/>
        <v>26</v>
      </c>
      <c r="I308" s="6">
        <f t="shared" si="6"/>
        <v>238</v>
      </c>
    </row>
    <row r="309">
      <c r="A309" s="1">
        <v>45090.0</v>
      </c>
      <c r="B309" s="5" t="s">
        <v>51</v>
      </c>
      <c r="C309" s="5" t="str">
        <f>IFERROR(VLOOKUP(B309,'Overall Bean Summary'!A$2:B$36,2,FALSE),"")</f>
        <v>Bad</v>
      </c>
      <c r="D309" s="6">
        <f t="shared" si="1"/>
        <v>0</v>
      </c>
      <c r="E309" s="6">
        <f t="shared" si="2"/>
        <v>1</v>
      </c>
      <c r="F309" s="5">
        <f t="shared" si="3"/>
        <v>1</v>
      </c>
      <c r="G309" s="5">
        <f t="shared" si="4"/>
        <v>8</v>
      </c>
      <c r="H309" s="5">
        <f t="shared" si="5"/>
        <v>27</v>
      </c>
      <c r="I309" s="6">
        <f t="shared" si="6"/>
        <v>239</v>
      </c>
    </row>
    <row r="310">
      <c r="A310" s="1">
        <v>45090.0</v>
      </c>
      <c r="B310" s="5" t="s">
        <v>95</v>
      </c>
      <c r="C310" s="5" t="str">
        <f>IFERROR(VLOOKUP(B310,'Overall Bean Summary'!A$2:B$36,2,FALSE),"")</f>
        <v>Good</v>
      </c>
      <c r="D310" s="6">
        <f t="shared" si="1"/>
        <v>1</v>
      </c>
      <c r="E310" s="6">
        <f t="shared" si="2"/>
        <v>0</v>
      </c>
      <c r="F310" s="5">
        <f t="shared" si="3"/>
        <v>1</v>
      </c>
      <c r="G310" s="5">
        <f t="shared" si="4"/>
        <v>9</v>
      </c>
      <c r="H310" s="5">
        <f t="shared" si="5"/>
        <v>28</v>
      </c>
      <c r="I310" s="6">
        <f t="shared" si="6"/>
        <v>240</v>
      </c>
    </row>
    <row r="311">
      <c r="A311" s="1">
        <v>45090.0</v>
      </c>
      <c r="B311" s="5" t="s">
        <v>48</v>
      </c>
      <c r="C311" s="5" t="str">
        <f>IFERROR(VLOOKUP(B311,'Overall Bean Summary'!A$2:B$36,2,FALSE),"")</f>
        <v>Bad</v>
      </c>
      <c r="D311" s="6">
        <f t="shared" si="1"/>
        <v>0</v>
      </c>
      <c r="E311" s="6">
        <f t="shared" si="2"/>
        <v>1</v>
      </c>
      <c r="F311" s="5">
        <f t="shared" si="3"/>
        <v>1</v>
      </c>
      <c r="G311" s="5">
        <f t="shared" si="4"/>
        <v>10</v>
      </c>
      <c r="H311" s="5">
        <f t="shared" si="5"/>
        <v>29</v>
      </c>
      <c r="I311" s="6">
        <f t="shared" si="6"/>
        <v>241</v>
      </c>
    </row>
    <row r="312">
      <c r="A312" s="1">
        <v>45091.0</v>
      </c>
      <c r="B312" s="5" t="s">
        <v>45</v>
      </c>
      <c r="C312" s="5" t="str">
        <f>IFERROR(VLOOKUP(B312,'Overall Bean Summary'!A$2:B$36,2,FALSE),"")</f>
        <v>Good</v>
      </c>
      <c r="D312" s="6">
        <f t="shared" si="1"/>
        <v>1</v>
      </c>
      <c r="E312" s="6">
        <f t="shared" si="2"/>
        <v>0</v>
      </c>
      <c r="F312" s="5">
        <f t="shared" si="3"/>
        <v>1</v>
      </c>
      <c r="G312" s="5">
        <f t="shared" si="4"/>
        <v>1</v>
      </c>
      <c r="H312" s="5">
        <f t="shared" si="5"/>
        <v>30</v>
      </c>
      <c r="I312" s="6">
        <f t="shared" si="6"/>
        <v>242</v>
      </c>
    </row>
    <row r="313">
      <c r="A313" s="1">
        <v>45091.0</v>
      </c>
      <c r="B313" s="5" t="s">
        <v>48</v>
      </c>
      <c r="C313" s="5" t="str">
        <f>IFERROR(VLOOKUP(B313,'Overall Bean Summary'!A$2:B$36,2,FALSE),"")</f>
        <v>Bad</v>
      </c>
      <c r="D313" s="6">
        <f t="shared" si="1"/>
        <v>0</v>
      </c>
      <c r="E313" s="6">
        <f t="shared" si="2"/>
        <v>1</v>
      </c>
      <c r="F313" s="5">
        <f t="shared" si="3"/>
        <v>1</v>
      </c>
      <c r="G313" s="5">
        <f t="shared" si="4"/>
        <v>2</v>
      </c>
      <c r="H313" s="5">
        <f t="shared" si="5"/>
        <v>31</v>
      </c>
      <c r="I313" s="6">
        <f t="shared" si="6"/>
        <v>243</v>
      </c>
    </row>
    <row r="314">
      <c r="A314" s="1">
        <v>45091.0</v>
      </c>
      <c r="B314" s="5" t="s">
        <v>69</v>
      </c>
      <c r="C314" s="5" t="str">
        <f>IFERROR(VLOOKUP(B314,'Overall Bean Summary'!A$2:B$36,2,FALSE),"")</f>
        <v>Bad</v>
      </c>
      <c r="D314" s="6">
        <f t="shared" si="1"/>
        <v>0</v>
      </c>
      <c r="E314" s="6">
        <f t="shared" si="2"/>
        <v>2</v>
      </c>
      <c r="F314" s="5">
        <f t="shared" si="3"/>
        <v>1</v>
      </c>
      <c r="G314" s="5">
        <f t="shared" si="4"/>
        <v>3</v>
      </c>
      <c r="H314" s="5">
        <f t="shared" si="5"/>
        <v>32</v>
      </c>
      <c r="I314" s="6">
        <f t="shared" si="6"/>
        <v>244</v>
      </c>
    </row>
    <row r="315">
      <c r="A315" s="1">
        <v>45091.0</v>
      </c>
      <c r="B315" s="5" t="s">
        <v>63</v>
      </c>
      <c r="C315" s="5" t="str">
        <f>IFERROR(VLOOKUP(B315,'Overall Bean Summary'!A$2:B$36,2,FALSE),"")</f>
        <v>Bad</v>
      </c>
      <c r="D315" s="6">
        <f t="shared" si="1"/>
        <v>0</v>
      </c>
      <c r="E315" s="6">
        <f t="shared" si="2"/>
        <v>3</v>
      </c>
      <c r="F315" s="5">
        <f t="shared" si="3"/>
        <v>1</v>
      </c>
      <c r="G315" s="5">
        <f t="shared" si="4"/>
        <v>4</v>
      </c>
      <c r="H315" s="5">
        <f t="shared" si="5"/>
        <v>33</v>
      </c>
      <c r="I315" s="6">
        <f t="shared" si="6"/>
        <v>245</v>
      </c>
    </row>
    <row r="316">
      <c r="A316" s="1">
        <v>45091.0</v>
      </c>
      <c r="B316" s="5" t="s">
        <v>40</v>
      </c>
      <c r="C316" s="5" t="str">
        <f>IFERROR(VLOOKUP(B316,'Overall Bean Summary'!A$2:B$36,2,FALSE),"")</f>
        <v>Bad</v>
      </c>
      <c r="D316" s="6">
        <f t="shared" si="1"/>
        <v>0</v>
      </c>
      <c r="E316" s="6">
        <f t="shared" si="2"/>
        <v>4</v>
      </c>
      <c r="F316" s="5">
        <f t="shared" si="3"/>
        <v>1</v>
      </c>
      <c r="G316" s="5">
        <f t="shared" si="4"/>
        <v>5</v>
      </c>
      <c r="H316" s="5">
        <f t="shared" si="5"/>
        <v>34</v>
      </c>
      <c r="I316" s="6">
        <f t="shared" si="6"/>
        <v>246</v>
      </c>
    </row>
    <row r="317">
      <c r="A317" s="1">
        <v>45091.0</v>
      </c>
      <c r="B317" s="5" t="s">
        <v>69</v>
      </c>
      <c r="C317" s="5" t="str">
        <f>IFERROR(VLOOKUP(B317,'Overall Bean Summary'!A$2:B$36,2,FALSE),"")</f>
        <v>Bad</v>
      </c>
      <c r="D317" s="6">
        <f t="shared" si="1"/>
        <v>0</v>
      </c>
      <c r="E317" s="6">
        <f t="shared" si="2"/>
        <v>5</v>
      </c>
      <c r="F317" s="5">
        <f t="shared" si="3"/>
        <v>1</v>
      </c>
      <c r="G317" s="5">
        <f t="shared" si="4"/>
        <v>6</v>
      </c>
      <c r="H317" s="5">
        <f t="shared" si="5"/>
        <v>35</v>
      </c>
      <c r="I317" s="6">
        <f t="shared" si="6"/>
        <v>247</v>
      </c>
    </row>
    <row r="318">
      <c r="A318" s="1">
        <v>45092.0</v>
      </c>
      <c r="B318" s="5" t="s">
        <v>58</v>
      </c>
      <c r="C318" s="5" t="str">
        <f>IFERROR(VLOOKUP(B318,'Overall Bean Summary'!A$2:B$36,2,FALSE),"")</f>
        <v>Bad</v>
      </c>
      <c r="D318" s="6">
        <f t="shared" si="1"/>
        <v>0</v>
      </c>
      <c r="E318" s="6">
        <f t="shared" si="2"/>
        <v>6</v>
      </c>
      <c r="F318" s="5">
        <f t="shared" si="3"/>
        <v>1</v>
      </c>
      <c r="G318" s="5">
        <f t="shared" si="4"/>
        <v>1</v>
      </c>
      <c r="H318" s="5">
        <f t="shared" si="5"/>
        <v>36</v>
      </c>
      <c r="I318" s="6">
        <f t="shared" si="6"/>
        <v>248</v>
      </c>
    </row>
    <row r="319">
      <c r="A319" s="1">
        <v>45093.0</v>
      </c>
      <c r="B319" s="5" t="s">
        <v>69</v>
      </c>
      <c r="C319" s="5" t="str">
        <f>IFERROR(VLOOKUP(B319,'Overall Bean Summary'!A$2:B$36,2,FALSE),"")</f>
        <v>Bad</v>
      </c>
      <c r="D319" s="6">
        <f t="shared" si="1"/>
        <v>0</v>
      </c>
      <c r="E319" s="6">
        <f t="shared" si="2"/>
        <v>7</v>
      </c>
      <c r="F319" s="5">
        <f t="shared" si="3"/>
        <v>1</v>
      </c>
      <c r="G319" s="5">
        <f t="shared" si="4"/>
        <v>1</v>
      </c>
      <c r="H319" s="5">
        <f t="shared" si="5"/>
        <v>37</v>
      </c>
      <c r="I319" s="6">
        <f t="shared" si="6"/>
        <v>249</v>
      </c>
    </row>
    <row r="320">
      <c r="A320" s="1">
        <v>45093.0</v>
      </c>
      <c r="B320" s="5" t="s">
        <v>40</v>
      </c>
      <c r="C320" s="5" t="str">
        <f>IFERROR(VLOOKUP(B320,'Overall Bean Summary'!A$2:B$36,2,FALSE),"")</f>
        <v>Bad</v>
      </c>
      <c r="D320" s="6">
        <f t="shared" si="1"/>
        <v>0</v>
      </c>
      <c r="E320" s="6">
        <f t="shared" si="2"/>
        <v>8</v>
      </c>
      <c r="F320" s="5">
        <f t="shared" si="3"/>
        <v>1</v>
      </c>
      <c r="G320" s="5">
        <f t="shared" si="4"/>
        <v>2</v>
      </c>
      <c r="H320" s="5">
        <f t="shared" si="5"/>
        <v>38</v>
      </c>
      <c r="I320" s="6">
        <f t="shared" si="6"/>
        <v>250</v>
      </c>
    </row>
    <row r="321">
      <c r="A321" s="1">
        <v>45093.0</v>
      </c>
      <c r="B321" s="5" t="s">
        <v>41</v>
      </c>
      <c r="C321" s="5" t="str">
        <f>IFERROR(VLOOKUP(B321,'Overall Bean Summary'!A$2:B$36,2,FALSE),"")</f>
        <v>Bad</v>
      </c>
      <c r="D321" s="6">
        <f t="shared" si="1"/>
        <v>0</v>
      </c>
      <c r="E321" s="6">
        <f t="shared" si="2"/>
        <v>9</v>
      </c>
      <c r="F321" s="5">
        <f t="shared" si="3"/>
        <v>1</v>
      </c>
      <c r="G321" s="5">
        <f t="shared" si="4"/>
        <v>3</v>
      </c>
      <c r="H321" s="5">
        <f t="shared" si="5"/>
        <v>39</v>
      </c>
      <c r="I321" s="6">
        <f t="shared" si="6"/>
        <v>251</v>
      </c>
    </row>
    <row r="322">
      <c r="A322" s="1">
        <v>45093.0</v>
      </c>
      <c r="B322" s="5" t="s">
        <v>58</v>
      </c>
      <c r="C322" s="5" t="str">
        <f>IFERROR(VLOOKUP(B322,'Overall Bean Summary'!A$2:B$36,2,FALSE),"")</f>
        <v>Bad</v>
      </c>
      <c r="D322" s="6">
        <f t="shared" si="1"/>
        <v>0</v>
      </c>
      <c r="E322" s="6">
        <f t="shared" si="2"/>
        <v>10</v>
      </c>
      <c r="F322" s="5">
        <f t="shared" si="3"/>
        <v>1</v>
      </c>
      <c r="G322" s="5">
        <f t="shared" si="4"/>
        <v>4</v>
      </c>
      <c r="H322" s="5">
        <f t="shared" si="5"/>
        <v>40</v>
      </c>
      <c r="I322" s="6">
        <f t="shared" si="6"/>
        <v>252</v>
      </c>
    </row>
    <row r="323">
      <c r="A323" s="1">
        <v>45093.0</v>
      </c>
      <c r="B323" s="5" t="s">
        <v>34</v>
      </c>
      <c r="C323" s="5" t="str">
        <f>IFERROR(VLOOKUP(B323,'Overall Bean Summary'!A$2:B$36,2,FALSE),"")</f>
        <v>Good</v>
      </c>
      <c r="D323" s="6">
        <f t="shared" si="1"/>
        <v>1</v>
      </c>
      <c r="E323" s="6">
        <f t="shared" si="2"/>
        <v>0</v>
      </c>
      <c r="F323" s="5">
        <f t="shared" si="3"/>
        <v>1</v>
      </c>
      <c r="G323" s="5">
        <f t="shared" si="4"/>
        <v>5</v>
      </c>
      <c r="H323" s="5">
        <f t="shared" si="5"/>
        <v>41</v>
      </c>
      <c r="I323" s="6">
        <f t="shared" si="6"/>
        <v>253</v>
      </c>
    </row>
    <row r="324">
      <c r="A324" s="1">
        <v>45093.0</v>
      </c>
      <c r="B324" s="5" t="s">
        <v>63</v>
      </c>
      <c r="C324" s="5" t="str">
        <f>IFERROR(VLOOKUP(B324,'Overall Bean Summary'!A$2:B$36,2,FALSE),"")</f>
        <v>Bad</v>
      </c>
      <c r="D324" s="6">
        <f t="shared" si="1"/>
        <v>0</v>
      </c>
      <c r="E324" s="6">
        <f t="shared" si="2"/>
        <v>1</v>
      </c>
      <c r="F324" s="5">
        <f t="shared" si="3"/>
        <v>1</v>
      </c>
      <c r="G324" s="5">
        <f t="shared" si="4"/>
        <v>6</v>
      </c>
      <c r="H324" s="5">
        <f t="shared" si="5"/>
        <v>42</v>
      </c>
      <c r="I324" s="6">
        <f t="shared" si="6"/>
        <v>254</v>
      </c>
    </row>
    <row r="325">
      <c r="A325" s="1">
        <v>45093.0</v>
      </c>
      <c r="B325" s="5" t="s">
        <v>40</v>
      </c>
      <c r="C325" s="5" t="str">
        <f>IFERROR(VLOOKUP(B325,'Overall Bean Summary'!A$2:B$36,2,FALSE),"")</f>
        <v>Bad</v>
      </c>
      <c r="D325" s="6">
        <f t="shared" si="1"/>
        <v>0</v>
      </c>
      <c r="E325" s="6">
        <f t="shared" si="2"/>
        <v>2</v>
      </c>
      <c r="F325" s="5">
        <f t="shared" si="3"/>
        <v>1</v>
      </c>
      <c r="G325" s="5">
        <f t="shared" si="4"/>
        <v>7</v>
      </c>
      <c r="H325" s="5">
        <f t="shared" si="5"/>
        <v>43</v>
      </c>
      <c r="I325" s="6">
        <f t="shared" si="6"/>
        <v>255</v>
      </c>
    </row>
    <row r="326">
      <c r="A326" s="1">
        <v>45093.0</v>
      </c>
      <c r="B326" s="5" t="s">
        <v>48</v>
      </c>
      <c r="C326" s="5" t="str">
        <f>IFERROR(VLOOKUP(B326,'Overall Bean Summary'!A$2:B$36,2,FALSE),"")</f>
        <v>Bad</v>
      </c>
      <c r="D326" s="6">
        <f t="shared" si="1"/>
        <v>0</v>
      </c>
      <c r="E326" s="6">
        <f t="shared" si="2"/>
        <v>3</v>
      </c>
      <c r="F326" s="5">
        <f t="shared" si="3"/>
        <v>1</v>
      </c>
      <c r="G326" s="5">
        <f t="shared" si="4"/>
        <v>8</v>
      </c>
      <c r="H326" s="5">
        <f t="shared" si="5"/>
        <v>44</v>
      </c>
      <c r="I326" s="6">
        <f t="shared" si="6"/>
        <v>256</v>
      </c>
    </row>
    <row r="327">
      <c r="A327" s="1">
        <v>45093.0</v>
      </c>
      <c r="B327" s="5" t="s">
        <v>69</v>
      </c>
      <c r="C327" s="5" t="str">
        <f>IFERROR(VLOOKUP(B327,'Overall Bean Summary'!A$2:B$36,2,FALSE),"")</f>
        <v>Bad</v>
      </c>
      <c r="D327" s="6">
        <f t="shared" si="1"/>
        <v>0</v>
      </c>
      <c r="E327" s="6">
        <f t="shared" si="2"/>
        <v>4</v>
      </c>
      <c r="F327" s="5">
        <f t="shared" si="3"/>
        <v>1</v>
      </c>
      <c r="G327" s="5">
        <f t="shared" si="4"/>
        <v>9</v>
      </c>
      <c r="H327" s="5">
        <f t="shared" si="5"/>
        <v>45</v>
      </c>
      <c r="I327" s="6">
        <f t="shared" si="6"/>
        <v>257</v>
      </c>
    </row>
    <row r="328">
      <c r="A328" s="1">
        <v>45093.0</v>
      </c>
      <c r="B328" s="5" t="s">
        <v>69</v>
      </c>
      <c r="C328" s="5" t="str">
        <f>IFERROR(VLOOKUP(B328,'Overall Bean Summary'!A$2:B$36,2,FALSE),"")</f>
        <v>Bad</v>
      </c>
      <c r="D328" s="6">
        <f t="shared" si="1"/>
        <v>0</v>
      </c>
      <c r="E328" s="6">
        <f t="shared" si="2"/>
        <v>5</v>
      </c>
      <c r="F328" s="5">
        <f t="shared" si="3"/>
        <v>2</v>
      </c>
      <c r="G328" s="5">
        <f t="shared" si="4"/>
        <v>10</v>
      </c>
      <c r="H328" s="5">
        <f t="shared" si="5"/>
        <v>46</v>
      </c>
      <c r="I328" s="6">
        <f t="shared" si="6"/>
        <v>258</v>
      </c>
    </row>
    <row r="329">
      <c r="A329" s="1">
        <v>45096.0</v>
      </c>
      <c r="B329" s="5" t="s">
        <v>48</v>
      </c>
      <c r="C329" s="5" t="str">
        <f>IFERROR(VLOOKUP(B329,'Overall Bean Summary'!A$2:B$36,2,FALSE),"")</f>
        <v>Bad</v>
      </c>
      <c r="D329" s="6">
        <f t="shared" si="1"/>
        <v>0</v>
      </c>
      <c r="E329" s="6">
        <f t="shared" si="2"/>
        <v>6</v>
      </c>
      <c r="F329" s="5">
        <f t="shared" si="3"/>
        <v>1</v>
      </c>
      <c r="G329" s="5">
        <f t="shared" si="4"/>
        <v>1</v>
      </c>
      <c r="H329" s="5">
        <f t="shared" si="5"/>
        <v>47</v>
      </c>
      <c r="I329" s="6">
        <f t="shared" si="6"/>
        <v>259</v>
      </c>
    </row>
    <row r="330">
      <c r="A330" s="1">
        <v>45096.0</v>
      </c>
      <c r="B330" s="5" t="s">
        <v>69</v>
      </c>
      <c r="C330" s="5" t="str">
        <f>IFERROR(VLOOKUP(B330,'Overall Bean Summary'!A$2:B$36,2,FALSE),"")</f>
        <v>Bad</v>
      </c>
      <c r="D330" s="6">
        <f t="shared" si="1"/>
        <v>0</v>
      </c>
      <c r="E330" s="6">
        <f t="shared" si="2"/>
        <v>7</v>
      </c>
      <c r="F330" s="5">
        <f t="shared" si="3"/>
        <v>1</v>
      </c>
      <c r="G330" s="5">
        <f t="shared" si="4"/>
        <v>2</v>
      </c>
      <c r="H330" s="5">
        <f t="shared" si="5"/>
        <v>48</v>
      </c>
      <c r="I330" s="6">
        <f t="shared" si="6"/>
        <v>260</v>
      </c>
    </row>
    <row r="331">
      <c r="A331" s="1">
        <v>45096.0</v>
      </c>
      <c r="B331" s="5" t="s">
        <v>58</v>
      </c>
      <c r="C331" s="5" t="str">
        <f>IFERROR(VLOOKUP(B331,'Overall Bean Summary'!A$2:B$36,2,FALSE),"")</f>
        <v>Bad</v>
      </c>
      <c r="D331" s="6">
        <f t="shared" si="1"/>
        <v>0</v>
      </c>
      <c r="E331" s="6">
        <f t="shared" si="2"/>
        <v>8</v>
      </c>
      <c r="F331" s="5">
        <f t="shared" si="3"/>
        <v>1</v>
      </c>
      <c r="G331" s="5">
        <f t="shared" si="4"/>
        <v>3</v>
      </c>
      <c r="H331" s="5">
        <f t="shared" si="5"/>
        <v>49</v>
      </c>
      <c r="I331" s="6">
        <f t="shared" si="6"/>
        <v>261</v>
      </c>
    </row>
    <row r="332">
      <c r="A332" s="1">
        <v>45097.0</v>
      </c>
      <c r="B332" s="5" t="s">
        <v>95</v>
      </c>
      <c r="C332" s="5" t="str">
        <f>IFERROR(VLOOKUP(B332,'Overall Bean Summary'!A$2:B$36,2,FALSE),"")</f>
        <v>Good</v>
      </c>
      <c r="D332" s="6">
        <f t="shared" si="1"/>
        <v>1</v>
      </c>
      <c r="E332" s="6">
        <f t="shared" si="2"/>
        <v>0</v>
      </c>
      <c r="F332" s="5">
        <f t="shared" si="3"/>
        <v>1</v>
      </c>
      <c r="G332" s="5">
        <f t="shared" si="4"/>
        <v>1</v>
      </c>
      <c r="H332" s="5">
        <f t="shared" si="5"/>
        <v>50</v>
      </c>
      <c r="I332" s="6">
        <f t="shared" si="6"/>
        <v>262</v>
      </c>
    </row>
    <row r="333">
      <c r="A333" s="1">
        <v>45100.0</v>
      </c>
      <c r="B333" s="5" t="s">
        <v>48</v>
      </c>
      <c r="C333" s="5" t="str">
        <f>IFERROR(VLOOKUP(B333,'Overall Bean Summary'!A$2:B$36,2,FALSE),"")</f>
        <v>Bad</v>
      </c>
      <c r="D333" s="6">
        <f t="shared" si="1"/>
        <v>0</v>
      </c>
      <c r="E333" s="6">
        <f t="shared" si="2"/>
        <v>1</v>
      </c>
      <c r="F333" s="5">
        <f t="shared" si="3"/>
        <v>1</v>
      </c>
      <c r="G333" s="5">
        <f t="shared" si="4"/>
        <v>1</v>
      </c>
      <c r="H333" s="5">
        <f t="shared" si="5"/>
        <v>51</v>
      </c>
      <c r="I333" s="6">
        <f t="shared" si="6"/>
        <v>263</v>
      </c>
    </row>
    <row r="334">
      <c r="A334" s="1">
        <v>45103.0</v>
      </c>
      <c r="B334" s="5" t="s">
        <v>40</v>
      </c>
      <c r="C334" s="5" t="str">
        <f>IFERROR(VLOOKUP(B334,'Overall Bean Summary'!A$2:B$36,2,FALSE),"")</f>
        <v>Bad</v>
      </c>
      <c r="D334" s="6">
        <f t="shared" si="1"/>
        <v>0</v>
      </c>
      <c r="E334" s="6">
        <f t="shared" si="2"/>
        <v>2</v>
      </c>
      <c r="F334" s="5">
        <f t="shared" si="3"/>
        <v>1</v>
      </c>
      <c r="G334" s="5">
        <f t="shared" si="4"/>
        <v>1</v>
      </c>
      <c r="H334" s="5">
        <f t="shared" si="5"/>
        <v>52</v>
      </c>
      <c r="I334" s="6">
        <f t="shared" si="6"/>
        <v>264</v>
      </c>
    </row>
    <row r="335">
      <c r="A335" s="1">
        <v>45105.0</v>
      </c>
      <c r="B335" s="5" t="s">
        <v>48</v>
      </c>
      <c r="C335" s="5" t="str">
        <f>IFERROR(VLOOKUP(B335,'Overall Bean Summary'!A$2:B$36,2,FALSE),"")</f>
        <v>Bad</v>
      </c>
      <c r="D335" s="6">
        <f t="shared" si="1"/>
        <v>0</v>
      </c>
      <c r="E335" s="6">
        <f t="shared" si="2"/>
        <v>3</v>
      </c>
      <c r="F335" s="5">
        <f t="shared" si="3"/>
        <v>1</v>
      </c>
      <c r="G335" s="5">
        <f t="shared" si="4"/>
        <v>1</v>
      </c>
      <c r="H335" s="5">
        <f t="shared" si="5"/>
        <v>53</v>
      </c>
      <c r="I335" s="6">
        <f t="shared" si="6"/>
        <v>265</v>
      </c>
    </row>
    <row r="336">
      <c r="A336" s="1">
        <v>45105.0</v>
      </c>
      <c r="B336" s="5" t="s">
        <v>69</v>
      </c>
      <c r="C336" s="5" t="str">
        <f>IFERROR(VLOOKUP(B336,'Overall Bean Summary'!A$2:B$36,2,FALSE),"")</f>
        <v>Bad</v>
      </c>
      <c r="D336" s="6">
        <f t="shared" si="1"/>
        <v>0</v>
      </c>
      <c r="E336" s="6">
        <f t="shared" si="2"/>
        <v>4</v>
      </c>
      <c r="F336" s="5">
        <f t="shared" si="3"/>
        <v>1</v>
      </c>
      <c r="G336" s="5">
        <f t="shared" si="4"/>
        <v>2</v>
      </c>
      <c r="H336" s="5">
        <f t="shared" si="5"/>
        <v>54</v>
      </c>
      <c r="I336" s="6">
        <f t="shared" si="6"/>
        <v>266</v>
      </c>
    </row>
    <row r="337">
      <c r="A337" s="1">
        <v>45107.0</v>
      </c>
      <c r="B337" s="5" t="s">
        <v>69</v>
      </c>
      <c r="C337" s="5" t="str">
        <f>IFERROR(VLOOKUP(B337,'Overall Bean Summary'!A$2:B$36,2,FALSE),"")</f>
        <v>Bad</v>
      </c>
      <c r="D337" s="6">
        <f t="shared" si="1"/>
        <v>0</v>
      </c>
      <c r="E337" s="6">
        <f t="shared" si="2"/>
        <v>5</v>
      </c>
      <c r="F337" s="5">
        <f t="shared" si="3"/>
        <v>2</v>
      </c>
      <c r="G337" s="5">
        <f t="shared" si="4"/>
        <v>1</v>
      </c>
      <c r="H337" s="5">
        <f t="shared" si="5"/>
        <v>55</v>
      </c>
      <c r="I337" s="6">
        <f t="shared" si="6"/>
        <v>267</v>
      </c>
    </row>
    <row r="338">
      <c r="A338" s="1">
        <v>45107.0</v>
      </c>
      <c r="B338" s="5" t="s">
        <v>69</v>
      </c>
      <c r="C338" s="5" t="str">
        <f>IFERROR(VLOOKUP(B338,'Overall Bean Summary'!A$2:B$36,2,FALSE),"")</f>
        <v>Bad</v>
      </c>
      <c r="D338" s="6">
        <f t="shared" si="1"/>
        <v>0</v>
      </c>
      <c r="E338" s="6">
        <f t="shared" si="2"/>
        <v>6</v>
      </c>
      <c r="F338" s="5">
        <f t="shared" si="3"/>
        <v>3</v>
      </c>
      <c r="G338" s="5">
        <f t="shared" si="4"/>
        <v>2</v>
      </c>
      <c r="H338" s="5">
        <f t="shared" si="5"/>
        <v>56</v>
      </c>
      <c r="I338" s="6">
        <f t="shared" si="6"/>
        <v>268</v>
      </c>
    </row>
    <row r="339">
      <c r="A339" s="1">
        <v>45107.0</v>
      </c>
      <c r="B339" s="5" t="s">
        <v>95</v>
      </c>
      <c r="C339" s="5" t="str">
        <f>IFERROR(VLOOKUP(B339,'Overall Bean Summary'!A$2:B$36,2,FALSE),"")</f>
        <v>Good</v>
      </c>
      <c r="D339" s="6">
        <f t="shared" si="1"/>
        <v>1</v>
      </c>
      <c r="E339" s="6">
        <f t="shared" si="2"/>
        <v>0</v>
      </c>
      <c r="F339" s="5">
        <f t="shared" si="3"/>
        <v>1</v>
      </c>
      <c r="G339" s="5">
        <f t="shared" si="4"/>
        <v>3</v>
      </c>
      <c r="H339" s="5">
        <f t="shared" si="5"/>
        <v>57</v>
      </c>
      <c r="I339" s="6">
        <f t="shared" si="6"/>
        <v>269</v>
      </c>
    </row>
    <row r="340">
      <c r="A340" s="1">
        <v>45107.0</v>
      </c>
      <c r="B340" s="5" t="s">
        <v>80</v>
      </c>
      <c r="C340" s="5" t="str">
        <f>IFERROR(VLOOKUP(B340,'Overall Bean Summary'!A$2:B$36,2,FALSE),"")</f>
        <v>Bad</v>
      </c>
      <c r="D340" s="6">
        <f t="shared" si="1"/>
        <v>0</v>
      </c>
      <c r="E340" s="6">
        <f t="shared" si="2"/>
        <v>1</v>
      </c>
      <c r="F340" s="5">
        <f t="shared" si="3"/>
        <v>1</v>
      </c>
      <c r="G340" s="5">
        <f t="shared" si="4"/>
        <v>4</v>
      </c>
      <c r="H340" s="5">
        <f t="shared" si="5"/>
        <v>58</v>
      </c>
      <c r="I340" s="6">
        <f t="shared" si="6"/>
        <v>270</v>
      </c>
    </row>
    <row r="341">
      <c r="A341" s="1">
        <v>45107.0</v>
      </c>
      <c r="B341" s="5" t="s">
        <v>48</v>
      </c>
      <c r="C341" s="5" t="str">
        <f>IFERROR(VLOOKUP(B341,'Overall Bean Summary'!A$2:B$36,2,FALSE),"")</f>
        <v>Bad</v>
      </c>
      <c r="D341" s="6">
        <f t="shared" si="1"/>
        <v>0</v>
      </c>
      <c r="E341" s="6">
        <f t="shared" si="2"/>
        <v>2</v>
      </c>
      <c r="F341" s="5">
        <f t="shared" si="3"/>
        <v>1</v>
      </c>
      <c r="G341" s="5">
        <f t="shared" si="4"/>
        <v>5</v>
      </c>
      <c r="H341" s="5">
        <f>IF(C341 &lt;&gt; "", IF(MONTH(A337) = MONTH(A341), H337+1, 1) ,"")</f>
        <v>56</v>
      </c>
      <c r="I341" s="6">
        <f t="shared" si="6"/>
        <v>271</v>
      </c>
    </row>
    <row r="342">
      <c r="A342" s="1">
        <v>45107.0</v>
      </c>
      <c r="B342" s="5" t="s">
        <v>41</v>
      </c>
      <c r="C342" s="5" t="str">
        <f>IFERROR(VLOOKUP(B342,'Overall Bean Summary'!A$2:B$36,2,FALSE),"")</f>
        <v>Bad</v>
      </c>
      <c r="D342" s="6">
        <f t="shared" si="1"/>
        <v>0</v>
      </c>
      <c r="E342" s="6">
        <f t="shared" si="2"/>
        <v>3</v>
      </c>
      <c r="F342" s="5">
        <f t="shared" si="3"/>
        <v>1</v>
      </c>
      <c r="G342" s="5">
        <f t="shared" si="4"/>
        <v>6</v>
      </c>
      <c r="H342" s="5">
        <f t="shared" ref="H342:H800" si="7">IF(C342 &lt;&gt; "", IF(MONTH(A341) = MONTH(A342), H341+1, 1) ,"")</f>
        <v>57</v>
      </c>
      <c r="I342" s="6">
        <f t="shared" si="6"/>
        <v>272</v>
      </c>
    </row>
    <row r="343">
      <c r="A343" s="1">
        <v>45111.0</v>
      </c>
      <c r="B343" s="5" t="s">
        <v>95</v>
      </c>
      <c r="C343" s="5" t="str">
        <f>IFERROR(VLOOKUP(B343,'Overall Bean Summary'!A$2:B$36,2,FALSE),"")</f>
        <v>Good</v>
      </c>
      <c r="D343" s="6">
        <f t="shared" si="1"/>
        <v>1</v>
      </c>
      <c r="E343" s="6">
        <f t="shared" si="2"/>
        <v>0</v>
      </c>
      <c r="F343" s="5">
        <f t="shared" si="3"/>
        <v>1</v>
      </c>
      <c r="G343" s="5">
        <f t="shared" si="4"/>
        <v>1</v>
      </c>
      <c r="H343" s="5">
        <f t="shared" si="7"/>
        <v>1</v>
      </c>
      <c r="I343" s="6">
        <f t="shared" si="6"/>
        <v>273</v>
      </c>
    </row>
    <row r="344">
      <c r="A344" s="1">
        <v>45112.0</v>
      </c>
      <c r="B344" s="5" t="s">
        <v>41</v>
      </c>
      <c r="C344" s="5" t="str">
        <f>IFERROR(VLOOKUP(B344,'Overall Bean Summary'!A$2:B$36,2,FALSE),"")</f>
        <v>Bad</v>
      </c>
      <c r="D344" s="6">
        <f t="shared" si="1"/>
        <v>0</v>
      </c>
      <c r="E344" s="6">
        <f t="shared" si="2"/>
        <v>1</v>
      </c>
      <c r="F344" s="5">
        <f t="shared" si="3"/>
        <v>1</v>
      </c>
      <c r="G344" s="5">
        <f t="shared" si="4"/>
        <v>1</v>
      </c>
      <c r="H344" s="5">
        <f t="shared" si="7"/>
        <v>2</v>
      </c>
      <c r="I344" s="6">
        <f t="shared" si="6"/>
        <v>274</v>
      </c>
    </row>
    <row r="345">
      <c r="A345" s="1">
        <v>45112.0</v>
      </c>
      <c r="B345" s="5" t="s">
        <v>63</v>
      </c>
      <c r="C345" s="5" t="str">
        <f>IFERROR(VLOOKUP(B345,'Overall Bean Summary'!A$2:B$36,2,FALSE),"")</f>
        <v>Bad</v>
      </c>
      <c r="D345" s="6">
        <f t="shared" si="1"/>
        <v>0</v>
      </c>
      <c r="E345" s="6">
        <f t="shared" si="2"/>
        <v>2</v>
      </c>
      <c r="F345" s="5">
        <f t="shared" si="3"/>
        <v>1</v>
      </c>
      <c r="G345" s="5">
        <f t="shared" si="4"/>
        <v>2</v>
      </c>
      <c r="H345" s="5">
        <f t="shared" si="7"/>
        <v>3</v>
      </c>
      <c r="I345" s="6">
        <f t="shared" si="6"/>
        <v>275</v>
      </c>
    </row>
    <row r="346">
      <c r="A346" s="1">
        <v>45113.0</v>
      </c>
      <c r="B346" s="5" t="s">
        <v>14</v>
      </c>
      <c r="C346" s="5" t="str">
        <f>IFERROR(VLOOKUP(B346,'Overall Bean Summary'!A$2:B$36,2,FALSE),"")</f>
        <v>Bad</v>
      </c>
      <c r="D346" s="6">
        <f t="shared" si="1"/>
        <v>0</v>
      </c>
      <c r="E346" s="6">
        <f t="shared" si="2"/>
        <v>3</v>
      </c>
      <c r="F346" s="5">
        <f t="shared" si="3"/>
        <v>1</v>
      </c>
      <c r="G346" s="5">
        <f t="shared" si="4"/>
        <v>1</v>
      </c>
      <c r="H346" s="5">
        <f t="shared" si="7"/>
        <v>4</v>
      </c>
      <c r="I346" s="6">
        <f t="shared" si="6"/>
        <v>276</v>
      </c>
    </row>
    <row r="347">
      <c r="A347" s="1">
        <v>45114.0</v>
      </c>
      <c r="B347" s="5" t="s">
        <v>45</v>
      </c>
      <c r="C347" s="5" t="str">
        <f>IFERROR(VLOOKUP(B347,'Overall Bean Summary'!A$2:B$36,2,FALSE),"")</f>
        <v>Good</v>
      </c>
      <c r="D347" s="6">
        <f t="shared" si="1"/>
        <v>1</v>
      </c>
      <c r="E347" s="6">
        <f t="shared" si="2"/>
        <v>0</v>
      </c>
      <c r="F347" s="5">
        <f t="shared" si="3"/>
        <v>1</v>
      </c>
      <c r="G347" s="5">
        <f t="shared" si="4"/>
        <v>1</v>
      </c>
      <c r="H347" s="5">
        <f t="shared" si="7"/>
        <v>5</v>
      </c>
      <c r="I347" s="6">
        <f t="shared" si="6"/>
        <v>277</v>
      </c>
    </row>
    <row r="348">
      <c r="A348" s="1">
        <v>45114.0</v>
      </c>
      <c r="B348" s="5" t="s">
        <v>40</v>
      </c>
      <c r="C348" s="5" t="str">
        <f>IFERROR(VLOOKUP(B348,'Overall Bean Summary'!A$2:B$36,2,FALSE),"")</f>
        <v>Bad</v>
      </c>
      <c r="D348" s="6">
        <f t="shared" si="1"/>
        <v>0</v>
      </c>
      <c r="E348" s="6">
        <f t="shared" si="2"/>
        <v>1</v>
      </c>
      <c r="F348" s="5">
        <f t="shared" si="3"/>
        <v>1</v>
      </c>
      <c r="G348" s="5">
        <f t="shared" si="4"/>
        <v>2</v>
      </c>
      <c r="H348" s="5">
        <f t="shared" si="7"/>
        <v>6</v>
      </c>
      <c r="I348" s="6">
        <f t="shared" si="6"/>
        <v>278</v>
      </c>
    </row>
    <row r="349">
      <c r="A349" s="1">
        <v>45114.0</v>
      </c>
      <c r="B349" s="5" t="s">
        <v>141</v>
      </c>
      <c r="C349" s="5" t="str">
        <f>IFERROR(VLOOKUP(B349,'Overall Bean Summary'!A$2:B$36,2,FALSE),"")</f>
        <v>Spicy</v>
      </c>
      <c r="D349" s="6">
        <f t="shared" si="1"/>
        <v>0</v>
      </c>
      <c r="E349" s="6">
        <f t="shared" si="2"/>
        <v>1</v>
      </c>
      <c r="F349" s="5">
        <f t="shared" si="3"/>
        <v>1</v>
      </c>
      <c r="G349" s="5">
        <f t="shared" si="4"/>
        <v>3</v>
      </c>
      <c r="H349" s="5">
        <f t="shared" si="7"/>
        <v>7</v>
      </c>
      <c r="I349" s="6">
        <f t="shared" si="6"/>
        <v>279</v>
      </c>
    </row>
    <row r="350">
      <c r="A350" s="1">
        <v>45114.0</v>
      </c>
      <c r="B350" s="5" t="s">
        <v>141</v>
      </c>
      <c r="C350" s="5" t="str">
        <f>IFERROR(VLOOKUP(B350,'Overall Bean Summary'!A$2:B$36,2,FALSE),"")</f>
        <v>Spicy</v>
      </c>
      <c r="D350" s="6">
        <f t="shared" si="1"/>
        <v>0</v>
      </c>
      <c r="E350" s="6">
        <f t="shared" si="2"/>
        <v>1</v>
      </c>
      <c r="F350" s="5">
        <f t="shared" si="3"/>
        <v>2</v>
      </c>
      <c r="G350" s="5">
        <f t="shared" si="4"/>
        <v>4</v>
      </c>
      <c r="H350" s="5">
        <f t="shared" si="7"/>
        <v>8</v>
      </c>
      <c r="I350" s="6">
        <f t="shared" si="6"/>
        <v>280</v>
      </c>
    </row>
    <row r="351">
      <c r="A351" s="1">
        <v>45117.0</v>
      </c>
      <c r="B351" s="5" t="s">
        <v>69</v>
      </c>
      <c r="C351" s="5" t="str">
        <f>IFERROR(VLOOKUP(B351,'Overall Bean Summary'!A$2:B$36,2,FALSE),"")</f>
        <v>Bad</v>
      </c>
      <c r="D351" s="6">
        <f t="shared" si="1"/>
        <v>0</v>
      </c>
      <c r="E351" s="6">
        <f t="shared" si="2"/>
        <v>2</v>
      </c>
      <c r="F351" s="5">
        <f t="shared" si="3"/>
        <v>1</v>
      </c>
      <c r="G351" s="5">
        <f t="shared" si="4"/>
        <v>1</v>
      </c>
      <c r="H351" s="5">
        <f t="shared" si="7"/>
        <v>9</v>
      </c>
      <c r="I351" s="6">
        <f t="shared" si="6"/>
        <v>281</v>
      </c>
      <c r="L351" s="5" t="s">
        <v>202</v>
      </c>
      <c r="M351" s="5" t="s">
        <v>69</v>
      </c>
    </row>
    <row r="352">
      <c r="A352" s="1">
        <v>45117.0</v>
      </c>
      <c r="B352" s="5" t="s">
        <v>40</v>
      </c>
      <c r="C352" s="5" t="str">
        <f>IFERROR(VLOOKUP(B352,'Overall Bean Summary'!A$2:B$36,2,FALSE),"")</f>
        <v>Bad</v>
      </c>
      <c r="D352" s="6">
        <f t="shared" si="1"/>
        <v>0</v>
      </c>
      <c r="E352" s="6">
        <f t="shared" si="2"/>
        <v>3</v>
      </c>
      <c r="F352" s="5">
        <f t="shared" si="3"/>
        <v>1</v>
      </c>
      <c r="G352" s="5">
        <f t="shared" si="4"/>
        <v>2</v>
      </c>
      <c r="H352" s="5">
        <f t="shared" si="7"/>
        <v>10</v>
      </c>
      <c r="I352" s="6">
        <f t="shared" si="6"/>
        <v>282</v>
      </c>
      <c r="L352" s="5" t="s">
        <v>202</v>
      </c>
      <c r="M352" s="5" t="s">
        <v>63</v>
      </c>
    </row>
    <row r="353">
      <c r="A353" s="1">
        <v>45117.0</v>
      </c>
      <c r="B353" s="5" t="s">
        <v>51</v>
      </c>
      <c r="C353" s="5" t="str">
        <f>IFERROR(VLOOKUP(B353,'Overall Bean Summary'!A$2:B$36,2,FALSE),"")</f>
        <v>Bad</v>
      </c>
      <c r="D353" s="6">
        <f t="shared" si="1"/>
        <v>0</v>
      </c>
      <c r="E353" s="6">
        <f t="shared" si="2"/>
        <v>4</v>
      </c>
      <c r="F353" s="5">
        <f t="shared" si="3"/>
        <v>1</v>
      </c>
      <c r="G353" s="5">
        <f t="shared" si="4"/>
        <v>3</v>
      </c>
      <c r="H353" s="5">
        <f t="shared" si="7"/>
        <v>11</v>
      </c>
      <c r="I353" s="6">
        <f t="shared" si="6"/>
        <v>283</v>
      </c>
      <c r="L353" s="5" t="s">
        <v>202</v>
      </c>
      <c r="M353" s="5" t="s">
        <v>80</v>
      </c>
    </row>
    <row r="354">
      <c r="A354" s="1">
        <v>45118.0</v>
      </c>
      <c r="B354" s="5" t="s">
        <v>14</v>
      </c>
      <c r="C354" s="5" t="str">
        <f>IFERROR(VLOOKUP(B354,'Overall Bean Summary'!A$2:B$36,2,FALSE),"")</f>
        <v>Bad</v>
      </c>
      <c r="D354" s="6">
        <f t="shared" si="1"/>
        <v>0</v>
      </c>
      <c r="E354" s="6">
        <f t="shared" si="2"/>
        <v>5</v>
      </c>
      <c r="F354" s="5">
        <f t="shared" si="3"/>
        <v>1</v>
      </c>
      <c r="G354" s="5">
        <f t="shared" si="4"/>
        <v>1</v>
      </c>
      <c r="H354" s="5">
        <f t="shared" si="7"/>
        <v>12</v>
      </c>
      <c r="I354" s="6">
        <f t="shared" si="6"/>
        <v>284</v>
      </c>
    </row>
    <row r="355">
      <c r="A355" s="1">
        <v>45120.0</v>
      </c>
      <c r="B355" s="5" t="s">
        <v>72</v>
      </c>
      <c r="C355" s="5" t="str">
        <f>IFERROR(VLOOKUP(B355,'Overall Bean Summary'!A$2:B$36,2,FALSE),"")</f>
        <v>Bad</v>
      </c>
      <c r="D355" s="6">
        <f t="shared" si="1"/>
        <v>0</v>
      </c>
      <c r="E355" s="6">
        <f t="shared" si="2"/>
        <v>6</v>
      </c>
      <c r="F355" s="5">
        <f t="shared" si="3"/>
        <v>1</v>
      </c>
      <c r="G355" s="5">
        <f t="shared" si="4"/>
        <v>1</v>
      </c>
      <c r="H355" s="5">
        <f t="shared" si="7"/>
        <v>13</v>
      </c>
      <c r="I355" s="6">
        <f t="shared" si="6"/>
        <v>285</v>
      </c>
    </row>
    <row r="356">
      <c r="A356" s="1">
        <v>45121.0</v>
      </c>
      <c r="B356" s="5" t="s">
        <v>80</v>
      </c>
      <c r="C356" s="5" t="str">
        <f>IFERROR(VLOOKUP(B356,'Overall Bean Summary'!A$2:B$36,2,FALSE),"")</f>
        <v>Bad</v>
      </c>
      <c r="D356" s="6">
        <f t="shared" si="1"/>
        <v>0</v>
      </c>
      <c r="E356" s="6">
        <f t="shared" si="2"/>
        <v>7</v>
      </c>
      <c r="F356" s="5">
        <f t="shared" si="3"/>
        <v>1</v>
      </c>
      <c r="G356" s="5">
        <f t="shared" si="4"/>
        <v>1</v>
      </c>
      <c r="H356" s="5">
        <f t="shared" si="7"/>
        <v>14</v>
      </c>
      <c r="I356" s="6">
        <f t="shared" si="6"/>
        <v>286</v>
      </c>
    </row>
    <row r="357">
      <c r="A357" s="1">
        <v>45124.0</v>
      </c>
      <c r="B357" s="5" t="s">
        <v>72</v>
      </c>
      <c r="C357" s="5" t="str">
        <f>IFERROR(VLOOKUP(B357,'Overall Bean Summary'!A$2:B$36,2,FALSE),"")</f>
        <v>Bad</v>
      </c>
      <c r="D357" s="6">
        <f t="shared" si="1"/>
        <v>0</v>
      </c>
      <c r="E357" s="6">
        <f t="shared" si="2"/>
        <v>8</v>
      </c>
      <c r="F357" s="5">
        <f t="shared" si="3"/>
        <v>1</v>
      </c>
      <c r="G357" s="5">
        <f t="shared" si="4"/>
        <v>1</v>
      </c>
      <c r="H357" s="5">
        <f t="shared" si="7"/>
        <v>15</v>
      </c>
      <c r="I357" s="6">
        <f t="shared" si="6"/>
        <v>287</v>
      </c>
    </row>
    <row r="358">
      <c r="A358" s="1">
        <v>45124.0</v>
      </c>
      <c r="B358" s="5" t="s">
        <v>44</v>
      </c>
      <c r="C358" s="5" t="str">
        <f>IFERROR(VLOOKUP(B358,'Overall Bean Summary'!A$2:B$36,2,FALSE),"")</f>
        <v>Good</v>
      </c>
      <c r="D358" s="6">
        <f t="shared" si="1"/>
        <v>1</v>
      </c>
      <c r="E358" s="6">
        <f t="shared" si="2"/>
        <v>0</v>
      </c>
      <c r="F358" s="5">
        <f t="shared" si="3"/>
        <v>1</v>
      </c>
      <c r="G358" s="5">
        <f t="shared" si="4"/>
        <v>2</v>
      </c>
      <c r="H358" s="5">
        <f t="shared" si="7"/>
        <v>16</v>
      </c>
      <c r="I358" s="6">
        <f t="shared" si="6"/>
        <v>288</v>
      </c>
    </row>
    <row r="359">
      <c r="A359" s="1">
        <v>45124.0</v>
      </c>
      <c r="B359" s="5" t="s">
        <v>14</v>
      </c>
      <c r="C359" s="5" t="str">
        <f>IFERROR(VLOOKUP(B359,'Overall Bean Summary'!A$2:B$36,2,FALSE),"")</f>
        <v>Bad</v>
      </c>
      <c r="D359" s="6">
        <f t="shared" si="1"/>
        <v>0</v>
      </c>
      <c r="E359" s="6">
        <f t="shared" si="2"/>
        <v>1</v>
      </c>
      <c r="F359" s="5">
        <f t="shared" si="3"/>
        <v>1</v>
      </c>
      <c r="G359" s="5">
        <f t="shared" si="4"/>
        <v>3</v>
      </c>
      <c r="H359" s="5">
        <f t="shared" si="7"/>
        <v>17</v>
      </c>
      <c r="I359" s="6">
        <f t="shared" si="6"/>
        <v>289</v>
      </c>
    </row>
    <row r="360">
      <c r="A360" s="1">
        <v>45125.0</v>
      </c>
      <c r="B360" s="5" t="s">
        <v>80</v>
      </c>
      <c r="C360" s="5" t="str">
        <f>IFERROR(VLOOKUP(B360,'Overall Bean Summary'!A$2:B$36,2,FALSE),"")</f>
        <v>Bad</v>
      </c>
      <c r="D360" s="6">
        <f t="shared" si="1"/>
        <v>0</v>
      </c>
      <c r="E360" s="6">
        <f t="shared" si="2"/>
        <v>2</v>
      </c>
      <c r="F360" s="5">
        <f t="shared" si="3"/>
        <v>1</v>
      </c>
      <c r="G360" s="5">
        <f t="shared" si="4"/>
        <v>1</v>
      </c>
      <c r="H360" s="5">
        <f t="shared" si="7"/>
        <v>18</v>
      </c>
      <c r="I360" s="6">
        <f t="shared" si="6"/>
        <v>290</v>
      </c>
    </row>
    <row r="361">
      <c r="A361" s="1">
        <v>45125.0</v>
      </c>
      <c r="B361" s="5" t="s">
        <v>80</v>
      </c>
      <c r="C361" s="5" t="str">
        <f>IFERROR(VLOOKUP(B361,'Overall Bean Summary'!A$2:B$36,2,FALSE),"")</f>
        <v>Bad</v>
      </c>
      <c r="D361" s="6">
        <f t="shared" si="1"/>
        <v>0</v>
      </c>
      <c r="E361" s="6">
        <f t="shared" si="2"/>
        <v>3</v>
      </c>
      <c r="F361" s="5">
        <f t="shared" si="3"/>
        <v>2</v>
      </c>
      <c r="G361" s="5">
        <f t="shared" si="4"/>
        <v>2</v>
      </c>
      <c r="H361" s="5">
        <f t="shared" si="7"/>
        <v>19</v>
      </c>
      <c r="I361" s="6">
        <f t="shared" si="6"/>
        <v>291</v>
      </c>
    </row>
    <row r="362">
      <c r="A362" s="1">
        <v>45125.0</v>
      </c>
      <c r="B362" s="5" t="s">
        <v>58</v>
      </c>
      <c r="C362" s="5" t="str">
        <f>IFERROR(VLOOKUP(B362,'Overall Bean Summary'!A$2:B$36,2,FALSE),"")</f>
        <v>Bad</v>
      </c>
      <c r="D362" s="6">
        <f t="shared" si="1"/>
        <v>0</v>
      </c>
      <c r="E362" s="6">
        <f t="shared" si="2"/>
        <v>4</v>
      </c>
      <c r="F362" s="5">
        <f t="shared" si="3"/>
        <v>1</v>
      </c>
      <c r="G362" s="5">
        <f t="shared" si="4"/>
        <v>3</v>
      </c>
      <c r="H362" s="5">
        <f t="shared" si="7"/>
        <v>20</v>
      </c>
      <c r="I362" s="6">
        <f t="shared" si="6"/>
        <v>292</v>
      </c>
    </row>
    <row r="363">
      <c r="A363" s="1">
        <v>45125.0</v>
      </c>
      <c r="B363" s="5" t="s">
        <v>40</v>
      </c>
      <c r="C363" s="5" t="str">
        <f>IFERROR(VLOOKUP(B363,'Overall Bean Summary'!A$2:B$36,2,FALSE),"")</f>
        <v>Bad</v>
      </c>
      <c r="D363" s="6">
        <f t="shared" si="1"/>
        <v>0</v>
      </c>
      <c r="E363" s="6">
        <f t="shared" si="2"/>
        <v>5</v>
      </c>
      <c r="F363" s="5">
        <f t="shared" si="3"/>
        <v>1</v>
      </c>
      <c r="G363" s="5">
        <f t="shared" si="4"/>
        <v>4</v>
      </c>
      <c r="H363" s="5">
        <f t="shared" si="7"/>
        <v>21</v>
      </c>
      <c r="I363" s="6">
        <f t="shared" si="6"/>
        <v>293</v>
      </c>
    </row>
    <row r="364">
      <c r="A364" s="1">
        <v>45126.0</v>
      </c>
      <c r="B364" s="5" t="s">
        <v>44</v>
      </c>
      <c r="C364" s="5" t="str">
        <f>IFERROR(VLOOKUP(B364,'Overall Bean Summary'!A$2:B$36,2,FALSE),"")</f>
        <v>Good</v>
      </c>
      <c r="D364" s="6">
        <f t="shared" si="1"/>
        <v>1</v>
      </c>
      <c r="E364" s="6">
        <f t="shared" si="2"/>
        <v>0</v>
      </c>
      <c r="F364" s="5">
        <f t="shared" si="3"/>
        <v>1</v>
      </c>
      <c r="G364" s="5">
        <f t="shared" si="4"/>
        <v>1</v>
      </c>
      <c r="H364" s="5">
        <f t="shared" si="7"/>
        <v>22</v>
      </c>
      <c r="I364" s="6">
        <f t="shared" si="6"/>
        <v>294</v>
      </c>
    </row>
    <row r="365">
      <c r="A365" s="1">
        <v>45126.0</v>
      </c>
      <c r="B365" s="5" t="s">
        <v>72</v>
      </c>
      <c r="C365" s="5" t="str">
        <f>IFERROR(VLOOKUP(B365,'Overall Bean Summary'!A$2:B$36,2,FALSE),"")</f>
        <v>Bad</v>
      </c>
      <c r="D365" s="6">
        <f t="shared" si="1"/>
        <v>0</v>
      </c>
      <c r="E365" s="6">
        <f t="shared" si="2"/>
        <v>1</v>
      </c>
      <c r="F365" s="5">
        <f t="shared" si="3"/>
        <v>1</v>
      </c>
      <c r="G365" s="5">
        <f t="shared" si="4"/>
        <v>2</v>
      </c>
      <c r="H365" s="5">
        <f t="shared" si="7"/>
        <v>23</v>
      </c>
      <c r="I365" s="6">
        <f t="shared" si="6"/>
        <v>295</v>
      </c>
    </row>
    <row r="366">
      <c r="A366" s="1">
        <v>45126.0</v>
      </c>
      <c r="B366" s="5" t="s">
        <v>48</v>
      </c>
      <c r="C366" s="5" t="str">
        <f>IFERROR(VLOOKUP(B366,'Overall Bean Summary'!A$2:B$36,2,FALSE),"")</f>
        <v>Bad</v>
      </c>
      <c r="D366" s="6">
        <f t="shared" si="1"/>
        <v>0</v>
      </c>
      <c r="E366" s="6">
        <f t="shared" si="2"/>
        <v>2</v>
      </c>
      <c r="F366" s="5">
        <f t="shared" si="3"/>
        <v>1</v>
      </c>
      <c r="G366" s="5">
        <f t="shared" si="4"/>
        <v>3</v>
      </c>
      <c r="H366" s="5">
        <f t="shared" si="7"/>
        <v>24</v>
      </c>
      <c r="I366" s="6">
        <f t="shared" si="6"/>
        <v>296</v>
      </c>
      <c r="L366" s="5" t="s">
        <v>203</v>
      </c>
    </row>
    <row r="367">
      <c r="A367" s="1">
        <v>45127.0</v>
      </c>
      <c r="B367" s="5" t="s">
        <v>141</v>
      </c>
      <c r="C367" s="5" t="str">
        <f>IFERROR(VLOOKUP(B367,'Overall Bean Summary'!A$2:B$36,2,FALSE),"")</f>
        <v>Spicy</v>
      </c>
      <c r="D367" s="6">
        <f t="shared" si="1"/>
        <v>0</v>
      </c>
      <c r="E367" s="6">
        <f t="shared" si="2"/>
        <v>2</v>
      </c>
      <c r="F367" s="5">
        <f t="shared" si="3"/>
        <v>1</v>
      </c>
      <c r="G367" s="5">
        <f t="shared" si="4"/>
        <v>1</v>
      </c>
      <c r="H367" s="5">
        <f t="shared" si="7"/>
        <v>25</v>
      </c>
      <c r="I367" s="6">
        <f t="shared" si="6"/>
        <v>297</v>
      </c>
    </row>
    <row r="368">
      <c r="A368" s="1">
        <v>45127.0</v>
      </c>
      <c r="B368" s="5" t="s">
        <v>141</v>
      </c>
      <c r="C368" s="5" t="str">
        <f>IFERROR(VLOOKUP(B368,'Overall Bean Summary'!A$2:B$36,2,FALSE),"")</f>
        <v>Spicy</v>
      </c>
      <c r="D368" s="6">
        <f t="shared" si="1"/>
        <v>0</v>
      </c>
      <c r="E368" s="6">
        <f t="shared" si="2"/>
        <v>2</v>
      </c>
      <c r="F368" s="5">
        <f t="shared" si="3"/>
        <v>2</v>
      </c>
      <c r="G368" s="5">
        <f t="shared" si="4"/>
        <v>2</v>
      </c>
      <c r="H368" s="5">
        <f t="shared" si="7"/>
        <v>26</v>
      </c>
      <c r="I368" s="6">
        <f t="shared" si="6"/>
        <v>298</v>
      </c>
      <c r="M368" s="5" t="s">
        <v>16</v>
      </c>
      <c r="N368" s="5" t="s">
        <v>21</v>
      </c>
      <c r="O368" s="5" t="s">
        <v>16</v>
      </c>
      <c r="P368" s="5" t="s">
        <v>21</v>
      </c>
    </row>
    <row r="369">
      <c r="A369" s="1">
        <v>45128.0</v>
      </c>
      <c r="B369" s="5" t="s">
        <v>95</v>
      </c>
      <c r="C369" s="5" t="str">
        <f>IFERROR(VLOOKUP(B369,'Overall Bean Summary'!A$2:B$36,2,FALSE),"")</f>
        <v>Good</v>
      </c>
      <c r="D369" s="6">
        <f t="shared" si="1"/>
        <v>1</v>
      </c>
      <c r="E369" s="6">
        <f t="shared" si="2"/>
        <v>0</v>
      </c>
      <c r="F369" s="5">
        <f t="shared" si="3"/>
        <v>1</v>
      </c>
      <c r="G369" s="5">
        <f t="shared" si="4"/>
        <v>1</v>
      </c>
      <c r="H369" s="5">
        <f t="shared" si="7"/>
        <v>27</v>
      </c>
      <c r="I369" s="6">
        <f t="shared" si="6"/>
        <v>299</v>
      </c>
      <c r="L369" s="5" t="s">
        <v>173</v>
      </c>
      <c r="M369" s="24">
        <f>COUNTIF(C369:C447, "Good")</f>
        <v>22</v>
      </c>
      <c r="N369" s="24">
        <f>COUNTIF(C369:C447, "Bad")</f>
        <v>57</v>
      </c>
      <c r="O369" s="25">
        <f>M369/(M369+N369)</f>
        <v>0.2784810127</v>
      </c>
      <c r="P369" s="25">
        <f>N369/(M369+N369)</f>
        <v>0.7215189873</v>
      </c>
    </row>
    <row r="370">
      <c r="A370" s="1">
        <v>45128.0</v>
      </c>
      <c r="B370" s="5" t="s">
        <v>80</v>
      </c>
      <c r="C370" s="5" t="str">
        <f>IFERROR(VLOOKUP(B370,'Overall Bean Summary'!A$2:B$36,2,FALSE),"")</f>
        <v>Bad</v>
      </c>
      <c r="D370" s="6">
        <f t="shared" si="1"/>
        <v>0</v>
      </c>
      <c r="E370" s="6">
        <f t="shared" si="2"/>
        <v>1</v>
      </c>
      <c r="F370" s="5">
        <f t="shared" si="3"/>
        <v>1</v>
      </c>
      <c r="G370" s="5">
        <f t="shared" si="4"/>
        <v>2</v>
      </c>
      <c r="H370" s="5">
        <f t="shared" si="7"/>
        <v>28</v>
      </c>
      <c r="I370" s="6">
        <f t="shared" si="6"/>
        <v>300</v>
      </c>
      <c r="M370" s="24"/>
      <c r="N370" s="24"/>
      <c r="O370" s="25"/>
      <c r="P370" s="25"/>
    </row>
    <row r="371">
      <c r="A371" s="1">
        <v>45128.0</v>
      </c>
      <c r="B371" s="5" t="s">
        <v>14</v>
      </c>
      <c r="C371" s="5" t="str">
        <f>IFERROR(VLOOKUP(B371,'Overall Bean Summary'!A$2:B$36,2,FALSE),"")</f>
        <v>Bad</v>
      </c>
      <c r="D371" s="6">
        <f t="shared" si="1"/>
        <v>0</v>
      </c>
      <c r="E371" s="6">
        <f t="shared" si="2"/>
        <v>2</v>
      </c>
      <c r="F371" s="5">
        <f t="shared" si="3"/>
        <v>1</v>
      </c>
      <c r="G371" s="5">
        <f t="shared" si="4"/>
        <v>3</v>
      </c>
      <c r="H371" s="5">
        <f t="shared" si="7"/>
        <v>29</v>
      </c>
      <c r="I371" s="6">
        <f t="shared" si="6"/>
        <v>301</v>
      </c>
    </row>
    <row r="372">
      <c r="A372" s="1">
        <v>45128.0</v>
      </c>
      <c r="B372" s="5" t="s">
        <v>80</v>
      </c>
      <c r="C372" s="5" t="str">
        <f>IFERROR(VLOOKUP(B372,'Overall Bean Summary'!A$2:B$36,2,FALSE),"")</f>
        <v>Bad</v>
      </c>
      <c r="D372" s="6">
        <f t="shared" si="1"/>
        <v>0</v>
      </c>
      <c r="E372" s="6">
        <f t="shared" si="2"/>
        <v>3</v>
      </c>
      <c r="F372" s="5">
        <f t="shared" si="3"/>
        <v>1</v>
      </c>
      <c r="G372" s="5">
        <f t="shared" si="4"/>
        <v>4</v>
      </c>
      <c r="H372" s="5">
        <f t="shared" si="7"/>
        <v>30</v>
      </c>
      <c r="I372" s="6">
        <f t="shared" si="6"/>
        <v>302</v>
      </c>
    </row>
    <row r="373">
      <c r="A373" s="1">
        <v>45128.0</v>
      </c>
      <c r="B373" s="5" t="s">
        <v>51</v>
      </c>
      <c r="C373" s="5" t="str">
        <f>IFERROR(VLOOKUP(B373,'Overall Bean Summary'!A$2:B$36,2,FALSE),"")</f>
        <v>Bad</v>
      </c>
      <c r="D373" s="6">
        <f t="shared" si="1"/>
        <v>0</v>
      </c>
      <c r="E373" s="6">
        <f t="shared" si="2"/>
        <v>4</v>
      </c>
      <c r="F373" s="5">
        <f t="shared" si="3"/>
        <v>1</v>
      </c>
      <c r="G373" s="5">
        <f t="shared" si="4"/>
        <v>5</v>
      </c>
      <c r="H373" s="5">
        <f t="shared" si="7"/>
        <v>31</v>
      </c>
      <c r="I373" s="6">
        <f t="shared" si="6"/>
        <v>303</v>
      </c>
    </row>
    <row r="374">
      <c r="A374" s="1">
        <v>45132.0</v>
      </c>
      <c r="B374" s="5" t="s">
        <v>80</v>
      </c>
      <c r="C374" s="5" t="str">
        <f>IFERROR(VLOOKUP(B374,'Overall Bean Summary'!A$2:B$36,2,FALSE),"")</f>
        <v>Bad</v>
      </c>
      <c r="D374" s="6">
        <f t="shared" si="1"/>
        <v>0</v>
      </c>
      <c r="E374" s="6">
        <f t="shared" si="2"/>
        <v>5</v>
      </c>
      <c r="F374" s="5">
        <f t="shared" si="3"/>
        <v>1</v>
      </c>
      <c r="G374" s="5">
        <f t="shared" si="4"/>
        <v>1</v>
      </c>
      <c r="H374" s="5">
        <f t="shared" si="7"/>
        <v>32</v>
      </c>
      <c r="I374" s="6">
        <f t="shared" si="6"/>
        <v>304</v>
      </c>
    </row>
    <row r="375">
      <c r="A375" s="1">
        <v>45133.0</v>
      </c>
      <c r="B375" s="5" t="s">
        <v>58</v>
      </c>
      <c r="C375" s="5" t="str">
        <f>IFERROR(VLOOKUP(B375,'Overall Bean Summary'!A$2:B$36,2,FALSE),"")</f>
        <v>Bad</v>
      </c>
      <c r="D375" s="6">
        <f t="shared" si="1"/>
        <v>0</v>
      </c>
      <c r="E375" s="6">
        <f t="shared" si="2"/>
        <v>6</v>
      </c>
      <c r="F375" s="5">
        <f t="shared" si="3"/>
        <v>1</v>
      </c>
      <c r="G375" s="5">
        <f t="shared" si="4"/>
        <v>1</v>
      </c>
      <c r="H375" s="5">
        <f t="shared" si="7"/>
        <v>33</v>
      </c>
      <c r="I375" s="6">
        <f t="shared" si="6"/>
        <v>305</v>
      </c>
    </row>
    <row r="376">
      <c r="A376" s="1">
        <v>45134.0</v>
      </c>
      <c r="B376" s="5" t="s">
        <v>63</v>
      </c>
      <c r="C376" s="5" t="str">
        <f>IFERROR(VLOOKUP(B376,'Overall Bean Summary'!A$2:B$36,2,FALSE),"")</f>
        <v>Bad</v>
      </c>
      <c r="D376" s="6">
        <f t="shared" si="1"/>
        <v>0</v>
      </c>
      <c r="E376" s="6">
        <f t="shared" si="2"/>
        <v>7</v>
      </c>
      <c r="F376" s="5">
        <f t="shared" si="3"/>
        <v>1</v>
      </c>
      <c r="G376" s="5">
        <f t="shared" si="4"/>
        <v>1</v>
      </c>
      <c r="H376" s="5">
        <f t="shared" si="7"/>
        <v>34</v>
      </c>
      <c r="I376" s="6">
        <f t="shared" si="6"/>
        <v>306</v>
      </c>
    </row>
    <row r="377">
      <c r="A377" s="1">
        <v>45134.0</v>
      </c>
      <c r="B377" s="5" t="s">
        <v>63</v>
      </c>
      <c r="C377" s="5" t="str">
        <f>IFERROR(VLOOKUP(B377,'Overall Bean Summary'!A$2:B$36,2,FALSE),"")</f>
        <v>Bad</v>
      </c>
      <c r="D377" s="6">
        <f t="shared" si="1"/>
        <v>0</v>
      </c>
      <c r="E377" s="6">
        <f t="shared" si="2"/>
        <v>8</v>
      </c>
      <c r="F377" s="5">
        <f t="shared" si="3"/>
        <v>2</v>
      </c>
      <c r="G377" s="5">
        <f t="shared" si="4"/>
        <v>2</v>
      </c>
      <c r="H377" s="5">
        <f t="shared" si="7"/>
        <v>35</v>
      </c>
      <c r="I377" s="6">
        <f t="shared" si="6"/>
        <v>307</v>
      </c>
    </row>
    <row r="378">
      <c r="A378" s="1">
        <v>45135.0</v>
      </c>
      <c r="B378" s="5" t="s">
        <v>63</v>
      </c>
      <c r="C378" s="5" t="str">
        <f>IFERROR(VLOOKUP(B378,'Overall Bean Summary'!A$2:B$36,2,FALSE),"")</f>
        <v>Bad</v>
      </c>
      <c r="D378" s="6">
        <f t="shared" si="1"/>
        <v>0</v>
      </c>
      <c r="E378" s="6">
        <f t="shared" si="2"/>
        <v>9</v>
      </c>
      <c r="F378" s="5">
        <f t="shared" si="3"/>
        <v>3</v>
      </c>
      <c r="G378" s="5">
        <f t="shared" si="4"/>
        <v>1</v>
      </c>
      <c r="H378" s="5">
        <f t="shared" si="7"/>
        <v>36</v>
      </c>
      <c r="I378" s="6">
        <f t="shared" si="6"/>
        <v>308</v>
      </c>
    </row>
    <row r="379">
      <c r="A379" s="1">
        <v>45138.0</v>
      </c>
      <c r="B379" s="5" t="s">
        <v>80</v>
      </c>
      <c r="C379" s="5" t="str">
        <f>IFERROR(VLOOKUP(B379,'Overall Bean Summary'!A$2:B$36,2,FALSE),"")</f>
        <v>Bad</v>
      </c>
      <c r="D379" s="6">
        <f t="shared" si="1"/>
        <v>0</v>
      </c>
      <c r="E379" s="6">
        <f t="shared" si="2"/>
        <v>10</v>
      </c>
      <c r="F379" s="5">
        <f t="shared" si="3"/>
        <v>1</v>
      </c>
      <c r="G379" s="5">
        <f t="shared" si="4"/>
        <v>1</v>
      </c>
      <c r="H379" s="5">
        <f t="shared" si="7"/>
        <v>37</v>
      </c>
      <c r="I379" s="6">
        <f t="shared" si="6"/>
        <v>309</v>
      </c>
    </row>
    <row r="380">
      <c r="A380" s="1">
        <v>45139.0</v>
      </c>
      <c r="B380" s="5" t="s">
        <v>80</v>
      </c>
      <c r="C380" s="5" t="str">
        <f>IFERROR(VLOOKUP(B380,'Overall Bean Summary'!A$2:B$36,2,FALSE),"")</f>
        <v>Bad</v>
      </c>
      <c r="D380" s="6">
        <f t="shared" si="1"/>
        <v>0</v>
      </c>
      <c r="E380" s="6">
        <f t="shared" si="2"/>
        <v>11</v>
      </c>
      <c r="F380" s="5">
        <f t="shared" si="3"/>
        <v>2</v>
      </c>
      <c r="G380" s="5">
        <f t="shared" si="4"/>
        <v>1</v>
      </c>
      <c r="H380" s="5">
        <f t="shared" si="7"/>
        <v>1</v>
      </c>
      <c r="I380" s="6">
        <f t="shared" si="6"/>
        <v>310</v>
      </c>
    </row>
    <row r="381">
      <c r="A381" s="1">
        <v>45139.0</v>
      </c>
      <c r="B381" s="5" t="s">
        <v>40</v>
      </c>
      <c r="C381" s="5" t="str">
        <f>IFERROR(VLOOKUP(B381,'Overall Bean Summary'!A$2:B$36,2,FALSE),"")</f>
        <v>Bad</v>
      </c>
      <c r="D381" s="6">
        <f t="shared" si="1"/>
        <v>0</v>
      </c>
      <c r="E381" s="6">
        <f t="shared" si="2"/>
        <v>12</v>
      </c>
      <c r="F381" s="5">
        <f t="shared" si="3"/>
        <v>1</v>
      </c>
      <c r="G381" s="5">
        <f t="shared" si="4"/>
        <v>2</v>
      </c>
      <c r="H381" s="5">
        <f t="shared" si="7"/>
        <v>2</v>
      </c>
      <c r="I381" s="6">
        <f t="shared" si="6"/>
        <v>311</v>
      </c>
    </row>
    <row r="382">
      <c r="A382" s="1">
        <v>45139.0</v>
      </c>
      <c r="B382" s="5" t="s">
        <v>29</v>
      </c>
      <c r="C382" s="5" t="str">
        <f>IFERROR(VLOOKUP(B382,'Overall Bean Summary'!A$2:B$36,2,FALSE),"")</f>
        <v>Good</v>
      </c>
      <c r="D382" s="6">
        <f t="shared" si="1"/>
        <v>1</v>
      </c>
      <c r="E382" s="6">
        <f t="shared" si="2"/>
        <v>0</v>
      </c>
      <c r="F382" s="5">
        <f t="shared" si="3"/>
        <v>1</v>
      </c>
      <c r="G382" s="5">
        <f t="shared" si="4"/>
        <v>3</v>
      </c>
      <c r="H382" s="5">
        <f t="shared" si="7"/>
        <v>3</v>
      </c>
      <c r="I382" s="6">
        <f t="shared" si="6"/>
        <v>312</v>
      </c>
    </row>
    <row r="383">
      <c r="A383" s="1">
        <v>45139.0</v>
      </c>
      <c r="B383" s="5" t="s">
        <v>58</v>
      </c>
      <c r="C383" s="5" t="str">
        <f>IFERROR(VLOOKUP(B383,'Overall Bean Summary'!A$2:B$36,2,FALSE),"")</f>
        <v>Bad</v>
      </c>
      <c r="D383" s="6">
        <f t="shared" si="1"/>
        <v>0</v>
      </c>
      <c r="E383" s="6">
        <f t="shared" si="2"/>
        <v>1</v>
      </c>
      <c r="F383" s="5">
        <f t="shared" si="3"/>
        <v>1</v>
      </c>
      <c r="G383" s="5">
        <f t="shared" si="4"/>
        <v>4</v>
      </c>
      <c r="H383" s="5">
        <f t="shared" si="7"/>
        <v>4</v>
      </c>
      <c r="I383" s="6">
        <f t="shared" si="6"/>
        <v>313</v>
      </c>
    </row>
    <row r="384">
      <c r="A384" s="1">
        <v>45139.0</v>
      </c>
      <c r="B384" s="5" t="s">
        <v>72</v>
      </c>
      <c r="C384" s="5" t="str">
        <f>IFERROR(VLOOKUP(B384,'Overall Bean Summary'!A$2:B$36,2,FALSE),"")</f>
        <v>Bad</v>
      </c>
      <c r="D384" s="6">
        <f t="shared" si="1"/>
        <v>0</v>
      </c>
      <c r="E384" s="6">
        <f t="shared" si="2"/>
        <v>2</v>
      </c>
      <c r="F384" s="5">
        <f t="shared" si="3"/>
        <v>1</v>
      </c>
      <c r="G384" s="5">
        <f t="shared" si="4"/>
        <v>5</v>
      </c>
      <c r="H384" s="5">
        <f t="shared" si="7"/>
        <v>5</v>
      </c>
      <c r="I384" s="6">
        <f t="shared" si="6"/>
        <v>314</v>
      </c>
    </row>
    <row r="385">
      <c r="A385" s="1">
        <v>45139.0</v>
      </c>
      <c r="B385" s="5" t="s">
        <v>45</v>
      </c>
      <c r="C385" s="5" t="str">
        <f>IFERROR(VLOOKUP(B385,'Overall Bean Summary'!A$2:B$36,2,FALSE),"")</f>
        <v>Good</v>
      </c>
      <c r="D385" s="6">
        <f t="shared" si="1"/>
        <v>1</v>
      </c>
      <c r="E385" s="6">
        <f t="shared" si="2"/>
        <v>0</v>
      </c>
      <c r="F385" s="5">
        <f t="shared" si="3"/>
        <v>1</v>
      </c>
      <c r="G385" s="5">
        <f t="shared" si="4"/>
        <v>6</v>
      </c>
      <c r="H385" s="5">
        <f t="shared" si="7"/>
        <v>6</v>
      </c>
      <c r="I385" s="6">
        <f t="shared" si="6"/>
        <v>315</v>
      </c>
    </row>
    <row r="386">
      <c r="A386" s="1">
        <v>45140.0</v>
      </c>
      <c r="B386" s="5" t="s">
        <v>58</v>
      </c>
      <c r="C386" s="5" t="str">
        <f>IFERROR(VLOOKUP(B386,'Overall Bean Summary'!A$2:B$36,2,FALSE),"")</f>
        <v>Bad</v>
      </c>
      <c r="D386" s="6">
        <f t="shared" si="1"/>
        <v>0</v>
      </c>
      <c r="E386" s="6">
        <f t="shared" si="2"/>
        <v>1</v>
      </c>
      <c r="F386" s="5">
        <f t="shared" si="3"/>
        <v>1</v>
      </c>
      <c r="G386" s="5">
        <f t="shared" si="4"/>
        <v>1</v>
      </c>
      <c r="H386" s="5">
        <f t="shared" si="7"/>
        <v>7</v>
      </c>
      <c r="I386" s="6">
        <f t="shared" si="6"/>
        <v>316</v>
      </c>
      <c r="L386" s="5" t="s">
        <v>204</v>
      </c>
    </row>
    <row r="387">
      <c r="A387" s="1">
        <v>45140.0</v>
      </c>
      <c r="B387" s="5" t="s">
        <v>51</v>
      </c>
      <c r="C387" s="5" t="str">
        <f>IFERROR(VLOOKUP(B387,'Overall Bean Summary'!A$2:B$36,2,FALSE),"")</f>
        <v>Bad</v>
      </c>
      <c r="D387" s="6">
        <f t="shared" si="1"/>
        <v>0</v>
      </c>
      <c r="E387" s="6">
        <f t="shared" si="2"/>
        <v>2</v>
      </c>
      <c r="F387" s="5">
        <f t="shared" si="3"/>
        <v>1</v>
      </c>
      <c r="G387" s="5">
        <f t="shared" si="4"/>
        <v>2</v>
      </c>
      <c r="H387" s="5">
        <f t="shared" si="7"/>
        <v>8</v>
      </c>
      <c r="I387" s="6">
        <f t="shared" si="6"/>
        <v>317</v>
      </c>
      <c r="L387" s="5" t="s">
        <v>204</v>
      </c>
    </row>
    <row r="388">
      <c r="A388" s="1">
        <v>45141.0</v>
      </c>
      <c r="B388" s="5" t="s">
        <v>58</v>
      </c>
      <c r="C388" s="5" t="str">
        <f>IFERROR(VLOOKUP(B388,'Overall Bean Summary'!A$2:B$36,2,FALSE),"")</f>
        <v>Bad</v>
      </c>
      <c r="D388" s="6">
        <f t="shared" si="1"/>
        <v>0</v>
      </c>
      <c r="E388" s="6">
        <f t="shared" si="2"/>
        <v>3</v>
      </c>
      <c r="F388" s="5">
        <f t="shared" si="3"/>
        <v>1</v>
      </c>
      <c r="G388" s="5">
        <f t="shared" si="4"/>
        <v>1</v>
      </c>
      <c r="H388" s="5">
        <f t="shared" si="7"/>
        <v>9</v>
      </c>
      <c r="I388" s="6">
        <f t="shared" si="6"/>
        <v>318</v>
      </c>
      <c r="L388" s="5" t="s">
        <v>204</v>
      </c>
    </row>
    <row r="389">
      <c r="A389" s="1">
        <v>45141.0</v>
      </c>
      <c r="B389" s="5" t="s">
        <v>45</v>
      </c>
      <c r="C389" s="5" t="str">
        <f>IFERROR(VLOOKUP(B389,'Overall Bean Summary'!A$2:B$36,2,FALSE),"")</f>
        <v>Good</v>
      </c>
      <c r="D389" s="6">
        <f t="shared" si="1"/>
        <v>1</v>
      </c>
      <c r="E389" s="6">
        <f t="shared" si="2"/>
        <v>0</v>
      </c>
      <c r="F389" s="5">
        <f t="shared" si="3"/>
        <v>1</v>
      </c>
      <c r="G389" s="5">
        <f t="shared" si="4"/>
        <v>2</v>
      </c>
      <c r="H389" s="5">
        <f t="shared" si="7"/>
        <v>10</v>
      </c>
      <c r="I389" s="6">
        <f t="shared" si="6"/>
        <v>319</v>
      </c>
      <c r="L389" s="5" t="s">
        <v>204</v>
      </c>
    </row>
    <row r="390">
      <c r="A390" s="1">
        <v>45141.0</v>
      </c>
      <c r="B390" s="5" t="s">
        <v>51</v>
      </c>
      <c r="C390" s="5" t="str">
        <f>IFERROR(VLOOKUP(B390,'Overall Bean Summary'!A$2:B$36,2,FALSE),"")</f>
        <v>Bad</v>
      </c>
      <c r="D390" s="6">
        <f t="shared" si="1"/>
        <v>0</v>
      </c>
      <c r="E390" s="6">
        <f t="shared" si="2"/>
        <v>1</v>
      </c>
      <c r="F390" s="5">
        <f t="shared" si="3"/>
        <v>1</v>
      </c>
      <c r="G390" s="5">
        <f t="shared" si="4"/>
        <v>3</v>
      </c>
      <c r="H390" s="5">
        <f t="shared" si="7"/>
        <v>11</v>
      </c>
      <c r="I390" s="6">
        <f t="shared" si="6"/>
        <v>320</v>
      </c>
      <c r="L390" s="5" t="s">
        <v>204</v>
      </c>
    </row>
    <row r="391">
      <c r="A391" s="1">
        <v>45142.0</v>
      </c>
      <c r="B391" s="5" t="s">
        <v>95</v>
      </c>
      <c r="C391" s="5" t="str">
        <f>IFERROR(VLOOKUP(B391,'Overall Bean Summary'!A$2:B$36,2,FALSE),"")</f>
        <v>Good</v>
      </c>
      <c r="D391" s="6">
        <f t="shared" si="1"/>
        <v>1</v>
      </c>
      <c r="E391" s="6">
        <f t="shared" si="2"/>
        <v>0</v>
      </c>
      <c r="F391" s="5">
        <f t="shared" si="3"/>
        <v>1</v>
      </c>
      <c r="G391" s="5">
        <f t="shared" si="4"/>
        <v>1</v>
      </c>
      <c r="H391" s="5">
        <f t="shared" si="7"/>
        <v>12</v>
      </c>
      <c r="I391" s="6">
        <f t="shared" si="6"/>
        <v>321</v>
      </c>
      <c r="L391" s="5" t="s">
        <v>204</v>
      </c>
    </row>
    <row r="392">
      <c r="A392" s="1">
        <v>45142.0</v>
      </c>
      <c r="B392" s="5" t="s">
        <v>72</v>
      </c>
      <c r="C392" s="5" t="str">
        <f>IFERROR(VLOOKUP(B392,'Overall Bean Summary'!A$2:B$36,2,FALSE),"")</f>
        <v>Bad</v>
      </c>
      <c r="D392" s="6">
        <f t="shared" si="1"/>
        <v>0</v>
      </c>
      <c r="E392" s="6">
        <f t="shared" si="2"/>
        <v>1</v>
      </c>
      <c r="F392" s="5">
        <f t="shared" si="3"/>
        <v>1</v>
      </c>
      <c r="G392" s="5">
        <f t="shared" si="4"/>
        <v>2</v>
      </c>
      <c r="H392" s="5">
        <f t="shared" si="7"/>
        <v>13</v>
      </c>
      <c r="I392" s="6">
        <f t="shared" si="6"/>
        <v>322</v>
      </c>
      <c r="L392" s="5" t="s">
        <v>204</v>
      </c>
    </row>
    <row r="393">
      <c r="A393" s="1">
        <v>45142.0</v>
      </c>
      <c r="B393" s="5" t="s">
        <v>45</v>
      </c>
      <c r="C393" s="5" t="str">
        <f>IFERROR(VLOOKUP(B393,'Overall Bean Summary'!A$2:B$36,2,FALSE),"")</f>
        <v>Good</v>
      </c>
      <c r="D393" s="6">
        <f t="shared" si="1"/>
        <v>1</v>
      </c>
      <c r="E393" s="6">
        <f t="shared" si="2"/>
        <v>0</v>
      </c>
      <c r="F393" s="5">
        <f t="shared" si="3"/>
        <v>1</v>
      </c>
      <c r="G393" s="5">
        <f t="shared" si="4"/>
        <v>3</v>
      </c>
      <c r="H393" s="5">
        <f t="shared" si="7"/>
        <v>14</v>
      </c>
      <c r="I393" s="6">
        <f t="shared" si="6"/>
        <v>323</v>
      </c>
      <c r="L393" s="5" t="s">
        <v>204</v>
      </c>
    </row>
    <row r="394">
      <c r="A394" s="1">
        <v>45142.0</v>
      </c>
      <c r="B394" s="5" t="s">
        <v>40</v>
      </c>
      <c r="C394" s="5" t="str">
        <f>IFERROR(VLOOKUP(B394,'Overall Bean Summary'!A$2:B$36,2,FALSE),"")</f>
        <v>Bad</v>
      </c>
      <c r="D394" s="6">
        <f t="shared" si="1"/>
        <v>0</v>
      </c>
      <c r="E394" s="6">
        <f t="shared" si="2"/>
        <v>1</v>
      </c>
      <c r="F394" s="5">
        <f t="shared" si="3"/>
        <v>1</v>
      </c>
      <c r="G394" s="5">
        <f t="shared" si="4"/>
        <v>4</v>
      </c>
      <c r="H394" s="5">
        <f t="shared" si="7"/>
        <v>15</v>
      </c>
      <c r="I394" s="6">
        <f t="shared" si="6"/>
        <v>324</v>
      </c>
      <c r="L394" s="5" t="s">
        <v>204</v>
      </c>
    </row>
    <row r="395">
      <c r="A395" s="1">
        <v>45146.0</v>
      </c>
      <c r="B395" s="5" t="s">
        <v>80</v>
      </c>
      <c r="C395" s="5" t="str">
        <f>IFERROR(VLOOKUP(B395,'Overall Bean Summary'!A$2:B$36,2,FALSE),"")</f>
        <v>Bad</v>
      </c>
      <c r="D395" s="6">
        <f t="shared" si="1"/>
        <v>0</v>
      </c>
      <c r="E395" s="6">
        <f t="shared" si="2"/>
        <v>2</v>
      </c>
      <c r="F395" s="5">
        <f t="shared" si="3"/>
        <v>1</v>
      </c>
      <c r="G395" s="5">
        <f t="shared" si="4"/>
        <v>1</v>
      </c>
      <c r="H395" s="5">
        <f t="shared" si="7"/>
        <v>16</v>
      </c>
      <c r="I395" s="6">
        <f t="shared" si="6"/>
        <v>325</v>
      </c>
    </row>
    <row r="396">
      <c r="A396" s="1">
        <v>45146.0</v>
      </c>
      <c r="B396" s="5" t="s">
        <v>45</v>
      </c>
      <c r="C396" s="5" t="str">
        <f>IFERROR(VLOOKUP(B396,'Overall Bean Summary'!A$2:B$36,2,FALSE),"")</f>
        <v>Good</v>
      </c>
      <c r="D396" s="6">
        <f t="shared" si="1"/>
        <v>1</v>
      </c>
      <c r="E396" s="6">
        <f t="shared" si="2"/>
        <v>0</v>
      </c>
      <c r="F396" s="5">
        <f t="shared" si="3"/>
        <v>1</v>
      </c>
      <c r="G396" s="5">
        <f t="shared" si="4"/>
        <v>2</v>
      </c>
      <c r="H396" s="5">
        <f t="shared" si="7"/>
        <v>17</v>
      </c>
      <c r="I396" s="6">
        <f t="shared" si="6"/>
        <v>326</v>
      </c>
    </row>
    <row r="397">
      <c r="A397" s="1">
        <v>45147.0</v>
      </c>
      <c r="B397" s="5" t="s">
        <v>51</v>
      </c>
      <c r="C397" s="5" t="str">
        <f>IFERROR(VLOOKUP(B397,'Overall Bean Summary'!A$2:B$36,2,FALSE),"")</f>
        <v>Bad</v>
      </c>
      <c r="D397" s="6">
        <f t="shared" si="1"/>
        <v>0</v>
      </c>
      <c r="E397" s="6">
        <f t="shared" si="2"/>
        <v>1</v>
      </c>
      <c r="F397" s="5">
        <f t="shared" si="3"/>
        <v>1</v>
      </c>
      <c r="G397" s="5">
        <f t="shared" si="4"/>
        <v>1</v>
      </c>
      <c r="H397" s="5">
        <f t="shared" si="7"/>
        <v>18</v>
      </c>
      <c r="I397" s="6">
        <f t="shared" si="6"/>
        <v>327</v>
      </c>
    </row>
    <row r="398">
      <c r="A398" s="1">
        <v>45148.0</v>
      </c>
      <c r="B398" s="5" t="s">
        <v>58</v>
      </c>
      <c r="C398" s="5" t="str">
        <f>IFERROR(VLOOKUP(B398,'Overall Bean Summary'!A$2:B$36,2,FALSE),"")</f>
        <v>Bad</v>
      </c>
      <c r="D398" s="6">
        <f t="shared" si="1"/>
        <v>0</v>
      </c>
      <c r="E398" s="6">
        <f t="shared" si="2"/>
        <v>2</v>
      </c>
      <c r="F398" s="5">
        <f t="shared" si="3"/>
        <v>1</v>
      </c>
      <c r="G398" s="5">
        <f t="shared" si="4"/>
        <v>1</v>
      </c>
      <c r="H398" s="5">
        <f t="shared" si="7"/>
        <v>19</v>
      </c>
      <c r="I398" s="6">
        <f t="shared" si="6"/>
        <v>328</v>
      </c>
    </row>
    <row r="399">
      <c r="A399" s="1">
        <v>45148.0</v>
      </c>
      <c r="B399" s="5" t="s">
        <v>53</v>
      </c>
      <c r="C399" s="5" t="str">
        <f>IFERROR(VLOOKUP(B399,'Overall Bean Summary'!A$2:B$36,2,FALSE),"")</f>
        <v>Good</v>
      </c>
      <c r="D399" s="6">
        <f t="shared" si="1"/>
        <v>1</v>
      </c>
      <c r="E399" s="6">
        <f t="shared" si="2"/>
        <v>0</v>
      </c>
      <c r="F399" s="5">
        <f t="shared" si="3"/>
        <v>1</v>
      </c>
      <c r="G399" s="5">
        <f t="shared" si="4"/>
        <v>2</v>
      </c>
      <c r="H399" s="5">
        <f t="shared" si="7"/>
        <v>20</v>
      </c>
      <c r="I399" s="6">
        <f t="shared" si="6"/>
        <v>329</v>
      </c>
    </row>
    <row r="400">
      <c r="A400" s="1">
        <v>45148.0</v>
      </c>
      <c r="B400" s="5" t="s">
        <v>51</v>
      </c>
      <c r="C400" s="5" t="str">
        <f>IFERROR(VLOOKUP(B400,'Overall Bean Summary'!A$2:B$36,2,FALSE),"")</f>
        <v>Bad</v>
      </c>
      <c r="D400" s="6">
        <f t="shared" si="1"/>
        <v>0</v>
      </c>
      <c r="E400" s="6">
        <f t="shared" si="2"/>
        <v>1</v>
      </c>
      <c r="F400" s="5">
        <f t="shared" si="3"/>
        <v>1</v>
      </c>
      <c r="G400" s="5">
        <f t="shared" si="4"/>
        <v>3</v>
      </c>
      <c r="H400" s="5">
        <f t="shared" si="7"/>
        <v>21</v>
      </c>
      <c r="I400" s="6">
        <f t="shared" si="6"/>
        <v>330</v>
      </c>
    </row>
    <row r="401">
      <c r="A401" s="1">
        <v>45148.0</v>
      </c>
      <c r="B401" s="5" t="s">
        <v>95</v>
      </c>
      <c r="C401" s="5" t="str">
        <f>IFERROR(VLOOKUP(B401,'Overall Bean Summary'!A$2:B$36,2,FALSE),"")</f>
        <v>Good</v>
      </c>
      <c r="D401" s="6">
        <f t="shared" si="1"/>
        <v>1</v>
      </c>
      <c r="E401" s="6">
        <f t="shared" si="2"/>
        <v>0</v>
      </c>
      <c r="F401" s="5">
        <f t="shared" si="3"/>
        <v>1</v>
      </c>
      <c r="G401" s="5">
        <f t="shared" si="4"/>
        <v>4</v>
      </c>
      <c r="H401" s="5">
        <f t="shared" si="7"/>
        <v>22</v>
      </c>
      <c r="I401" s="6">
        <f t="shared" si="6"/>
        <v>331</v>
      </c>
    </row>
    <row r="402">
      <c r="A402" s="1">
        <v>45152.0</v>
      </c>
      <c r="B402" s="5" t="s">
        <v>72</v>
      </c>
      <c r="C402" s="5" t="str">
        <f>IFERROR(VLOOKUP(B402,'Overall Bean Summary'!A$2:B$36,2,FALSE),"")</f>
        <v>Bad</v>
      </c>
      <c r="D402" s="6">
        <f t="shared" si="1"/>
        <v>0</v>
      </c>
      <c r="E402" s="6">
        <f t="shared" si="2"/>
        <v>1</v>
      </c>
      <c r="F402" s="5">
        <f t="shared" si="3"/>
        <v>1</v>
      </c>
      <c r="G402" s="5">
        <f t="shared" si="4"/>
        <v>1</v>
      </c>
      <c r="H402" s="5">
        <f t="shared" si="7"/>
        <v>23</v>
      </c>
      <c r="I402" s="6">
        <f t="shared" si="6"/>
        <v>332</v>
      </c>
    </row>
    <row r="403">
      <c r="A403" s="1">
        <v>45152.0</v>
      </c>
      <c r="B403" s="5" t="s">
        <v>80</v>
      </c>
      <c r="C403" s="5" t="str">
        <f>IFERROR(VLOOKUP(B403,'Overall Bean Summary'!A$2:B$36,2,FALSE),"")</f>
        <v>Bad</v>
      </c>
      <c r="D403" s="6">
        <f t="shared" si="1"/>
        <v>0</v>
      </c>
      <c r="E403" s="6">
        <f t="shared" si="2"/>
        <v>2</v>
      </c>
      <c r="F403" s="5">
        <f t="shared" si="3"/>
        <v>1</v>
      </c>
      <c r="G403" s="5">
        <f t="shared" si="4"/>
        <v>2</v>
      </c>
      <c r="H403" s="5">
        <f t="shared" si="7"/>
        <v>24</v>
      </c>
      <c r="I403" s="6">
        <f t="shared" si="6"/>
        <v>333</v>
      </c>
      <c r="L403" s="5"/>
    </row>
    <row r="404">
      <c r="A404" s="1">
        <v>45153.0</v>
      </c>
      <c r="B404" s="5" t="s">
        <v>58</v>
      </c>
      <c r="C404" s="5" t="str">
        <f>IFERROR(VLOOKUP(B404,'Overall Bean Summary'!A$2:B$36,2,FALSE),"")</f>
        <v>Bad</v>
      </c>
      <c r="D404" s="6">
        <f t="shared" si="1"/>
        <v>0</v>
      </c>
      <c r="E404" s="6">
        <f t="shared" si="2"/>
        <v>3</v>
      </c>
      <c r="F404" s="5">
        <f t="shared" si="3"/>
        <v>1</v>
      </c>
      <c r="G404" s="5">
        <f t="shared" si="4"/>
        <v>1</v>
      </c>
      <c r="H404" s="5">
        <f t="shared" si="7"/>
        <v>25</v>
      </c>
      <c r="I404" s="6">
        <f t="shared" si="6"/>
        <v>334</v>
      </c>
    </row>
    <row r="405">
      <c r="A405" s="1">
        <v>45154.0</v>
      </c>
      <c r="B405" s="5" t="s">
        <v>80</v>
      </c>
      <c r="C405" s="5" t="str">
        <f>IFERROR(VLOOKUP(B405,'Overall Bean Summary'!A$2:B$36,2,FALSE),"")</f>
        <v>Bad</v>
      </c>
      <c r="D405" s="6">
        <f t="shared" si="1"/>
        <v>0</v>
      </c>
      <c r="E405" s="6">
        <f t="shared" si="2"/>
        <v>4</v>
      </c>
      <c r="F405" s="5">
        <f t="shared" si="3"/>
        <v>1</v>
      </c>
      <c r="G405" s="5">
        <f t="shared" si="4"/>
        <v>1</v>
      </c>
      <c r="H405" s="5">
        <f t="shared" si="7"/>
        <v>26</v>
      </c>
      <c r="I405" s="6">
        <f t="shared" si="6"/>
        <v>335</v>
      </c>
    </row>
    <row r="406">
      <c r="A406" s="1">
        <v>45154.0</v>
      </c>
      <c r="B406" s="5" t="s">
        <v>51</v>
      </c>
      <c r="C406" s="5" t="str">
        <f>IFERROR(VLOOKUP(B406,'Overall Bean Summary'!A$2:B$36,2,FALSE),"")</f>
        <v>Bad</v>
      </c>
      <c r="D406" s="6">
        <f t="shared" si="1"/>
        <v>0</v>
      </c>
      <c r="E406" s="6">
        <f t="shared" si="2"/>
        <v>5</v>
      </c>
      <c r="F406" s="5">
        <f t="shared" si="3"/>
        <v>1</v>
      </c>
      <c r="G406" s="5">
        <f t="shared" si="4"/>
        <v>2</v>
      </c>
      <c r="H406" s="5">
        <f t="shared" si="7"/>
        <v>27</v>
      </c>
      <c r="I406" s="6">
        <f t="shared" si="6"/>
        <v>336</v>
      </c>
    </row>
    <row r="407">
      <c r="A407" s="1">
        <v>45156.0</v>
      </c>
      <c r="B407" s="5" t="s">
        <v>63</v>
      </c>
      <c r="C407" s="5" t="str">
        <f>IFERROR(VLOOKUP(B407,'Overall Bean Summary'!A$2:B$36,2,FALSE),"")</f>
        <v>Bad</v>
      </c>
      <c r="D407" s="6">
        <f t="shared" si="1"/>
        <v>0</v>
      </c>
      <c r="E407" s="6">
        <f t="shared" si="2"/>
        <v>6</v>
      </c>
      <c r="F407" s="5">
        <f t="shared" si="3"/>
        <v>1</v>
      </c>
      <c r="G407" s="5">
        <f t="shared" si="4"/>
        <v>1</v>
      </c>
      <c r="H407" s="5">
        <f t="shared" si="7"/>
        <v>28</v>
      </c>
      <c r="I407" s="6">
        <f t="shared" si="6"/>
        <v>337</v>
      </c>
    </row>
    <row r="408">
      <c r="A408" s="1">
        <v>45159.0</v>
      </c>
      <c r="B408" s="5" t="s">
        <v>80</v>
      </c>
      <c r="C408" s="5" t="str">
        <f>IFERROR(VLOOKUP(B408,'Overall Bean Summary'!A$2:B$36,2,FALSE),"")</f>
        <v>Bad</v>
      </c>
      <c r="D408" s="6">
        <f t="shared" si="1"/>
        <v>0</v>
      </c>
      <c r="E408" s="6">
        <f t="shared" si="2"/>
        <v>7</v>
      </c>
      <c r="F408" s="5">
        <f t="shared" si="3"/>
        <v>1</v>
      </c>
      <c r="G408" s="5">
        <f t="shared" si="4"/>
        <v>1</v>
      </c>
      <c r="H408" s="5">
        <f t="shared" si="7"/>
        <v>29</v>
      </c>
      <c r="I408" s="6">
        <f t="shared" si="6"/>
        <v>338</v>
      </c>
    </row>
    <row r="409">
      <c r="A409" s="1">
        <v>45160.0</v>
      </c>
      <c r="B409" s="5" t="s">
        <v>29</v>
      </c>
      <c r="C409" s="5" t="str">
        <f>IFERROR(VLOOKUP(B409,'Overall Bean Summary'!A$2:B$36,2,FALSE),"")</f>
        <v>Good</v>
      </c>
      <c r="D409" s="6">
        <f t="shared" si="1"/>
        <v>1</v>
      </c>
      <c r="E409" s="6">
        <f t="shared" si="2"/>
        <v>0</v>
      </c>
      <c r="F409" s="5">
        <f t="shared" si="3"/>
        <v>1</v>
      </c>
      <c r="G409" s="5">
        <f t="shared" si="4"/>
        <v>1</v>
      </c>
      <c r="H409" s="5">
        <f t="shared" si="7"/>
        <v>30</v>
      </c>
      <c r="I409" s="6">
        <f t="shared" si="6"/>
        <v>339</v>
      </c>
    </row>
    <row r="410">
      <c r="A410" s="1">
        <v>45161.0</v>
      </c>
      <c r="B410" s="5" t="s">
        <v>80</v>
      </c>
      <c r="C410" s="5" t="str">
        <f>IFERROR(VLOOKUP(B410,'Overall Bean Summary'!A$2:B$36,2,FALSE),"")</f>
        <v>Bad</v>
      </c>
      <c r="D410" s="6">
        <f t="shared" si="1"/>
        <v>0</v>
      </c>
      <c r="E410" s="6">
        <f t="shared" si="2"/>
        <v>1</v>
      </c>
      <c r="F410" s="5">
        <f t="shared" si="3"/>
        <v>1</v>
      </c>
      <c r="G410" s="5">
        <f t="shared" si="4"/>
        <v>1</v>
      </c>
      <c r="H410" s="5">
        <f t="shared" si="7"/>
        <v>31</v>
      </c>
      <c r="I410" s="6">
        <f t="shared" si="6"/>
        <v>340</v>
      </c>
    </row>
    <row r="411">
      <c r="A411" s="1">
        <v>45162.0</v>
      </c>
      <c r="B411" s="5" t="s">
        <v>63</v>
      </c>
      <c r="C411" s="5" t="str">
        <f>IFERROR(VLOOKUP(B411,'Overall Bean Summary'!A$2:B$36,2,FALSE),"")</f>
        <v>Bad</v>
      </c>
      <c r="D411" s="6">
        <f t="shared" si="1"/>
        <v>0</v>
      </c>
      <c r="E411" s="6">
        <f t="shared" si="2"/>
        <v>2</v>
      </c>
      <c r="F411" s="5">
        <f t="shared" si="3"/>
        <v>1</v>
      </c>
      <c r="G411" s="5">
        <f t="shared" si="4"/>
        <v>1</v>
      </c>
      <c r="H411" s="5">
        <f t="shared" si="7"/>
        <v>32</v>
      </c>
      <c r="I411" s="6">
        <f t="shared" si="6"/>
        <v>341</v>
      </c>
    </row>
    <row r="412">
      <c r="A412" s="1">
        <v>45162.0</v>
      </c>
      <c r="B412" s="5" t="s">
        <v>48</v>
      </c>
      <c r="C412" s="5" t="str">
        <f>IFERROR(VLOOKUP(B412,'Overall Bean Summary'!A$2:B$36,2,FALSE),"")</f>
        <v>Bad</v>
      </c>
      <c r="D412" s="6">
        <f t="shared" si="1"/>
        <v>0</v>
      </c>
      <c r="E412" s="6">
        <f t="shared" si="2"/>
        <v>3</v>
      </c>
      <c r="F412" s="5">
        <f t="shared" si="3"/>
        <v>1</v>
      </c>
      <c r="G412" s="5">
        <f t="shared" si="4"/>
        <v>2</v>
      </c>
      <c r="H412" s="5">
        <f t="shared" si="7"/>
        <v>33</v>
      </c>
      <c r="I412" s="6">
        <f t="shared" si="6"/>
        <v>342</v>
      </c>
    </row>
    <row r="413">
      <c r="A413" s="1">
        <v>45163.0</v>
      </c>
      <c r="B413" s="5" t="s">
        <v>95</v>
      </c>
      <c r="C413" s="5" t="str">
        <f>IFERROR(VLOOKUP(B413,'Overall Bean Summary'!A$2:B$36,2,FALSE),"")</f>
        <v>Good</v>
      </c>
      <c r="D413" s="6">
        <f t="shared" si="1"/>
        <v>1</v>
      </c>
      <c r="E413" s="6">
        <f t="shared" si="2"/>
        <v>0</v>
      </c>
      <c r="F413" s="5">
        <f t="shared" si="3"/>
        <v>1</v>
      </c>
      <c r="G413" s="5">
        <f t="shared" si="4"/>
        <v>1</v>
      </c>
      <c r="H413" s="5">
        <f t="shared" si="7"/>
        <v>34</v>
      </c>
      <c r="I413" s="6">
        <f t="shared" si="6"/>
        <v>343</v>
      </c>
    </row>
    <row r="414">
      <c r="A414" s="1">
        <v>45163.0</v>
      </c>
      <c r="B414" s="5" t="s">
        <v>72</v>
      </c>
      <c r="C414" s="5" t="str">
        <f>IFERROR(VLOOKUP(B414,'Overall Bean Summary'!A$2:B$36,2,FALSE),"")</f>
        <v>Bad</v>
      </c>
      <c r="D414" s="6">
        <f t="shared" si="1"/>
        <v>0</v>
      </c>
      <c r="E414" s="6">
        <f t="shared" si="2"/>
        <v>1</v>
      </c>
      <c r="F414" s="5">
        <f t="shared" si="3"/>
        <v>1</v>
      </c>
      <c r="G414" s="5">
        <f t="shared" si="4"/>
        <v>2</v>
      </c>
      <c r="H414" s="5">
        <f t="shared" si="7"/>
        <v>35</v>
      </c>
      <c r="I414" s="6">
        <f t="shared" si="6"/>
        <v>344</v>
      </c>
    </row>
    <row r="415">
      <c r="A415" s="1">
        <v>45163.0</v>
      </c>
      <c r="B415" s="5" t="s">
        <v>51</v>
      </c>
      <c r="C415" s="5" t="str">
        <f>IFERROR(VLOOKUP(B415,'Overall Bean Summary'!A$2:B$36,2,FALSE),"")</f>
        <v>Bad</v>
      </c>
      <c r="D415" s="6">
        <f t="shared" si="1"/>
        <v>0</v>
      </c>
      <c r="E415" s="6">
        <f t="shared" si="2"/>
        <v>2</v>
      </c>
      <c r="F415" s="5">
        <f t="shared" si="3"/>
        <v>1</v>
      </c>
      <c r="G415" s="5">
        <f t="shared" si="4"/>
        <v>3</v>
      </c>
      <c r="H415" s="5">
        <f t="shared" si="7"/>
        <v>36</v>
      </c>
      <c r="I415" s="6">
        <f t="shared" si="6"/>
        <v>345</v>
      </c>
    </row>
    <row r="416">
      <c r="A416" s="1">
        <v>45166.0</v>
      </c>
      <c r="B416" s="5" t="s">
        <v>80</v>
      </c>
      <c r="C416" s="5" t="str">
        <f>IFERROR(VLOOKUP(B416,'Overall Bean Summary'!A$2:B$36,2,FALSE),"")</f>
        <v>Bad</v>
      </c>
      <c r="D416" s="6">
        <f t="shared" si="1"/>
        <v>0</v>
      </c>
      <c r="E416" s="6">
        <f t="shared" si="2"/>
        <v>3</v>
      </c>
      <c r="F416" s="5">
        <f t="shared" si="3"/>
        <v>1</v>
      </c>
      <c r="G416" s="5">
        <f t="shared" si="4"/>
        <v>1</v>
      </c>
      <c r="H416" s="5">
        <f t="shared" si="7"/>
        <v>37</v>
      </c>
      <c r="I416" s="6">
        <f t="shared" si="6"/>
        <v>346</v>
      </c>
    </row>
    <row r="417">
      <c r="A417" s="1">
        <v>45167.0</v>
      </c>
      <c r="B417" s="5" t="s">
        <v>80</v>
      </c>
      <c r="C417" s="5" t="str">
        <f>IFERROR(VLOOKUP(B417,'Overall Bean Summary'!A$2:B$36,2,FALSE),"")</f>
        <v>Bad</v>
      </c>
      <c r="D417" s="6">
        <f t="shared" si="1"/>
        <v>0</v>
      </c>
      <c r="E417" s="6">
        <f t="shared" si="2"/>
        <v>4</v>
      </c>
      <c r="F417" s="5">
        <f t="shared" si="3"/>
        <v>2</v>
      </c>
      <c r="G417" s="5">
        <f t="shared" si="4"/>
        <v>1</v>
      </c>
      <c r="H417" s="5">
        <f t="shared" si="7"/>
        <v>38</v>
      </c>
      <c r="I417" s="6">
        <f t="shared" si="6"/>
        <v>347</v>
      </c>
      <c r="L417" s="5" t="s">
        <v>207</v>
      </c>
    </row>
    <row r="418">
      <c r="A418" s="1">
        <v>45167.0</v>
      </c>
      <c r="B418" s="5" t="s">
        <v>58</v>
      </c>
      <c r="C418" s="5" t="str">
        <f>IFERROR(VLOOKUP(B418,'Overall Bean Summary'!A$2:B$36,2,FALSE),"")</f>
        <v>Bad</v>
      </c>
      <c r="D418" s="6">
        <f t="shared" si="1"/>
        <v>0</v>
      </c>
      <c r="E418" s="6">
        <f t="shared" si="2"/>
        <v>5</v>
      </c>
      <c r="F418" s="5">
        <f t="shared" si="3"/>
        <v>1</v>
      </c>
      <c r="G418" s="5">
        <f t="shared" si="4"/>
        <v>2</v>
      </c>
      <c r="H418" s="5">
        <f t="shared" si="7"/>
        <v>39</v>
      </c>
      <c r="I418" s="6">
        <f t="shared" si="6"/>
        <v>348</v>
      </c>
      <c r="L418" s="5"/>
    </row>
    <row r="419">
      <c r="A419" s="1">
        <v>45168.0</v>
      </c>
      <c r="B419" s="5" t="s">
        <v>95</v>
      </c>
      <c r="C419" s="5" t="str">
        <f>IFERROR(VLOOKUP(B419,'Overall Bean Summary'!A$2:B$36,2,FALSE),"")</f>
        <v>Good</v>
      </c>
      <c r="D419" s="6">
        <f t="shared" si="1"/>
        <v>1</v>
      </c>
      <c r="E419" s="6">
        <f t="shared" si="2"/>
        <v>0</v>
      </c>
      <c r="F419" s="5">
        <f t="shared" si="3"/>
        <v>1</v>
      </c>
      <c r="G419" s="5">
        <f t="shared" si="4"/>
        <v>1</v>
      </c>
      <c r="H419" s="5">
        <f t="shared" si="7"/>
        <v>40</v>
      </c>
      <c r="I419" s="6">
        <f t="shared" si="6"/>
        <v>349</v>
      </c>
      <c r="L419" s="5" t="s">
        <v>207</v>
      </c>
    </row>
    <row r="420">
      <c r="A420" s="1">
        <v>45168.0</v>
      </c>
      <c r="B420" s="5" t="s">
        <v>51</v>
      </c>
      <c r="C420" s="5" t="str">
        <f>IFERROR(VLOOKUP(B420,'Overall Bean Summary'!A$2:B$36,2,FALSE),"")</f>
        <v>Bad</v>
      </c>
      <c r="D420" s="6">
        <f t="shared" si="1"/>
        <v>0</v>
      </c>
      <c r="E420" s="6">
        <f t="shared" si="2"/>
        <v>1</v>
      </c>
      <c r="F420" s="5">
        <f t="shared" si="3"/>
        <v>1</v>
      </c>
      <c r="G420" s="5">
        <f t="shared" si="4"/>
        <v>2</v>
      </c>
      <c r="H420" s="5">
        <f t="shared" si="7"/>
        <v>41</v>
      </c>
      <c r="I420" s="6">
        <f t="shared" si="6"/>
        <v>350</v>
      </c>
    </row>
    <row r="421">
      <c r="A421" s="1">
        <v>45169.0</v>
      </c>
      <c r="B421" s="5" t="s">
        <v>29</v>
      </c>
      <c r="C421" s="5" t="str">
        <f>IFERROR(VLOOKUP(B421,'Overall Bean Summary'!A$2:B$36,2,FALSE),"")</f>
        <v>Good</v>
      </c>
      <c r="D421" s="6">
        <f t="shared" si="1"/>
        <v>1</v>
      </c>
      <c r="E421" s="6">
        <f t="shared" si="2"/>
        <v>0</v>
      </c>
      <c r="F421" s="5">
        <f t="shared" si="3"/>
        <v>1</v>
      </c>
      <c r="G421" s="5">
        <f t="shared" si="4"/>
        <v>1</v>
      </c>
      <c r="H421" s="5">
        <f t="shared" si="7"/>
        <v>42</v>
      </c>
      <c r="I421" s="6">
        <f t="shared" si="6"/>
        <v>351</v>
      </c>
      <c r="L421" s="5" t="s">
        <v>208</v>
      </c>
    </row>
    <row r="422">
      <c r="A422" s="1">
        <v>45169.0</v>
      </c>
      <c r="B422" s="5" t="s">
        <v>34</v>
      </c>
      <c r="C422" s="5" t="str">
        <f>IFERROR(VLOOKUP(B422,'Overall Bean Summary'!A$2:B$36,2,FALSE),"")</f>
        <v>Good</v>
      </c>
      <c r="D422" s="6">
        <f t="shared" si="1"/>
        <v>2</v>
      </c>
      <c r="E422" s="6">
        <f t="shared" si="2"/>
        <v>0</v>
      </c>
      <c r="F422" s="5">
        <f t="shared" si="3"/>
        <v>1</v>
      </c>
      <c r="G422" s="5">
        <f t="shared" si="4"/>
        <v>2</v>
      </c>
      <c r="H422" s="5">
        <f t="shared" si="7"/>
        <v>43</v>
      </c>
      <c r="I422" s="6">
        <f t="shared" si="6"/>
        <v>352</v>
      </c>
    </row>
    <row r="423">
      <c r="A423" s="1">
        <v>45169.0</v>
      </c>
      <c r="B423" s="5" t="s">
        <v>58</v>
      </c>
      <c r="C423" s="5" t="str">
        <f>IFERROR(VLOOKUP(B423,'Overall Bean Summary'!A$2:B$36,2,FALSE),"")</f>
        <v>Bad</v>
      </c>
      <c r="D423" s="6">
        <f t="shared" si="1"/>
        <v>0</v>
      </c>
      <c r="E423" s="6">
        <f t="shared" si="2"/>
        <v>1</v>
      </c>
      <c r="F423" s="5">
        <f t="shared" si="3"/>
        <v>1</v>
      </c>
      <c r="G423" s="5">
        <f t="shared" si="4"/>
        <v>3</v>
      </c>
      <c r="H423" s="5">
        <f t="shared" si="7"/>
        <v>44</v>
      </c>
      <c r="I423" s="6">
        <f t="shared" si="6"/>
        <v>353</v>
      </c>
    </row>
    <row r="424">
      <c r="A424" s="1">
        <v>45169.0</v>
      </c>
      <c r="B424" s="5" t="s">
        <v>51</v>
      </c>
      <c r="C424" s="5" t="str">
        <f>IFERROR(VLOOKUP(B424,'Overall Bean Summary'!A$2:B$36,2,FALSE),"")</f>
        <v>Bad</v>
      </c>
      <c r="D424" s="6">
        <f t="shared" si="1"/>
        <v>0</v>
      </c>
      <c r="E424" s="6">
        <f t="shared" si="2"/>
        <v>2</v>
      </c>
      <c r="F424" s="5">
        <f t="shared" si="3"/>
        <v>1</v>
      </c>
      <c r="G424" s="5">
        <f t="shared" si="4"/>
        <v>4</v>
      </c>
      <c r="H424" s="5">
        <f t="shared" si="7"/>
        <v>45</v>
      </c>
      <c r="I424" s="6">
        <f t="shared" si="6"/>
        <v>354</v>
      </c>
    </row>
    <row r="425">
      <c r="A425" s="1">
        <v>45170.0</v>
      </c>
      <c r="B425" s="5" t="s">
        <v>14</v>
      </c>
      <c r="C425" s="5" t="str">
        <f>IFERROR(VLOOKUP(B425,'Overall Bean Summary'!A$2:B$36,2,FALSE),"")</f>
        <v>Bad</v>
      </c>
      <c r="D425" s="6">
        <f t="shared" si="1"/>
        <v>0</v>
      </c>
      <c r="E425" s="6">
        <f t="shared" si="2"/>
        <v>3</v>
      </c>
      <c r="F425" s="5">
        <f t="shared" si="3"/>
        <v>1</v>
      </c>
      <c r="G425" s="5">
        <f t="shared" si="4"/>
        <v>1</v>
      </c>
      <c r="H425" s="5">
        <f t="shared" si="7"/>
        <v>1</v>
      </c>
      <c r="I425" s="6">
        <f t="shared" si="6"/>
        <v>355</v>
      </c>
    </row>
    <row r="426">
      <c r="A426" s="1">
        <v>45174.0</v>
      </c>
      <c r="B426" s="5" t="s">
        <v>58</v>
      </c>
      <c r="C426" s="5" t="str">
        <f>IFERROR(VLOOKUP(B426,'Overall Bean Summary'!A$2:B$36,2,FALSE),"")</f>
        <v>Bad</v>
      </c>
      <c r="D426" s="6">
        <f t="shared" si="1"/>
        <v>0</v>
      </c>
      <c r="E426" s="6">
        <f t="shared" si="2"/>
        <v>4</v>
      </c>
      <c r="F426" s="5">
        <f t="shared" si="3"/>
        <v>1</v>
      </c>
      <c r="G426" s="5">
        <f t="shared" si="4"/>
        <v>1</v>
      </c>
      <c r="H426" s="5">
        <f t="shared" si="7"/>
        <v>2</v>
      </c>
      <c r="I426" s="6">
        <f t="shared" si="6"/>
        <v>356</v>
      </c>
    </row>
    <row r="427">
      <c r="A427" s="1">
        <v>45175.0</v>
      </c>
      <c r="B427" s="5" t="s">
        <v>51</v>
      </c>
      <c r="C427" s="5" t="str">
        <f>IFERROR(VLOOKUP(B427,'Overall Bean Summary'!A$2:B$36,2,FALSE),"")</f>
        <v>Bad</v>
      </c>
      <c r="D427" s="6">
        <f t="shared" si="1"/>
        <v>0</v>
      </c>
      <c r="E427" s="6">
        <f t="shared" si="2"/>
        <v>5</v>
      </c>
      <c r="F427" s="5">
        <f t="shared" si="3"/>
        <v>1</v>
      </c>
      <c r="G427" s="5">
        <f t="shared" si="4"/>
        <v>1</v>
      </c>
      <c r="H427" s="5">
        <f t="shared" si="7"/>
        <v>3</v>
      </c>
      <c r="I427" s="6">
        <f t="shared" si="6"/>
        <v>357</v>
      </c>
    </row>
    <row r="428">
      <c r="A428" s="1">
        <v>45176.0</v>
      </c>
      <c r="B428" s="5" t="s">
        <v>95</v>
      </c>
      <c r="C428" s="5" t="str">
        <f>IFERROR(VLOOKUP(B428,'Overall Bean Summary'!A$2:B$36,2,FALSE),"")</f>
        <v>Good</v>
      </c>
      <c r="D428" s="6">
        <f t="shared" si="1"/>
        <v>1</v>
      </c>
      <c r="E428" s="6">
        <f t="shared" si="2"/>
        <v>0</v>
      </c>
      <c r="F428" s="5">
        <f t="shared" si="3"/>
        <v>1</v>
      </c>
      <c r="G428" s="5">
        <f t="shared" si="4"/>
        <v>1</v>
      </c>
      <c r="H428" s="5">
        <f t="shared" si="7"/>
        <v>4</v>
      </c>
      <c r="I428" s="6">
        <f t="shared" si="6"/>
        <v>358</v>
      </c>
    </row>
    <row r="429">
      <c r="A429" s="1">
        <v>45177.0</v>
      </c>
      <c r="B429" s="5" t="s">
        <v>63</v>
      </c>
      <c r="C429" s="5" t="str">
        <f>IFERROR(VLOOKUP(B429,'Overall Bean Summary'!A$2:B$36,2,FALSE),"")</f>
        <v>Bad</v>
      </c>
      <c r="D429" s="6">
        <f t="shared" si="1"/>
        <v>0</v>
      </c>
      <c r="E429" s="6">
        <f t="shared" si="2"/>
        <v>1</v>
      </c>
      <c r="F429" s="5">
        <f t="shared" si="3"/>
        <v>1</v>
      </c>
      <c r="G429" s="5">
        <f t="shared" si="4"/>
        <v>1</v>
      </c>
      <c r="H429" s="5">
        <f t="shared" si="7"/>
        <v>5</v>
      </c>
      <c r="I429" s="6">
        <f t="shared" si="6"/>
        <v>359</v>
      </c>
    </row>
    <row r="430">
      <c r="A430" s="1">
        <v>45178.0</v>
      </c>
      <c r="B430" s="5" t="s">
        <v>48</v>
      </c>
      <c r="C430" s="5" t="str">
        <f>IFERROR(VLOOKUP(B430,'Overall Bean Summary'!A$2:B$36,2,FALSE),"")</f>
        <v>Bad</v>
      </c>
      <c r="D430" s="6">
        <f t="shared" si="1"/>
        <v>0</v>
      </c>
      <c r="E430" s="6">
        <f t="shared" si="2"/>
        <v>2</v>
      </c>
      <c r="F430" s="5">
        <f t="shared" si="3"/>
        <v>1</v>
      </c>
      <c r="G430" s="5">
        <f t="shared" si="4"/>
        <v>1</v>
      </c>
      <c r="H430" s="5">
        <f t="shared" si="7"/>
        <v>6</v>
      </c>
      <c r="I430" s="6">
        <f t="shared" si="6"/>
        <v>360</v>
      </c>
    </row>
    <row r="431">
      <c r="A431" s="1">
        <v>45181.0</v>
      </c>
      <c r="B431" s="5" t="s">
        <v>95</v>
      </c>
      <c r="C431" s="5" t="str">
        <f>IFERROR(VLOOKUP(B431,'Overall Bean Summary'!A$2:B$36,2,FALSE),"")</f>
        <v>Good</v>
      </c>
      <c r="D431" s="6">
        <f t="shared" si="1"/>
        <v>1</v>
      </c>
      <c r="E431" s="6">
        <f t="shared" si="2"/>
        <v>0</v>
      </c>
      <c r="F431" s="5">
        <f t="shared" si="3"/>
        <v>1</v>
      </c>
      <c r="G431" s="5">
        <f t="shared" si="4"/>
        <v>1</v>
      </c>
      <c r="H431" s="5">
        <f t="shared" si="7"/>
        <v>7</v>
      </c>
      <c r="I431" s="6">
        <f t="shared" si="6"/>
        <v>361</v>
      </c>
    </row>
    <row r="432">
      <c r="A432" s="1">
        <v>45182.0</v>
      </c>
      <c r="B432" s="5" t="s">
        <v>80</v>
      </c>
      <c r="C432" s="5" t="str">
        <f>IFERROR(VLOOKUP(B432,'Overall Bean Summary'!A$2:B$36,2,FALSE),"")</f>
        <v>Bad</v>
      </c>
      <c r="D432" s="6">
        <f t="shared" si="1"/>
        <v>0</v>
      </c>
      <c r="E432" s="6">
        <f t="shared" si="2"/>
        <v>1</v>
      </c>
      <c r="F432" s="5">
        <f t="shared" si="3"/>
        <v>1</v>
      </c>
      <c r="G432" s="5">
        <f t="shared" si="4"/>
        <v>1</v>
      </c>
      <c r="H432" s="5">
        <f t="shared" si="7"/>
        <v>8</v>
      </c>
      <c r="I432" s="6">
        <f t="shared" si="6"/>
        <v>362</v>
      </c>
    </row>
    <row r="433">
      <c r="A433" s="1">
        <v>45183.0</v>
      </c>
      <c r="B433" s="5" t="s">
        <v>40</v>
      </c>
      <c r="C433" s="5" t="str">
        <f>IFERROR(VLOOKUP(B433,'Overall Bean Summary'!A$2:B$36,2,FALSE),"")</f>
        <v>Bad</v>
      </c>
      <c r="D433" s="6">
        <f t="shared" si="1"/>
        <v>0</v>
      </c>
      <c r="E433" s="6">
        <f t="shared" si="2"/>
        <v>2</v>
      </c>
      <c r="F433" s="5">
        <f t="shared" si="3"/>
        <v>1</v>
      </c>
      <c r="G433" s="5">
        <f t="shared" si="4"/>
        <v>1</v>
      </c>
      <c r="H433" s="5">
        <f t="shared" si="7"/>
        <v>9</v>
      </c>
      <c r="I433" s="6">
        <f t="shared" si="6"/>
        <v>363</v>
      </c>
    </row>
    <row r="434">
      <c r="A434" s="1">
        <v>45184.0</v>
      </c>
      <c r="B434" s="5" t="s">
        <v>56</v>
      </c>
      <c r="C434" s="5" t="str">
        <f>IFERROR(VLOOKUP(B434,'Overall Bean Summary'!A$2:B$36,2,FALSE),"")</f>
        <v>Good</v>
      </c>
      <c r="D434" s="6">
        <f t="shared" si="1"/>
        <v>1</v>
      </c>
      <c r="E434" s="6">
        <f t="shared" si="2"/>
        <v>0</v>
      </c>
      <c r="F434" s="5">
        <f t="shared" si="3"/>
        <v>1</v>
      </c>
      <c r="G434" s="5">
        <f t="shared" si="4"/>
        <v>1</v>
      </c>
      <c r="H434" s="5">
        <f t="shared" si="7"/>
        <v>10</v>
      </c>
      <c r="I434" s="6">
        <f t="shared" si="6"/>
        <v>364</v>
      </c>
    </row>
    <row r="435">
      <c r="A435" s="1">
        <v>45184.0</v>
      </c>
      <c r="B435" s="5" t="s">
        <v>67</v>
      </c>
      <c r="C435" s="5" t="str">
        <f>IFERROR(VLOOKUP(B435,'Overall Bean Summary'!A$2:B$36,2,FALSE),"")</f>
        <v>Good</v>
      </c>
      <c r="D435" s="6">
        <f t="shared" si="1"/>
        <v>2</v>
      </c>
      <c r="E435" s="6">
        <f t="shared" si="2"/>
        <v>0</v>
      </c>
      <c r="F435" s="5">
        <f t="shared" si="3"/>
        <v>1</v>
      </c>
      <c r="G435" s="5">
        <f t="shared" si="4"/>
        <v>2</v>
      </c>
      <c r="H435" s="5">
        <f t="shared" si="7"/>
        <v>11</v>
      </c>
      <c r="I435" s="6">
        <f t="shared" si="6"/>
        <v>365</v>
      </c>
    </row>
    <row r="436">
      <c r="A436" s="1">
        <v>45184.0</v>
      </c>
      <c r="B436" s="5" t="s">
        <v>14</v>
      </c>
      <c r="C436" s="5" t="str">
        <f>IFERROR(VLOOKUP(B436,'Overall Bean Summary'!A$2:B$36,2,FALSE),"")</f>
        <v>Bad</v>
      </c>
      <c r="D436" s="6">
        <f t="shared" si="1"/>
        <v>0</v>
      </c>
      <c r="E436" s="6">
        <f t="shared" si="2"/>
        <v>1</v>
      </c>
      <c r="F436" s="5">
        <f t="shared" si="3"/>
        <v>1</v>
      </c>
      <c r="G436" s="5">
        <f t="shared" si="4"/>
        <v>3</v>
      </c>
      <c r="H436" s="5">
        <f t="shared" si="7"/>
        <v>12</v>
      </c>
      <c r="I436" s="6">
        <f t="shared" si="6"/>
        <v>366</v>
      </c>
    </row>
    <row r="437">
      <c r="A437" s="1">
        <v>45184.0</v>
      </c>
      <c r="B437" s="5" t="s">
        <v>69</v>
      </c>
      <c r="C437" s="5" t="str">
        <f>IFERROR(VLOOKUP(B437,'Overall Bean Summary'!A$2:B$36,2,FALSE),"")</f>
        <v>Bad</v>
      </c>
      <c r="D437" s="6">
        <f t="shared" si="1"/>
        <v>0</v>
      </c>
      <c r="E437" s="6">
        <f t="shared" si="2"/>
        <v>2</v>
      </c>
      <c r="F437" s="5">
        <f t="shared" si="3"/>
        <v>1</v>
      </c>
      <c r="G437" s="5">
        <f t="shared" si="4"/>
        <v>4</v>
      </c>
      <c r="H437" s="5">
        <f t="shared" si="7"/>
        <v>13</v>
      </c>
      <c r="I437" s="6">
        <f t="shared" si="6"/>
        <v>367</v>
      </c>
    </row>
    <row r="438">
      <c r="A438" s="1">
        <v>45187.0</v>
      </c>
      <c r="B438" s="5" t="s">
        <v>80</v>
      </c>
      <c r="C438" s="5" t="str">
        <f>IFERROR(VLOOKUP(B438,'Overall Bean Summary'!A$2:B$36,2,FALSE),"")</f>
        <v>Bad</v>
      </c>
      <c r="D438" s="6">
        <f t="shared" si="1"/>
        <v>0</v>
      </c>
      <c r="E438" s="6">
        <f t="shared" si="2"/>
        <v>3</v>
      </c>
      <c r="F438" s="5">
        <f t="shared" si="3"/>
        <v>1</v>
      </c>
      <c r="G438" s="5">
        <f t="shared" si="4"/>
        <v>1</v>
      </c>
      <c r="H438" s="5">
        <f t="shared" si="7"/>
        <v>14</v>
      </c>
      <c r="I438" s="6">
        <f t="shared" si="6"/>
        <v>368</v>
      </c>
    </row>
    <row r="439">
      <c r="A439" s="1">
        <v>45187.0</v>
      </c>
      <c r="B439" s="5" t="s">
        <v>67</v>
      </c>
      <c r="C439" s="5" t="str">
        <f>IFERROR(VLOOKUP(B439,'Overall Bean Summary'!A$2:B$36,2,FALSE),"")</f>
        <v>Good</v>
      </c>
      <c r="D439" s="6">
        <f t="shared" si="1"/>
        <v>1</v>
      </c>
      <c r="E439" s="6">
        <f t="shared" si="2"/>
        <v>0</v>
      </c>
      <c r="F439" s="5">
        <f t="shared" si="3"/>
        <v>1</v>
      </c>
      <c r="G439" s="5">
        <f t="shared" si="4"/>
        <v>2</v>
      </c>
      <c r="H439" s="5">
        <f t="shared" si="7"/>
        <v>15</v>
      </c>
      <c r="I439" s="6">
        <f t="shared" si="6"/>
        <v>369</v>
      </c>
    </row>
    <row r="440">
      <c r="A440" s="1">
        <v>45188.0</v>
      </c>
      <c r="B440" s="5" t="s">
        <v>58</v>
      </c>
      <c r="C440" s="5" t="str">
        <f>IFERROR(VLOOKUP(B440,'Overall Bean Summary'!A$2:B$36,2,FALSE),"")</f>
        <v>Bad</v>
      </c>
      <c r="D440" s="6">
        <f t="shared" si="1"/>
        <v>0</v>
      </c>
      <c r="E440" s="6">
        <f t="shared" si="2"/>
        <v>1</v>
      </c>
      <c r="F440" s="5">
        <f t="shared" si="3"/>
        <v>1</v>
      </c>
      <c r="G440" s="5">
        <f t="shared" si="4"/>
        <v>1</v>
      </c>
      <c r="H440" s="5">
        <f t="shared" si="7"/>
        <v>16</v>
      </c>
      <c r="I440" s="6">
        <f t="shared" si="6"/>
        <v>370</v>
      </c>
    </row>
    <row r="441">
      <c r="A441" s="1">
        <v>45189.0</v>
      </c>
      <c r="B441" s="5" t="s">
        <v>51</v>
      </c>
      <c r="C441" s="5" t="str">
        <f>IFERROR(VLOOKUP(B441,'Overall Bean Summary'!A$2:B$36,2,FALSE),"")</f>
        <v>Bad</v>
      </c>
      <c r="D441" s="6">
        <f t="shared" si="1"/>
        <v>0</v>
      </c>
      <c r="E441" s="6">
        <f t="shared" si="2"/>
        <v>2</v>
      </c>
      <c r="F441" s="5">
        <f t="shared" si="3"/>
        <v>1</v>
      </c>
      <c r="G441" s="5">
        <f t="shared" si="4"/>
        <v>1</v>
      </c>
      <c r="H441" s="5">
        <f t="shared" si="7"/>
        <v>17</v>
      </c>
      <c r="I441" s="6">
        <f t="shared" si="6"/>
        <v>371</v>
      </c>
    </row>
    <row r="442">
      <c r="A442" s="1">
        <v>45189.0</v>
      </c>
      <c r="B442" s="5" t="s">
        <v>58</v>
      </c>
      <c r="C442" s="5" t="str">
        <f>IFERROR(VLOOKUP(B442,'Overall Bean Summary'!A$2:B$36,2,FALSE),"")</f>
        <v>Bad</v>
      </c>
      <c r="D442" s="6">
        <f t="shared" si="1"/>
        <v>0</v>
      </c>
      <c r="E442" s="6">
        <f t="shared" si="2"/>
        <v>3</v>
      </c>
      <c r="F442" s="5">
        <f t="shared" si="3"/>
        <v>1</v>
      </c>
      <c r="G442" s="5">
        <f t="shared" si="4"/>
        <v>2</v>
      </c>
      <c r="H442" s="5">
        <f t="shared" si="7"/>
        <v>18</v>
      </c>
      <c r="I442" s="6">
        <f t="shared" si="6"/>
        <v>372</v>
      </c>
    </row>
    <row r="443">
      <c r="A443" s="1">
        <v>45190.0</v>
      </c>
      <c r="B443" s="5" t="s">
        <v>85</v>
      </c>
      <c r="C443" s="5" t="str">
        <f>IFERROR(VLOOKUP(B443,'Overall Bean Summary'!A$2:B$36,2,FALSE),"")</f>
        <v>Good</v>
      </c>
      <c r="D443" s="6">
        <f t="shared" si="1"/>
        <v>1</v>
      </c>
      <c r="E443" s="6">
        <f t="shared" si="2"/>
        <v>0</v>
      </c>
      <c r="F443" s="5">
        <f t="shared" si="3"/>
        <v>1</v>
      </c>
      <c r="G443" s="5">
        <f t="shared" si="4"/>
        <v>1</v>
      </c>
      <c r="H443" s="5">
        <f t="shared" si="7"/>
        <v>19</v>
      </c>
      <c r="I443" s="6">
        <f t="shared" si="6"/>
        <v>373</v>
      </c>
    </row>
    <row r="444">
      <c r="A444" s="1">
        <v>45190.0</v>
      </c>
      <c r="B444" s="5" t="s">
        <v>99</v>
      </c>
      <c r="C444" s="5" t="str">
        <f>IFERROR(VLOOKUP(B444,'Overall Bean Summary'!A$2:B$36,2,FALSE),"")</f>
        <v>Good</v>
      </c>
      <c r="D444" s="6">
        <f t="shared" si="1"/>
        <v>2</v>
      </c>
      <c r="E444" s="6">
        <f t="shared" si="2"/>
        <v>0</v>
      </c>
      <c r="F444" s="5">
        <f t="shared" si="3"/>
        <v>1</v>
      </c>
      <c r="G444" s="5">
        <f t="shared" si="4"/>
        <v>2</v>
      </c>
      <c r="H444" s="5">
        <f t="shared" si="7"/>
        <v>20</v>
      </c>
      <c r="I444" s="6">
        <f t="shared" si="6"/>
        <v>374</v>
      </c>
      <c r="L444" s="5" t="s">
        <v>104</v>
      </c>
    </row>
    <row r="445">
      <c r="A445" s="1">
        <v>45190.0</v>
      </c>
      <c r="B445" s="5" t="s">
        <v>80</v>
      </c>
      <c r="C445" s="5" t="str">
        <f>IFERROR(VLOOKUP(B445,'Overall Bean Summary'!A$2:B$36,2,FALSE),"")</f>
        <v>Bad</v>
      </c>
      <c r="D445" s="6">
        <f t="shared" si="1"/>
        <v>0</v>
      </c>
      <c r="E445" s="6">
        <f t="shared" si="2"/>
        <v>1</v>
      </c>
      <c r="F445" s="5">
        <f t="shared" si="3"/>
        <v>1</v>
      </c>
      <c r="G445" s="5">
        <f t="shared" si="4"/>
        <v>3</v>
      </c>
      <c r="H445" s="5">
        <f t="shared" si="7"/>
        <v>21</v>
      </c>
      <c r="I445" s="6">
        <f t="shared" si="6"/>
        <v>375</v>
      </c>
    </row>
    <row r="446">
      <c r="A446" s="1">
        <v>45191.0</v>
      </c>
      <c r="B446" s="5" t="s">
        <v>72</v>
      </c>
      <c r="C446" s="5" t="str">
        <f>IFERROR(VLOOKUP(B446,'Overall Bean Summary'!A$2:B$36,2,FALSE),"")</f>
        <v>Bad</v>
      </c>
      <c r="D446" s="6">
        <f t="shared" si="1"/>
        <v>0</v>
      </c>
      <c r="E446" s="6">
        <f t="shared" si="2"/>
        <v>2</v>
      </c>
      <c r="F446" s="5">
        <f t="shared" si="3"/>
        <v>1</v>
      </c>
      <c r="G446" s="5">
        <f t="shared" si="4"/>
        <v>1</v>
      </c>
      <c r="H446" s="5">
        <f t="shared" si="7"/>
        <v>22</v>
      </c>
      <c r="I446" s="6">
        <f t="shared" si="6"/>
        <v>376</v>
      </c>
    </row>
    <row r="447">
      <c r="A447" s="1">
        <v>45191.0</v>
      </c>
      <c r="B447" s="5" t="s">
        <v>29</v>
      </c>
      <c r="C447" s="5" t="str">
        <f>IFERROR(VLOOKUP(B447,'Overall Bean Summary'!A$2:B$36,2,FALSE),"")</f>
        <v>Good</v>
      </c>
      <c r="D447" s="6">
        <f t="shared" si="1"/>
        <v>1</v>
      </c>
      <c r="E447" s="6">
        <f t="shared" si="2"/>
        <v>0</v>
      </c>
      <c r="F447" s="5">
        <f t="shared" si="3"/>
        <v>1</v>
      </c>
      <c r="G447" s="5">
        <f t="shared" si="4"/>
        <v>2</v>
      </c>
      <c r="H447" s="5">
        <f t="shared" si="7"/>
        <v>23</v>
      </c>
      <c r="I447" s="6">
        <f t="shared" si="6"/>
        <v>377</v>
      </c>
      <c r="M447" s="5" t="s">
        <v>16</v>
      </c>
      <c r="N447" s="5" t="s">
        <v>21</v>
      </c>
      <c r="O447" s="5" t="s">
        <v>16</v>
      </c>
      <c r="P447" s="5" t="s">
        <v>21</v>
      </c>
    </row>
    <row r="448">
      <c r="A448" s="1">
        <v>45194.0</v>
      </c>
      <c r="B448" s="5" t="s">
        <v>95</v>
      </c>
      <c r="C448" s="5" t="str">
        <f>IFERROR(VLOOKUP(B448,'Overall Bean Summary'!A$2:B$36,2,FALSE),"")</f>
        <v>Good</v>
      </c>
      <c r="D448" s="6">
        <f t="shared" si="1"/>
        <v>2</v>
      </c>
      <c r="E448" s="6">
        <f t="shared" si="2"/>
        <v>0</v>
      </c>
      <c r="F448" s="5">
        <f t="shared" si="3"/>
        <v>1</v>
      </c>
      <c r="G448" s="5">
        <f t="shared" si="4"/>
        <v>1</v>
      </c>
      <c r="H448" s="5">
        <f t="shared" si="7"/>
        <v>24</v>
      </c>
      <c r="I448" s="6">
        <f t="shared" si="6"/>
        <v>378</v>
      </c>
      <c r="L448" s="5" t="s">
        <v>173</v>
      </c>
      <c r="M448" s="24">
        <f>COUNTIF(C448:C522, "Good")</f>
        <v>28</v>
      </c>
      <c r="N448" s="24">
        <f>COUNTIF(C448:C522, "Bad")</f>
        <v>47</v>
      </c>
      <c r="O448" s="25">
        <f>M448/(M448+N448)</f>
        <v>0.3733333333</v>
      </c>
      <c r="P448" s="25">
        <f>N448/(M448+N448)</f>
        <v>0.6266666667</v>
      </c>
    </row>
    <row r="449">
      <c r="A449" s="1">
        <v>45195.0</v>
      </c>
      <c r="B449" s="5" t="s">
        <v>72</v>
      </c>
      <c r="C449" s="5" t="str">
        <f>IFERROR(VLOOKUP(B449,'Overall Bean Summary'!A$2:B$36,2,FALSE),"")</f>
        <v>Bad</v>
      </c>
      <c r="D449" s="6">
        <f t="shared" si="1"/>
        <v>0</v>
      </c>
      <c r="E449" s="6">
        <f t="shared" si="2"/>
        <v>1</v>
      </c>
      <c r="F449" s="5">
        <f t="shared" si="3"/>
        <v>1</v>
      </c>
      <c r="G449" s="5">
        <f t="shared" si="4"/>
        <v>1</v>
      </c>
      <c r="H449" s="5">
        <f t="shared" si="7"/>
        <v>25</v>
      </c>
      <c r="I449" s="6">
        <f t="shared" si="6"/>
        <v>379</v>
      </c>
    </row>
    <row r="450">
      <c r="A450" s="1">
        <v>45195.0</v>
      </c>
      <c r="B450" s="5" t="s">
        <v>69</v>
      </c>
      <c r="C450" s="5" t="str">
        <f>IFERROR(VLOOKUP(B450,'Overall Bean Summary'!A$2:B$36,2,FALSE),"")</f>
        <v>Bad</v>
      </c>
      <c r="D450" s="6">
        <f t="shared" si="1"/>
        <v>0</v>
      </c>
      <c r="E450" s="6">
        <f t="shared" si="2"/>
        <v>2</v>
      </c>
      <c r="F450" s="5">
        <f t="shared" si="3"/>
        <v>1</v>
      </c>
      <c r="G450" s="5">
        <f t="shared" si="4"/>
        <v>2</v>
      </c>
      <c r="H450" s="5">
        <f t="shared" si="7"/>
        <v>26</v>
      </c>
      <c r="I450" s="6">
        <f t="shared" si="6"/>
        <v>380</v>
      </c>
    </row>
    <row r="451">
      <c r="A451" s="1">
        <v>45195.0</v>
      </c>
      <c r="B451" s="5" t="s">
        <v>40</v>
      </c>
      <c r="C451" s="5" t="str">
        <f>IFERROR(VLOOKUP(B451,'Overall Bean Summary'!A$2:B$36,2,FALSE),"")</f>
        <v>Bad</v>
      </c>
      <c r="D451" s="6">
        <f t="shared" si="1"/>
        <v>0</v>
      </c>
      <c r="E451" s="6">
        <f t="shared" si="2"/>
        <v>3</v>
      </c>
      <c r="F451" s="5">
        <f t="shared" si="3"/>
        <v>1</v>
      </c>
      <c r="G451" s="5">
        <f t="shared" si="4"/>
        <v>3</v>
      </c>
      <c r="H451" s="5">
        <f t="shared" si="7"/>
        <v>27</v>
      </c>
      <c r="I451" s="6">
        <f t="shared" si="6"/>
        <v>381</v>
      </c>
    </row>
    <row r="452">
      <c r="A452" s="1">
        <v>45195.0</v>
      </c>
      <c r="B452" s="5" t="s">
        <v>51</v>
      </c>
      <c r="C452" s="5" t="str">
        <f>IFERROR(VLOOKUP(B452,'Overall Bean Summary'!A$2:B$36,2,FALSE),"")</f>
        <v>Bad</v>
      </c>
      <c r="D452" s="6">
        <f t="shared" si="1"/>
        <v>0</v>
      </c>
      <c r="E452" s="6">
        <f t="shared" si="2"/>
        <v>4</v>
      </c>
      <c r="F452" s="5">
        <f t="shared" si="3"/>
        <v>1</v>
      </c>
      <c r="G452" s="5">
        <f t="shared" si="4"/>
        <v>4</v>
      </c>
      <c r="H452" s="5">
        <f t="shared" si="7"/>
        <v>28</v>
      </c>
      <c r="I452" s="6">
        <f t="shared" si="6"/>
        <v>382</v>
      </c>
    </row>
    <row r="453">
      <c r="A453" s="1">
        <v>45195.0</v>
      </c>
      <c r="B453" s="5" t="s">
        <v>69</v>
      </c>
      <c r="C453" s="5" t="str">
        <f>IFERROR(VLOOKUP(B453,'Overall Bean Summary'!A$2:B$36,2,FALSE),"")</f>
        <v>Bad</v>
      </c>
      <c r="D453" s="6">
        <f t="shared" si="1"/>
        <v>0</v>
      </c>
      <c r="E453" s="6">
        <f t="shared" si="2"/>
        <v>5</v>
      </c>
      <c r="F453" s="5">
        <f t="shared" si="3"/>
        <v>1</v>
      </c>
      <c r="G453" s="5">
        <f t="shared" si="4"/>
        <v>5</v>
      </c>
      <c r="H453" s="5">
        <f t="shared" si="7"/>
        <v>29</v>
      </c>
      <c r="I453" s="6">
        <f t="shared" si="6"/>
        <v>383</v>
      </c>
    </row>
    <row r="454">
      <c r="A454" s="1">
        <v>45195.0</v>
      </c>
      <c r="B454" s="5" t="s">
        <v>95</v>
      </c>
      <c r="C454" s="5" t="str">
        <f>IFERROR(VLOOKUP(B454,'Overall Bean Summary'!A$2:B$36,2,FALSE),"")</f>
        <v>Good</v>
      </c>
      <c r="D454" s="6">
        <f t="shared" si="1"/>
        <v>1</v>
      </c>
      <c r="E454" s="6">
        <f t="shared" si="2"/>
        <v>0</v>
      </c>
      <c r="F454" s="5">
        <f t="shared" si="3"/>
        <v>1</v>
      </c>
      <c r="G454" s="5">
        <f t="shared" si="4"/>
        <v>6</v>
      </c>
      <c r="H454" s="5">
        <f t="shared" si="7"/>
        <v>30</v>
      </c>
      <c r="I454" s="6">
        <f t="shared" si="6"/>
        <v>384</v>
      </c>
    </row>
    <row r="455">
      <c r="A455" s="1">
        <v>45196.0</v>
      </c>
      <c r="B455" s="5" t="s">
        <v>80</v>
      </c>
      <c r="C455" s="5" t="str">
        <f>IFERROR(VLOOKUP(B455,'Overall Bean Summary'!A$2:B$36,2,FALSE),"")</f>
        <v>Bad</v>
      </c>
      <c r="D455" s="6">
        <f t="shared" si="1"/>
        <v>0</v>
      </c>
      <c r="E455" s="6">
        <f t="shared" si="2"/>
        <v>1</v>
      </c>
      <c r="F455" s="5">
        <f t="shared" si="3"/>
        <v>1</v>
      </c>
      <c r="G455" s="5">
        <f t="shared" si="4"/>
        <v>1</v>
      </c>
      <c r="H455" s="5">
        <f t="shared" si="7"/>
        <v>31</v>
      </c>
      <c r="I455" s="6">
        <f t="shared" si="6"/>
        <v>385</v>
      </c>
    </row>
    <row r="456">
      <c r="A456" s="1">
        <v>45197.0</v>
      </c>
      <c r="B456" s="5" t="s">
        <v>67</v>
      </c>
      <c r="C456" s="5" t="str">
        <f>IFERROR(VLOOKUP(B456,'Overall Bean Summary'!A$2:B$36,2,FALSE),"")</f>
        <v>Good</v>
      </c>
      <c r="D456" s="6">
        <f t="shared" si="1"/>
        <v>1</v>
      </c>
      <c r="E456" s="6">
        <f t="shared" si="2"/>
        <v>0</v>
      </c>
      <c r="F456" s="5">
        <f t="shared" si="3"/>
        <v>1</v>
      </c>
      <c r="G456" s="5">
        <f t="shared" si="4"/>
        <v>1</v>
      </c>
      <c r="H456" s="5">
        <f t="shared" si="7"/>
        <v>32</v>
      </c>
      <c r="I456" s="6">
        <f t="shared" si="6"/>
        <v>386</v>
      </c>
    </row>
    <row r="457">
      <c r="A457" s="1">
        <v>45201.0</v>
      </c>
      <c r="B457" s="5" t="s">
        <v>95</v>
      </c>
      <c r="C457" s="5" t="str">
        <f>IFERROR(VLOOKUP(B457,'Overall Bean Summary'!A$2:B$36,2,FALSE),"")</f>
        <v>Good</v>
      </c>
      <c r="D457" s="6">
        <f t="shared" si="1"/>
        <v>2</v>
      </c>
      <c r="E457" s="6">
        <f t="shared" si="2"/>
        <v>0</v>
      </c>
      <c r="F457" s="5">
        <f t="shared" si="3"/>
        <v>1</v>
      </c>
      <c r="G457" s="5">
        <f t="shared" si="4"/>
        <v>1</v>
      </c>
      <c r="H457" s="5">
        <f t="shared" si="7"/>
        <v>1</v>
      </c>
      <c r="I457" s="6">
        <f t="shared" si="6"/>
        <v>387</v>
      </c>
    </row>
    <row r="458">
      <c r="A458" s="1">
        <v>45201.0</v>
      </c>
      <c r="B458" s="5" t="s">
        <v>34</v>
      </c>
      <c r="C458" s="5" t="str">
        <f>IFERROR(VLOOKUP(B458,'Overall Bean Summary'!A$2:B$36,2,FALSE),"")</f>
        <v>Good</v>
      </c>
      <c r="D458" s="6">
        <f t="shared" si="1"/>
        <v>3</v>
      </c>
      <c r="E458" s="6">
        <f t="shared" si="2"/>
        <v>0</v>
      </c>
      <c r="F458" s="5">
        <f t="shared" si="3"/>
        <v>1</v>
      </c>
      <c r="G458" s="5">
        <f t="shared" si="4"/>
        <v>2</v>
      </c>
      <c r="H458" s="5">
        <f t="shared" si="7"/>
        <v>2</v>
      </c>
      <c r="I458" s="6">
        <f t="shared" si="6"/>
        <v>388</v>
      </c>
    </row>
    <row r="459">
      <c r="A459" s="1">
        <v>45201.0</v>
      </c>
      <c r="B459" s="5" t="s">
        <v>56</v>
      </c>
      <c r="C459" s="5" t="str">
        <f>IFERROR(VLOOKUP(B459,'Overall Bean Summary'!A$2:B$36,2,FALSE),"")</f>
        <v>Good</v>
      </c>
      <c r="D459" s="6">
        <f t="shared" si="1"/>
        <v>4</v>
      </c>
      <c r="E459" s="6">
        <f t="shared" si="2"/>
        <v>0</v>
      </c>
      <c r="F459" s="5">
        <f t="shared" si="3"/>
        <v>1</v>
      </c>
      <c r="G459" s="5">
        <f t="shared" si="4"/>
        <v>3</v>
      </c>
      <c r="H459" s="5">
        <f t="shared" si="7"/>
        <v>3</v>
      </c>
      <c r="I459" s="6">
        <f t="shared" si="6"/>
        <v>389</v>
      </c>
    </row>
    <row r="460">
      <c r="A460" s="1">
        <v>45201.0</v>
      </c>
      <c r="B460" s="5" t="s">
        <v>63</v>
      </c>
      <c r="C460" s="5" t="str">
        <f>IFERROR(VLOOKUP(B460,'Overall Bean Summary'!A$2:B$36,2,FALSE),"")</f>
        <v>Bad</v>
      </c>
      <c r="D460" s="6">
        <f t="shared" si="1"/>
        <v>0</v>
      </c>
      <c r="E460" s="6">
        <f t="shared" si="2"/>
        <v>1</v>
      </c>
      <c r="F460" s="5">
        <f t="shared" si="3"/>
        <v>1</v>
      </c>
      <c r="G460" s="5">
        <f t="shared" si="4"/>
        <v>4</v>
      </c>
      <c r="H460" s="5">
        <f t="shared" si="7"/>
        <v>4</v>
      </c>
      <c r="I460" s="6">
        <f t="shared" si="6"/>
        <v>390</v>
      </c>
    </row>
    <row r="461">
      <c r="A461" s="1">
        <v>45201.0</v>
      </c>
      <c r="B461" s="5" t="s">
        <v>53</v>
      </c>
      <c r="C461" s="5" t="str">
        <f>IFERROR(VLOOKUP(B461,'Overall Bean Summary'!A$2:B$36,2,FALSE),"")</f>
        <v>Good</v>
      </c>
      <c r="D461" s="6">
        <f t="shared" si="1"/>
        <v>1</v>
      </c>
      <c r="E461" s="6">
        <f t="shared" si="2"/>
        <v>0</v>
      </c>
      <c r="F461" s="5">
        <f t="shared" si="3"/>
        <v>1</v>
      </c>
      <c r="G461" s="5">
        <f t="shared" si="4"/>
        <v>5</v>
      </c>
      <c r="H461" s="5">
        <f t="shared" si="7"/>
        <v>5</v>
      </c>
      <c r="I461" s="6">
        <f t="shared" si="6"/>
        <v>391</v>
      </c>
    </row>
    <row r="462">
      <c r="A462" s="1">
        <v>45201.0</v>
      </c>
      <c r="B462" s="5" t="s">
        <v>40</v>
      </c>
      <c r="C462" s="5" t="str">
        <f>IFERROR(VLOOKUP(B462,'Overall Bean Summary'!A$2:B$36,2,FALSE),"")</f>
        <v>Bad</v>
      </c>
      <c r="D462" s="6">
        <f t="shared" si="1"/>
        <v>0</v>
      </c>
      <c r="E462" s="6">
        <f t="shared" si="2"/>
        <v>1</v>
      </c>
      <c r="F462" s="5">
        <f t="shared" si="3"/>
        <v>1</v>
      </c>
      <c r="G462" s="5">
        <f t="shared" si="4"/>
        <v>6</v>
      </c>
      <c r="H462" s="5">
        <f t="shared" si="7"/>
        <v>6</v>
      </c>
      <c r="I462" s="6">
        <f t="shared" si="6"/>
        <v>392</v>
      </c>
    </row>
    <row r="463">
      <c r="A463" s="1">
        <v>45201.0</v>
      </c>
      <c r="B463" s="5" t="s">
        <v>69</v>
      </c>
      <c r="C463" s="5" t="str">
        <f>IFERROR(VLOOKUP(B463,'Overall Bean Summary'!A$2:B$36,2,FALSE),"")</f>
        <v>Bad</v>
      </c>
      <c r="D463" s="6">
        <f t="shared" si="1"/>
        <v>0</v>
      </c>
      <c r="E463" s="6">
        <f t="shared" si="2"/>
        <v>2</v>
      </c>
      <c r="F463" s="5">
        <f t="shared" si="3"/>
        <v>1</v>
      </c>
      <c r="G463" s="5">
        <f t="shared" si="4"/>
        <v>7</v>
      </c>
      <c r="H463" s="5">
        <f t="shared" si="7"/>
        <v>7</v>
      </c>
      <c r="I463" s="6">
        <f t="shared" si="6"/>
        <v>393</v>
      </c>
    </row>
    <row r="464">
      <c r="A464" s="1">
        <v>45201.0</v>
      </c>
      <c r="B464" s="5" t="s">
        <v>95</v>
      </c>
      <c r="C464" s="5" t="str">
        <f>IFERROR(VLOOKUP(B464,'Overall Bean Summary'!A$2:B$36,2,FALSE),"")</f>
        <v>Good</v>
      </c>
      <c r="D464" s="6">
        <f t="shared" si="1"/>
        <v>1</v>
      </c>
      <c r="E464" s="6">
        <f t="shared" si="2"/>
        <v>0</v>
      </c>
      <c r="F464" s="5">
        <f t="shared" si="3"/>
        <v>1</v>
      </c>
      <c r="G464" s="5">
        <f t="shared" si="4"/>
        <v>8</v>
      </c>
      <c r="H464" s="5">
        <f t="shared" si="7"/>
        <v>8</v>
      </c>
      <c r="I464" s="6">
        <f t="shared" si="6"/>
        <v>394</v>
      </c>
    </row>
    <row r="465">
      <c r="A465" s="1">
        <v>45202.0</v>
      </c>
      <c r="B465" s="5" t="s">
        <v>51</v>
      </c>
      <c r="C465" s="5" t="str">
        <f>IFERROR(VLOOKUP(B465,'Overall Bean Summary'!A$2:B$36,2,FALSE),"")</f>
        <v>Bad</v>
      </c>
      <c r="D465" s="6">
        <f t="shared" si="1"/>
        <v>0</v>
      </c>
      <c r="E465" s="6">
        <f t="shared" si="2"/>
        <v>1</v>
      </c>
      <c r="F465" s="5">
        <f t="shared" si="3"/>
        <v>1</v>
      </c>
      <c r="G465" s="5">
        <f t="shared" si="4"/>
        <v>1</v>
      </c>
      <c r="H465" s="5">
        <f t="shared" si="7"/>
        <v>9</v>
      </c>
      <c r="I465" s="6">
        <f t="shared" si="6"/>
        <v>395</v>
      </c>
    </row>
    <row r="466">
      <c r="A466" s="1">
        <v>45204.0</v>
      </c>
      <c r="B466" s="5" t="s">
        <v>48</v>
      </c>
      <c r="C466" s="5" t="str">
        <f>IFERROR(VLOOKUP(B466,'Overall Bean Summary'!A$2:B$36,2,FALSE),"")</f>
        <v>Bad</v>
      </c>
      <c r="D466" s="6">
        <f t="shared" si="1"/>
        <v>0</v>
      </c>
      <c r="E466" s="6">
        <f t="shared" si="2"/>
        <v>2</v>
      </c>
      <c r="F466" s="5">
        <f t="shared" si="3"/>
        <v>1</v>
      </c>
      <c r="G466" s="5">
        <f t="shared" si="4"/>
        <v>1</v>
      </c>
      <c r="H466" s="5">
        <f t="shared" si="7"/>
        <v>10</v>
      </c>
      <c r="I466" s="6">
        <f t="shared" si="6"/>
        <v>396</v>
      </c>
    </row>
    <row r="467">
      <c r="A467" s="1">
        <v>45205.0</v>
      </c>
      <c r="B467" s="5" t="s">
        <v>56</v>
      </c>
      <c r="C467" s="5" t="str">
        <f>IFERROR(VLOOKUP(B467,'Overall Bean Summary'!A$2:B$36,2,FALSE),"")</f>
        <v>Good</v>
      </c>
      <c r="D467" s="6">
        <f t="shared" si="1"/>
        <v>1</v>
      </c>
      <c r="E467" s="6">
        <f t="shared" si="2"/>
        <v>0</v>
      </c>
      <c r="F467" s="5">
        <f t="shared" si="3"/>
        <v>1</v>
      </c>
      <c r="G467" s="5">
        <f t="shared" si="4"/>
        <v>1</v>
      </c>
      <c r="H467" s="5">
        <f t="shared" si="7"/>
        <v>11</v>
      </c>
      <c r="I467" s="6">
        <f t="shared" si="6"/>
        <v>397</v>
      </c>
    </row>
    <row r="468">
      <c r="A468" s="1">
        <v>45205.0</v>
      </c>
      <c r="B468" s="5" t="s">
        <v>14</v>
      </c>
      <c r="C468" s="5" t="str">
        <f>IFERROR(VLOOKUP(B468,'Overall Bean Summary'!A$2:B$36,2,FALSE),"")</f>
        <v>Bad</v>
      </c>
      <c r="D468" s="6">
        <f t="shared" si="1"/>
        <v>0</v>
      </c>
      <c r="E468" s="6">
        <f t="shared" si="2"/>
        <v>1</v>
      </c>
      <c r="F468" s="5">
        <f t="shared" si="3"/>
        <v>1</v>
      </c>
      <c r="G468" s="5">
        <f t="shared" si="4"/>
        <v>2</v>
      </c>
      <c r="H468" s="5">
        <f t="shared" si="7"/>
        <v>12</v>
      </c>
      <c r="I468" s="6">
        <f t="shared" si="6"/>
        <v>398</v>
      </c>
    </row>
    <row r="469">
      <c r="A469" s="1">
        <v>45209.0</v>
      </c>
      <c r="B469" s="5" t="s">
        <v>58</v>
      </c>
      <c r="C469" s="5" t="str">
        <f>IFERROR(VLOOKUP(B469,'Overall Bean Summary'!A$2:B$36,2,FALSE),"")</f>
        <v>Bad</v>
      </c>
      <c r="D469" s="6">
        <f t="shared" si="1"/>
        <v>0</v>
      </c>
      <c r="E469" s="6">
        <f t="shared" si="2"/>
        <v>2</v>
      </c>
      <c r="F469" s="5">
        <f t="shared" si="3"/>
        <v>1</v>
      </c>
      <c r="G469" s="5">
        <f t="shared" si="4"/>
        <v>1</v>
      </c>
      <c r="H469" s="5">
        <f t="shared" si="7"/>
        <v>13</v>
      </c>
      <c r="I469" s="6">
        <f t="shared" si="6"/>
        <v>399</v>
      </c>
    </row>
    <row r="470">
      <c r="A470" s="1">
        <v>45209.0</v>
      </c>
      <c r="B470" s="5" t="s">
        <v>80</v>
      </c>
      <c r="C470" s="5" t="str">
        <f>IFERROR(VLOOKUP(B470,'Overall Bean Summary'!A$2:B$36,2,FALSE),"")</f>
        <v>Bad</v>
      </c>
      <c r="D470" s="6">
        <f t="shared" si="1"/>
        <v>0</v>
      </c>
      <c r="E470" s="6">
        <f t="shared" si="2"/>
        <v>3</v>
      </c>
      <c r="F470" s="5">
        <f t="shared" si="3"/>
        <v>1</v>
      </c>
      <c r="G470" s="5">
        <f t="shared" si="4"/>
        <v>2</v>
      </c>
      <c r="H470" s="5">
        <f t="shared" si="7"/>
        <v>14</v>
      </c>
      <c r="I470" s="6">
        <f t="shared" si="6"/>
        <v>400</v>
      </c>
    </row>
    <row r="471">
      <c r="A471" s="1">
        <v>45209.0</v>
      </c>
      <c r="B471" s="5" t="s">
        <v>99</v>
      </c>
      <c r="C471" s="5" t="str">
        <f>IFERROR(VLOOKUP(B471,'Overall Bean Summary'!A$2:B$36,2,FALSE),"")</f>
        <v>Good</v>
      </c>
      <c r="D471" s="6">
        <f t="shared" si="1"/>
        <v>1</v>
      </c>
      <c r="E471" s="6">
        <f t="shared" si="2"/>
        <v>0</v>
      </c>
      <c r="F471" s="5">
        <f t="shared" si="3"/>
        <v>1</v>
      </c>
      <c r="G471" s="5">
        <f t="shared" si="4"/>
        <v>3</v>
      </c>
      <c r="H471" s="5">
        <f t="shared" si="7"/>
        <v>15</v>
      </c>
      <c r="I471" s="6">
        <f t="shared" si="6"/>
        <v>401</v>
      </c>
      <c r="L471" s="5" t="s">
        <v>212</v>
      </c>
    </row>
    <row r="472">
      <c r="A472" s="1">
        <v>45210.0</v>
      </c>
      <c r="B472" s="5" t="s">
        <v>80</v>
      </c>
      <c r="C472" s="5" t="str">
        <f>IFERROR(VLOOKUP(B472,'Overall Bean Summary'!A$2:B$36,2,FALSE),"")</f>
        <v>Bad</v>
      </c>
      <c r="D472" s="6">
        <f t="shared" si="1"/>
        <v>0</v>
      </c>
      <c r="E472" s="6">
        <f t="shared" si="2"/>
        <v>1</v>
      </c>
      <c r="F472" s="5">
        <f t="shared" si="3"/>
        <v>1</v>
      </c>
      <c r="G472" s="5">
        <f t="shared" si="4"/>
        <v>1</v>
      </c>
      <c r="H472" s="5">
        <f t="shared" si="7"/>
        <v>16</v>
      </c>
      <c r="I472" s="6">
        <f t="shared" si="6"/>
        <v>402</v>
      </c>
    </row>
    <row r="473">
      <c r="A473" s="1">
        <v>45215.0</v>
      </c>
      <c r="B473" s="5" t="s">
        <v>14</v>
      </c>
      <c r="C473" s="5" t="str">
        <f>IFERROR(VLOOKUP(B473,'Overall Bean Summary'!A$2:B$36,2,FALSE),"")</f>
        <v>Bad</v>
      </c>
      <c r="D473" s="6">
        <f t="shared" si="1"/>
        <v>0</v>
      </c>
      <c r="E473" s="6">
        <f t="shared" si="2"/>
        <v>2</v>
      </c>
      <c r="F473" s="5">
        <f t="shared" si="3"/>
        <v>1</v>
      </c>
      <c r="G473" s="5">
        <f t="shared" si="4"/>
        <v>1</v>
      </c>
      <c r="H473" s="5">
        <f t="shared" si="7"/>
        <v>17</v>
      </c>
      <c r="I473" s="6">
        <f t="shared" si="6"/>
        <v>403</v>
      </c>
    </row>
    <row r="474">
      <c r="A474" s="1">
        <v>45215.0</v>
      </c>
      <c r="B474" s="5" t="s">
        <v>45</v>
      </c>
      <c r="C474" s="5" t="str">
        <f>IFERROR(VLOOKUP(B474,'Overall Bean Summary'!A$2:B$36,2,FALSE),"")</f>
        <v>Good</v>
      </c>
      <c r="D474" s="6">
        <f t="shared" si="1"/>
        <v>1</v>
      </c>
      <c r="E474" s="6">
        <f t="shared" si="2"/>
        <v>0</v>
      </c>
      <c r="F474" s="5">
        <f t="shared" si="3"/>
        <v>1</v>
      </c>
      <c r="G474" s="5">
        <f t="shared" si="4"/>
        <v>2</v>
      </c>
      <c r="H474" s="5">
        <f t="shared" si="7"/>
        <v>18</v>
      </c>
      <c r="I474" s="6">
        <f t="shared" si="6"/>
        <v>404</v>
      </c>
    </row>
    <row r="475">
      <c r="A475" s="1">
        <v>45216.0</v>
      </c>
      <c r="B475" s="5" t="s">
        <v>44</v>
      </c>
      <c r="C475" s="5" t="str">
        <f>IFERROR(VLOOKUP(B475,'Overall Bean Summary'!A$2:B$36,2,FALSE),"")</f>
        <v>Good</v>
      </c>
      <c r="D475" s="6">
        <f t="shared" si="1"/>
        <v>2</v>
      </c>
      <c r="E475" s="6">
        <f t="shared" si="2"/>
        <v>0</v>
      </c>
      <c r="F475" s="5">
        <f t="shared" si="3"/>
        <v>1</v>
      </c>
      <c r="G475" s="5">
        <f t="shared" si="4"/>
        <v>1</v>
      </c>
      <c r="H475" s="5">
        <f t="shared" si="7"/>
        <v>19</v>
      </c>
      <c r="I475" s="6">
        <f t="shared" si="6"/>
        <v>405</v>
      </c>
    </row>
    <row r="476">
      <c r="A476" s="1">
        <v>45216.0</v>
      </c>
      <c r="B476" s="5" t="s">
        <v>95</v>
      </c>
      <c r="C476" s="5" t="str">
        <f>IFERROR(VLOOKUP(B476,'Overall Bean Summary'!A$2:B$36,2,FALSE),"")</f>
        <v>Good</v>
      </c>
      <c r="D476" s="6">
        <f t="shared" si="1"/>
        <v>3</v>
      </c>
      <c r="E476" s="6">
        <f t="shared" si="2"/>
        <v>0</v>
      </c>
      <c r="F476" s="5">
        <f t="shared" si="3"/>
        <v>1</v>
      </c>
      <c r="G476" s="5">
        <f t="shared" si="4"/>
        <v>2</v>
      </c>
      <c r="H476" s="5">
        <f t="shared" si="7"/>
        <v>20</v>
      </c>
      <c r="I476" s="6">
        <f t="shared" si="6"/>
        <v>406</v>
      </c>
    </row>
    <row r="477">
      <c r="A477" s="1">
        <v>45216.0</v>
      </c>
      <c r="B477" s="5" t="s">
        <v>45</v>
      </c>
      <c r="C477" s="5" t="str">
        <f>IFERROR(VLOOKUP(B477,'Overall Bean Summary'!A$2:B$36,2,FALSE),"")</f>
        <v>Good</v>
      </c>
      <c r="D477" s="6">
        <f t="shared" si="1"/>
        <v>4</v>
      </c>
      <c r="E477" s="6">
        <f t="shared" si="2"/>
        <v>0</v>
      </c>
      <c r="F477" s="5">
        <f t="shared" si="3"/>
        <v>1</v>
      </c>
      <c r="G477" s="5">
        <f t="shared" si="4"/>
        <v>3</v>
      </c>
      <c r="H477" s="5">
        <f t="shared" si="7"/>
        <v>21</v>
      </c>
      <c r="I477" s="6">
        <f t="shared" si="6"/>
        <v>407</v>
      </c>
    </row>
    <row r="478">
      <c r="A478" s="1">
        <v>45216.0</v>
      </c>
      <c r="B478" s="5" t="s">
        <v>95</v>
      </c>
      <c r="C478" s="5" t="str">
        <f>IFERROR(VLOOKUP(B478,'Overall Bean Summary'!A$2:B$36,2,FALSE),"")</f>
        <v>Good</v>
      </c>
      <c r="D478" s="6">
        <f t="shared" si="1"/>
        <v>5</v>
      </c>
      <c r="E478" s="6">
        <f t="shared" si="2"/>
        <v>0</v>
      </c>
      <c r="F478" s="5">
        <f t="shared" si="3"/>
        <v>1</v>
      </c>
      <c r="G478" s="5">
        <f t="shared" si="4"/>
        <v>4</v>
      </c>
      <c r="H478" s="5">
        <f t="shared" si="7"/>
        <v>22</v>
      </c>
      <c r="I478" s="6">
        <f t="shared" si="6"/>
        <v>408</v>
      </c>
    </row>
    <row r="479">
      <c r="A479" s="1">
        <v>45216.0</v>
      </c>
      <c r="B479" s="5" t="s">
        <v>48</v>
      </c>
      <c r="C479" s="5" t="str">
        <f>IFERROR(VLOOKUP(B479,'Overall Bean Summary'!A$2:B$36,2,FALSE),"")</f>
        <v>Bad</v>
      </c>
      <c r="D479" s="6">
        <f t="shared" si="1"/>
        <v>0</v>
      </c>
      <c r="E479" s="6">
        <f t="shared" si="2"/>
        <v>1</v>
      </c>
      <c r="F479" s="5">
        <f t="shared" si="3"/>
        <v>1</v>
      </c>
      <c r="G479" s="5">
        <f t="shared" si="4"/>
        <v>5</v>
      </c>
      <c r="H479" s="5">
        <f t="shared" si="7"/>
        <v>23</v>
      </c>
      <c r="I479" s="6">
        <f t="shared" si="6"/>
        <v>409</v>
      </c>
      <c r="L479" s="5" t="s">
        <v>214</v>
      </c>
    </row>
    <row r="480">
      <c r="A480" s="1">
        <v>45217.0</v>
      </c>
      <c r="B480" s="5" t="s">
        <v>40</v>
      </c>
      <c r="C480" s="5" t="str">
        <f>IFERROR(VLOOKUP(B480,'Overall Bean Summary'!A$2:B$36,2,FALSE),"")</f>
        <v>Bad</v>
      </c>
      <c r="D480" s="6">
        <f t="shared" si="1"/>
        <v>0</v>
      </c>
      <c r="E480" s="6">
        <f t="shared" si="2"/>
        <v>2</v>
      </c>
      <c r="F480" s="5">
        <f t="shared" si="3"/>
        <v>1</v>
      </c>
      <c r="G480" s="5">
        <f t="shared" si="4"/>
        <v>1</v>
      </c>
      <c r="H480" s="5">
        <f t="shared" si="7"/>
        <v>24</v>
      </c>
      <c r="I480" s="6">
        <f t="shared" si="6"/>
        <v>410</v>
      </c>
    </row>
    <row r="481">
      <c r="A481" s="1">
        <v>45217.0</v>
      </c>
      <c r="B481" s="5" t="s">
        <v>67</v>
      </c>
      <c r="C481" s="5" t="str">
        <f>IFERROR(VLOOKUP(B481,'Overall Bean Summary'!A$2:B$36,2,FALSE),"")</f>
        <v>Good</v>
      </c>
      <c r="D481" s="6">
        <f t="shared" si="1"/>
        <v>1</v>
      </c>
      <c r="E481" s="6">
        <f t="shared" si="2"/>
        <v>0</v>
      </c>
      <c r="F481" s="5">
        <f t="shared" si="3"/>
        <v>1</v>
      </c>
      <c r="G481" s="5">
        <f t="shared" si="4"/>
        <v>2</v>
      </c>
      <c r="H481" s="5">
        <f t="shared" si="7"/>
        <v>25</v>
      </c>
      <c r="I481" s="6">
        <f t="shared" si="6"/>
        <v>411</v>
      </c>
    </row>
    <row r="482">
      <c r="A482" s="1">
        <v>45218.0</v>
      </c>
      <c r="B482" s="5" t="s">
        <v>51</v>
      </c>
      <c r="C482" s="5" t="str">
        <f>IFERROR(VLOOKUP(B482,'Overall Bean Summary'!A$2:B$36,2,FALSE),"")</f>
        <v>Bad</v>
      </c>
      <c r="D482" s="6">
        <f t="shared" si="1"/>
        <v>0</v>
      </c>
      <c r="E482" s="6">
        <f t="shared" si="2"/>
        <v>1</v>
      </c>
      <c r="F482" s="5">
        <f t="shared" si="3"/>
        <v>1</v>
      </c>
      <c r="G482" s="5">
        <f t="shared" si="4"/>
        <v>1</v>
      </c>
      <c r="H482" s="5">
        <f t="shared" si="7"/>
        <v>26</v>
      </c>
      <c r="I482" s="6">
        <f t="shared" si="6"/>
        <v>412</v>
      </c>
    </row>
    <row r="483">
      <c r="A483" s="1">
        <v>45218.0</v>
      </c>
      <c r="B483" s="5" t="s">
        <v>44</v>
      </c>
      <c r="C483" s="5" t="str">
        <f>IFERROR(VLOOKUP(B483,'Overall Bean Summary'!A$2:B$36,2,FALSE),"")</f>
        <v>Good</v>
      </c>
      <c r="D483" s="6">
        <f t="shared" si="1"/>
        <v>1</v>
      </c>
      <c r="E483" s="6">
        <f t="shared" si="2"/>
        <v>0</v>
      </c>
      <c r="F483" s="5">
        <f t="shared" si="3"/>
        <v>1</v>
      </c>
      <c r="G483" s="5">
        <f t="shared" si="4"/>
        <v>2</v>
      </c>
      <c r="H483" s="5">
        <f t="shared" si="7"/>
        <v>27</v>
      </c>
      <c r="I483" s="6">
        <f t="shared" si="6"/>
        <v>413</v>
      </c>
    </row>
    <row r="484">
      <c r="A484" s="1">
        <v>45218.0</v>
      </c>
      <c r="B484" s="5" t="s">
        <v>63</v>
      </c>
      <c r="C484" s="5" t="str">
        <f>IFERROR(VLOOKUP(B484,'Overall Bean Summary'!A$2:B$36,2,FALSE),"")</f>
        <v>Bad</v>
      </c>
      <c r="D484" s="6">
        <f t="shared" si="1"/>
        <v>0</v>
      </c>
      <c r="E484" s="6">
        <f t="shared" si="2"/>
        <v>1</v>
      </c>
      <c r="F484" s="5">
        <f t="shared" si="3"/>
        <v>1</v>
      </c>
      <c r="G484" s="5">
        <f t="shared" si="4"/>
        <v>3</v>
      </c>
      <c r="H484" s="5">
        <f t="shared" si="7"/>
        <v>28</v>
      </c>
      <c r="I484" s="6">
        <f t="shared" si="6"/>
        <v>414</v>
      </c>
      <c r="L484" s="5" t="s">
        <v>218</v>
      </c>
    </row>
    <row r="485">
      <c r="A485" s="1">
        <v>45219.0</v>
      </c>
      <c r="B485" s="5" t="s">
        <v>95</v>
      </c>
      <c r="C485" s="5" t="str">
        <f>IFERROR(VLOOKUP(B485,'Overall Bean Summary'!A$2:B$36,2,FALSE),"")</f>
        <v>Good</v>
      </c>
      <c r="D485" s="6">
        <f t="shared" si="1"/>
        <v>1</v>
      </c>
      <c r="E485" s="6">
        <f t="shared" si="2"/>
        <v>0</v>
      </c>
      <c r="F485" s="5">
        <f t="shared" si="3"/>
        <v>1</v>
      </c>
      <c r="G485" s="5">
        <f t="shared" si="4"/>
        <v>1</v>
      </c>
      <c r="H485" s="5">
        <f t="shared" si="7"/>
        <v>29</v>
      </c>
      <c r="I485" s="6">
        <f t="shared" si="6"/>
        <v>415</v>
      </c>
    </row>
    <row r="486">
      <c r="A486" s="1">
        <v>45219.0</v>
      </c>
      <c r="B486" s="5" t="s">
        <v>80</v>
      </c>
      <c r="C486" s="5" t="str">
        <f>IFERROR(VLOOKUP(B486,'Overall Bean Summary'!A$2:B$36,2,FALSE),"")</f>
        <v>Bad</v>
      </c>
      <c r="D486" s="6">
        <f t="shared" si="1"/>
        <v>0</v>
      </c>
      <c r="E486" s="6">
        <f t="shared" si="2"/>
        <v>1</v>
      </c>
      <c r="F486" s="5">
        <f t="shared" si="3"/>
        <v>1</v>
      </c>
      <c r="G486" s="5">
        <f t="shared" si="4"/>
        <v>2</v>
      </c>
      <c r="H486" s="5">
        <f t="shared" si="7"/>
        <v>30</v>
      </c>
      <c r="I486" s="6">
        <f t="shared" si="6"/>
        <v>416</v>
      </c>
    </row>
    <row r="487">
      <c r="A487" s="1">
        <v>45219.0</v>
      </c>
      <c r="B487" s="5" t="s">
        <v>51</v>
      </c>
      <c r="C487" s="5" t="str">
        <f>IFERROR(VLOOKUP(B487,'Overall Bean Summary'!A$2:B$36,2,FALSE),"")</f>
        <v>Bad</v>
      </c>
      <c r="D487" s="6">
        <f t="shared" si="1"/>
        <v>0</v>
      </c>
      <c r="E487" s="6">
        <f t="shared" si="2"/>
        <v>2</v>
      </c>
      <c r="F487" s="5">
        <f t="shared" si="3"/>
        <v>1</v>
      </c>
      <c r="G487" s="5">
        <f t="shared" si="4"/>
        <v>3</v>
      </c>
      <c r="H487" s="5">
        <f t="shared" si="7"/>
        <v>31</v>
      </c>
      <c r="I487" s="6">
        <f t="shared" si="6"/>
        <v>417</v>
      </c>
    </row>
    <row r="488">
      <c r="A488" s="1">
        <v>45219.0</v>
      </c>
      <c r="B488" s="5" t="s">
        <v>80</v>
      </c>
      <c r="C488" s="5" t="str">
        <f>IFERROR(VLOOKUP(B488,'Overall Bean Summary'!A$2:B$36,2,FALSE),"")</f>
        <v>Bad</v>
      </c>
      <c r="D488" s="6">
        <f t="shared" si="1"/>
        <v>0</v>
      </c>
      <c r="E488" s="6">
        <f t="shared" si="2"/>
        <v>3</v>
      </c>
      <c r="F488" s="5">
        <f t="shared" si="3"/>
        <v>1</v>
      </c>
      <c r="G488" s="5">
        <f t="shared" si="4"/>
        <v>4</v>
      </c>
      <c r="H488" s="5">
        <f t="shared" si="7"/>
        <v>32</v>
      </c>
      <c r="I488" s="6">
        <f t="shared" si="6"/>
        <v>418</v>
      </c>
    </row>
    <row r="489">
      <c r="A489" s="1">
        <v>45219.0</v>
      </c>
      <c r="B489" s="5" t="s">
        <v>58</v>
      </c>
      <c r="C489" s="5" t="str">
        <f>IFERROR(VLOOKUP(B489,'Overall Bean Summary'!A$2:B$36,2,FALSE),"")</f>
        <v>Bad</v>
      </c>
      <c r="D489" s="6">
        <f t="shared" si="1"/>
        <v>0</v>
      </c>
      <c r="E489" s="6">
        <f t="shared" si="2"/>
        <v>4</v>
      </c>
      <c r="F489" s="5">
        <f t="shared" si="3"/>
        <v>1</v>
      </c>
      <c r="G489" s="5">
        <f t="shared" si="4"/>
        <v>5</v>
      </c>
      <c r="H489" s="5">
        <f t="shared" si="7"/>
        <v>33</v>
      </c>
      <c r="I489" s="6">
        <f t="shared" si="6"/>
        <v>419</v>
      </c>
    </row>
    <row r="490">
      <c r="A490" s="1">
        <v>45219.0</v>
      </c>
      <c r="B490" s="5" t="s">
        <v>29</v>
      </c>
      <c r="C490" s="5" t="str">
        <f>IFERROR(VLOOKUP(B490,'Overall Bean Summary'!A$2:B$36,2,FALSE),"")</f>
        <v>Good</v>
      </c>
      <c r="D490" s="6">
        <f t="shared" si="1"/>
        <v>1</v>
      </c>
      <c r="E490" s="6">
        <f t="shared" si="2"/>
        <v>0</v>
      </c>
      <c r="F490" s="5">
        <f t="shared" si="3"/>
        <v>1</v>
      </c>
      <c r="G490" s="5">
        <f t="shared" si="4"/>
        <v>6</v>
      </c>
      <c r="H490" s="5">
        <f t="shared" si="7"/>
        <v>34</v>
      </c>
      <c r="I490" s="6">
        <f t="shared" si="6"/>
        <v>420</v>
      </c>
    </row>
    <row r="491">
      <c r="A491" s="1">
        <v>45222.0</v>
      </c>
      <c r="B491" s="5" t="s">
        <v>69</v>
      </c>
      <c r="C491" s="5" t="str">
        <f>IFERROR(VLOOKUP(B491,'Overall Bean Summary'!A$2:B$36,2,FALSE),"")</f>
        <v>Bad</v>
      </c>
      <c r="D491" s="6">
        <f t="shared" si="1"/>
        <v>0</v>
      </c>
      <c r="E491" s="6">
        <f t="shared" si="2"/>
        <v>1</v>
      </c>
      <c r="F491" s="5">
        <f t="shared" si="3"/>
        <v>1</v>
      </c>
      <c r="G491" s="5">
        <f t="shared" si="4"/>
        <v>1</v>
      </c>
      <c r="H491" s="5">
        <f t="shared" si="7"/>
        <v>35</v>
      </c>
      <c r="I491" s="6">
        <f t="shared" si="6"/>
        <v>421</v>
      </c>
    </row>
    <row r="492">
      <c r="A492" s="1">
        <v>45223.0</v>
      </c>
      <c r="B492" s="5" t="s">
        <v>63</v>
      </c>
      <c r="C492" s="5" t="str">
        <f>IFERROR(VLOOKUP(B492,'Overall Bean Summary'!A$2:B$36,2,FALSE),"")</f>
        <v>Bad</v>
      </c>
      <c r="D492" s="6">
        <f t="shared" si="1"/>
        <v>0</v>
      </c>
      <c r="E492" s="6">
        <f t="shared" si="2"/>
        <v>2</v>
      </c>
      <c r="F492" s="5">
        <f t="shared" si="3"/>
        <v>1</v>
      </c>
      <c r="G492" s="5">
        <f t="shared" si="4"/>
        <v>1</v>
      </c>
      <c r="H492" s="5">
        <f t="shared" si="7"/>
        <v>36</v>
      </c>
      <c r="I492" s="6">
        <f t="shared" si="6"/>
        <v>422</v>
      </c>
    </row>
    <row r="493">
      <c r="A493" s="1">
        <v>45223.0</v>
      </c>
      <c r="B493" s="5" t="s">
        <v>44</v>
      </c>
      <c r="C493" s="5" t="str">
        <f>IFERROR(VLOOKUP(B493,'Overall Bean Summary'!A$2:B$36,2,FALSE),"")</f>
        <v>Good</v>
      </c>
      <c r="D493" s="6">
        <f t="shared" si="1"/>
        <v>1</v>
      </c>
      <c r="E493" s="6">
        <f t="shared" si="2"/>
        <v>0</v>
      </c>
      <c r="F493" s="5">
        <f t="shared" si="3"/>
        <v>1</v>
      </c>
      <c r="G493" s="5">
        <f t="shared" si="4"/>
        <v>2</v>
      </c>
      <c r="H493" s="5">
        <f t="shared" si="7"/>
        <v>37</v>
      </c>
      <c r="I493" s="6">
        <f t="shared" si="6"/>
        <v>423</v>
      </c>
    </row>
    <row r="494">
      <c r="A494" s="1">
        <v>45224.0</v>
      </c>
      <c r="B494" s="5" t="s">
        <v>80</v>
      </c>
      <c r="C494" s="5" t="str">
        <f>IFERROR(VLOOKUP(B494,'Overall Bean Summary'!A$2:B$36,2,FALSE),"")</f>
        <v>Bad</v>
      </c>
      <c r="D494" s="6">
        <f t="shared" si="1"/>
        <v>0</v>
      </c>
      <c r="E494" s="6">
        <f t="shared" si="2"/>
        <v>1</v>
      </c>
      <c r="F494" s="5">
        <f t="shared" si="3"/>
        <v>1</v>
      </c>
      <c r="G494" s="5">
        <f t="shared" si="4"/>
        <v>1</v>
      </c>
      <c r="H494" s="5">
        <f t="shared" si="7"/>
        <v>38</v>
      </c>
      <c r="I494" s="6">
        <f t="shared" si="6"/>
        <v>424</v>
      </c>
    </row>
    <row r="495">
      <c r="A495" s="1">
        <v>45224.0</v>
      </c>
      <c r="B495" s="5" t="s">
        <v>85</v>
      </c>
      <c r="C495" s="5" t="str">
        <f>IFERROR(VLOOKUP(B495,'Overall Bean Summary'!A$2:B$36,2,FALSE),"")</f>
        <v>Good</v>
      </c>
      <c r="D495" s="6">
        <f t="shared" si="1"/>
        <v>1</v>
      </c>
      <c r="E495" s="6">
        <f t="shared" si="2"/>
        <v>0</v>
      </c>
      <c r="F495" s="5">
        <f t="shared" si="3"/>
        <v>1</v>
      </c>
      <c r="G495" s="5">
        <f t="shared" si="4"/>
        <v>2</v>
      </c>
      <c r="H495" s="5">
        <f t="shared" si="7"/>
        <v>39</v>
      </c>
      <c r="I495" s="6">
        <f t="shared" si="6"/>
        <v>425</v>
      </c>
    </row>
    <row r="496">
      <c r="A496" s="1">
        <v>45225.0</v>
      </c>
      <c r="B496" s="5" t="s">
        <v>40</v>
      </c>
      <c r="C496" s="5" t="str">
        <f>IFERROR(VLOOKUP(B496,'Overall Bean Summary'!A$2:B$36,2,FALSE),"")</f>
        <v>Bad</v>
      </c>
      <c r="D496" s="6">
        <f t="shared" si="1"/>
        <v>0</v>
      </c>
      <c r="E496" s="6">
        <f t="shared" si="2"/>
        <v>1</v>
      </c>
      <c r="F496" s="5">
        <f t="shared" si="3"/>
        <v>1</v>
      </c>
      <c r="G496" s="5">
        <f t="shared" si="4"/>
        <v>1</v>
      </c>
      <c r="H496" s="5">
        <f t="shared" si="7"/>
        <v>40</v>
      </c>
      <c r="I496" s="6">
        <f t="shared" si="6"/>
        <v>426</v>
      </c>
    </row>
    <row r="497">
      <c r="A497" s="1">
        <v>45225.0</v>
      </c>
      <c r="B497" s="5" t="s">
        <v>14</v>
      </c>
      <c r="C497" s="5" t="str">
        <f>IFERROR(VLOOKUP(B497,'Overall Bean Summary'!A$2:B$36,2,FALSE),"")</f>
        <v>Bad</v>
      </c>
      <c r="D497" s="6">
        <f t="shared" si="1"/>
        <v>0</v>
      </c>
      <c r="E497" s="6">
        <f t="shared" si="2"/>
        <v>2</v>
      </c>
      <c r="F497" s="5">
        <f t="shared" si="3"/>
        <v>1</v>
      </c>
      <c r="G497" s="5">
        <f t="shared" si="4"/>
        <v>2</v>
      </c>
      <c r="H497" s="5">
        <f t="shared" si="7"/>
        <v>41</v>
      </c>
      <c r="I497" s="6">
        <f t="shared" si="6"/>
        <v>427</v>
      </c>
    </row>
    <row r="498">
      <c r="A498" s="1">
        <v>45225.0</v>
      </c>
      <c r="B498" s="5" t="s">
        <v>95</v>
      </c>
      <c r="C498" s="5" t="str">
        <f>IFERROR(VLOOKUP(B498,'Overall Bean Summary'!A$2:B$36,2,FALSE),"")</f>
        <v>Good</v>
      </c>
      <c r="D498" s="6">
        <f t="shared" si="1"/>
        <v>1</v>
      </c>
      <c r="E498" s="6">
        <f t="shared" si="2"/>
        <v>0</v>
      </c>
      <c r="F498" s="5">
        <f t="shared" si="3"/>
        <v>1</v>
      </c>
      <c r="G498" s="5">
        <f t="shared" si="4"/>
        <v>3</v>
      </c>
      <c r="H498" s="5">
        <f t="shared" si="7"/>
        <v>42</v>
      </c>
      <c r="I498" s="6">
        <f t="shared" si="6"/>
        <v>428</v>
      </c>
    </row>
    <row r="499">
      <c r="A499" s="1">
        <v>45225.0</v>
      </c>
      <c r="B499" s="5" t="s">
        <v>85</v>
      </c>
      <c r="C499" s="5" t="str">
        <f>IFERROR(VLOOKUP(B499,'Overall Bean Summary'!A$2:B$36,2,FALSE),"")</f>
        <v>Good</v>
      </c>
      <c r="D499" s="6">
        <f t="shared" si="1"/>
        <v>2</v>
      </c>
      <c r="E499" s="6">
        <f t="shared" si="2"/>
        <v>0</v>
      </c>
      <c r="F499" s="5">
        <f t="shared" si="3"/>
        <v>1</v>
      </c>
      <c r="G499" s="5">
        <f t="shared" si="4"/>
        <v>4</v>
      </c>
      <c r="H499" s="5">
        <f t="shared" si="7"/>
        <v>43</v>
      </c>
      <c r="I499" s="6">
        <f t="shared" si="6"/>
        <v>429</v>
      </c>
    </row>
    <row r="500">
      <c r="A500" s="1">
        <v>45226.0</v>
      </c>
      <c r="B500" s="5" t="s">
        <v>14</v>
      </c>
      <c r="C500" s="5" t="str">
        <f>IFERROR(VLOOKUP(B500,'Overall Bean Summary'!A$2:B$36,2,FALSE),"")</f>
        <v>Bad</v>
      </c>
      <c r="D500" s="6">
        <f t="shared" si="1"/>
        <v>0</v>
      </c>
      <c r="E500" s="6">
        <f t="shared" si="2"/>
        <v>1</v>
      </c>
      <c r="F500" s="5">
        <f t="shared" si="3"/>
        <v>1</v>
      </c>
      <c r="G500" s="5">
        <f t="shared" si="4"/>
        <v>1</v>
      </c>
      <c r="H500" s="5">
        <f t="shared" si="7"/>
        <v>44</v>
      </c>
      <c r="I500" s="6">
        <f t="shared" si="6"/>
        <v>430</v>
      </c>
    </row>
    <row r="501">
      <c r="A501" s="1">
        <v>45229.0</v>
      </c>
      <c r="B501" s="5" t="s">
        <v>95</v>
      </c>
      <c r="C501" s="5" t="str">
        <f>IFERROR(VLOOKUP(B501,'Overall Bean Summary'!A$2:B$36,2,FALSE),"")</f>
        <v>Good</v>
      </c>
      <c r="D501" s="6">
        <f t="shared" si="1"/>
        <v>1</v>
      </c>
      <c r="E501" s="6">
        <f t="shared" si="2"/>
        <v>0</v>
      </c>
      <c r="F501" s="5">
        <f t="shared" si="3"/>
        <v>1</v>
      </c>
      <c r="G501" s="5">
        <f t="shared" si="4"/>
        <v>1</v>
      </c>
      <c r="H501" s="5">
        <f t="shared" si="7"/>
        <v>45</v>
      </c>
      <c r="I501" s="6">
        <f t="shared" si="6"/>
        <v>431</v>
      </c>
    </row>
    <row r="502">
      <c r="A502" s="1">
        <v>45229.0</v>
      </c>
      <c r="B502" s="5" t="s">
        <v>58</v>
      </c>
      <c r="C502" s="5" t="str">
        <f>IFERROR(VLOOKUP(B502,'Overall Bean Summary'!A$2:B$36,2,FALSE),"")</f>
        <v>Bad</v>
      </c>
      <c r="D502" s="6">
        <f t="shared" si="1"/>
        <v>0</v>
      </c>
      <c r="E502" s="6">
        <f t="shared" si="2"/>
        <v>1</v>
      </c>
      <c r="F502" s="5">
        <f t="shared" si="3"/>
        <v>1</v>
      </c>
      <c r="G502" s="5">
        <f t="shared" si="4"/>
        <v>2</v>
      </c>
      <c r="H502" s="5">
        <f t="shared" si="7"/>
        <v>46</v>
      </c>
      <c r="I502" s="6">
        <f t="shared" si="6"/>
        <v>432</v>
      </c>
    </row>
    <row r="503">
      <c r="A503" s="1">
        <v>45229.0</v>
      </c>
      <c r="B503" s="5" t="s">
        <v>29</v>
      </c>
      <c r="C503" s="5" t="str">
        <f>IFERROR(VLOOKUP(B503,'Overall Bean Summary'!A$2:B$36,2,FALSE),"")</f>
        <v>Good</v>
      </c>
      <c r="D503" s="6">
        <f t="shared" si="1"/>
        <v>1</v>
      </c>
      <c r="E503" s="6">
        <f t="shared" si="2"/>
        <v>0</v>
      </c>
      <c r="F503" s="5">
        <f t="shared" si="3"/>
        <v>1</v>
      </c>
      <c r="G503" s="5">
        <f t="shared" si="4"/>
        <v>3</v>
      </c>
      <c r="H503" s="5">
        <f t="shared" si="7"/>
        <v>47</v>
      </c>
      <c r="I503" s="6">
        <f t="shared" si="6"/>
        <v>433</v>
      </c>
    </row>
    <row r="504">
      <c r="A504" s="1">
        <v>45229.0</v>
      </c>
      <c r="B504" s="5" t="s">
        <v>58</v>
      </c>
      <c r="C504" s="5" t="str">
        <f>IFERROR(VLOOKUP(B504,'Overall Bean Summary'!A$2:B$36,2,FALSE),"")</f>
        <v>Bad</v>
      </c>
      <c r="D504" s="6">
        <f t="shared" si="1"/>
        <v>0</v>
      </c>
      <c r="E504" s="6">
        <f t="shared" si="2"/>
        <v>1</v>
      </c>
      <c r="F504" s="5">
        <f t="shared" si="3"/>
        <v>1</v>
      </c>
      <c r="G504" s="5">
        <f t="shared" si="4"/>
        <v>4</v>
      </c>
      <c r="H504" s="5">
        <f t="shared" si="7"/>
        <v>48</v>
      </c>
      <c r="I504" s="6">
        <f t="shared" si="6"/>
        <v>434</v>
      </c>
    </row>
    <row r="505">
      <c r="A505" s="1">
        <v>45230.0</v>
      </c>
      <c r="B505" s="5" t="s">
        <v>58</v>
      </c>
      <c r="C505" s="5" t="str">
        <f>IFERROR(VLOOKUP(B505,'Overall Bean Summary'!A$2:B$36,2,FALSE),"")</f>
        <v>Bad</v>
      </c>
      <c r="D505" s="6">
        <f t="shared" si="1"/>
        <v>0</v>
      </c>
      <c r="E505" s="6">
        <f t="shared" si="2"/>
        <v>2</v>
      </c>
      <c r="F505" s="5">
        <f t="shared" si="3"/>
        <v>2</v>
      </c>
      <c r="G505" s="5">
        <f t="shared" si="4"/>
        <v>1</v>
      </c>
      <c r="H505" s="5">
        <f t="shared" si="7"/>
        <v>49</v>
      </c>
      <c r="I505" s="6">
        <f t="shared" si="6"/>
        <v>435</v>
      </c>
    </row>
    <row r="506">
      <c r="A506" s="1">
        <v>45230.0</v>
      </c>
      <c r="B506" s="5" t="s">
        <v>63</v>
      </c>
      <c r="C506" s="5" t="str">
        <f>IFERROR(VLOOKUP(B506,'Overall Bean Summary'!A$2:B$36,2,FALSE),"")</f>
        <v>Bad</v>
      </c>
      <c r="D506" s="6">
        <f t="shared" si="1"/>
        <v>0</v>
      </c>
      <c r="E506" s="6">
        <f t="shared" si="2"/>
        <v>3</v>
      </c>
      <c r="F506" s="5">
        <f t="shared" si="3"/>
        <v>1</v>
      </c>
      <c r="G506" s="5">
        <f t="shared" si="4"/>
        <v>2</v>
      </c>
      <c r="H506" s="5">
        <f t="shared" si="7"/>
        <v>50</v>
      </c>
      <c r="I506" s="6">
        <f t="shared" si="6"/>
        <v>436</v>
      </c>
    </row>
    <row r="507">
      <c r="A507" s="1">
        <v>45230.0</v>
      </c>
      <c r="B507" s="5" t="s">
        <v>80</v>
      </c>
      <c r="C507" s="5" t="str">
        <f>IFERROR(VLOOKUP(B507,'Overall Bean Summary'!A$2:B$36,2,FALSE),"")</f>
        <v>Bad</v>
      </c>
      <c r="D507" s="6">
        <f t="shared" si="1"/>
        <v>0</v>
      </c>
      <c r="E507" s="6">
        <f t="shared" si="2"/>
        <v>4</v>
      </c>
      <c r="F507" s="5">
        <f t="shared" si="3"/>
        <v>1</v>
      </c>
      <c r="G507" s="5">
        <f t="shared" si="4"/>
        <v>3</v>
      </c>
      <c r="H507" s="5">
        <f t="shared" si="7"/>
        <v>51</v>
      </c>
      <c r="I507" s="6">
        <f t="shared" si="6"/>
        <v>437</v>
      </c>
    </row>
    <row r="508">
      <c r="A508" s="1">
        <v>45230.0</v>
      </c>
      <c r="B508" s="5" t="s">
        <v>69</v>
      </c>
      <c r="C508" s="5" t="str">
        <f>IFERROR(VLOOKUP(B508,'Overall Bean Summary'!A$2:B$36,2,FALSE),"")</f>
        <v>Bad</v>
      </c>
      <c r="D508" s="6">
        <f t="shared" si="1"/>
        <v>0</v>
      </c>
      <c r="E508" s="6">
        <f t="shared" si="2"/>
        <v>5</v>
      </c>
      <c r="F508" s="5">
        <f t="shared" si="3"/>
        <v>1</v>
      </c>
      <c r="G508" s="5">
        <f t="shared" si="4"/>
        <v>4</v>
      </c>
      <c r="H508" s="5">
        <f t="shared" si="7"/>
        <v>52</v>
      </c>
      <c r="I508" s="6">
        <f t="shared" si="6"/>
        <v>438</v>
      </c>
    </row>
    <row r="509">
      <c r="A509" s="1">
        <v>45230.0</v>
      </c>
      <c r="B509" s="5" t="s">
        <v>67</v>
      </c>
      <c r="C509" s="5" t="str">
        <f>IFERROR(VLOOKUP(B509,'Overall Bean Summary'!A$2:B$36,2,FALSE),"")</f>
        <v>Good</v>
      </c>
      <c r="D509" s="6">
        <f t="shared" si="1"/>
        <v>1</v>
      </c>
      <c r="E509" s="6">
        <f t="shared" si="2"/>
        <v>0</v>
      </c>
      <c r="F509" s="5">
        <f t="shared" si="3"/>
        <v>1</v>
      </c>
      <c r="G509" s="5">
        <f t="shared" si="4"/>
        <v>5</v>
      </c>
      <c r="H509" s="5">
        <f t="shared" si="7"/>
        <v>53</v>
      </c>
      <c r="I509" s="6">
        <f t="shared" si="6"/>
        <v>439</v>
      </c>
    </row>
    <row r="510">
      <c r="A510" s="1">
        <v>45230.0</v>
      </c>
      <c r="B510" s="5" t="s">
        <v>40</v>
      </c>
      <c r="C510" s="5" t="str">
        <f>IFERROR(VLOOKUP(B510,'Overall Bean Summary'!A$2:B$36,2,FALSE),"")</f>
        <v>Bad</v>
      </c>
      <c r="D510" s="6">
        <f t="shared" si="1"/>
        <v>0</v>
      </c>
      <c r="E510" s="6">
        <f t="shared" si="2"/>
        <v>1</v>
      </c>
      <c r="F510" s="5">
        <f t="shared" si="3"/>
        <v>1</v>
      </c>
      <c r="G510" s="5">
        <f t="shared" si="4"/>
        <v>6</v>
      </c>
      <c r="H510" s="5">
        <f t="shared" si="7"/>
        <v>54</v>
      </c>
      <c r="I510" s="6">
        <f t="shared" si="6"/>
        <v>440</v>
      </c>
    </row>
    <row r="511">
      <c r="A511" s="1">
        <v>45230.0</v>
      </c>
      <c r="B511" s="5" t="s">
        <v>72</v>
      </c>
      <c r="C511" s="5" t="str">
        <f>IFERROR(VLOOKUP(B511,'Overall Bean Summary'!A$2:B$36,2,FALSE),"")</f>
        <v>Bad</v>
      </c>
      <c r="D511" s="6">
        <f t="shared" si="1"/>
        <v>0</v>
      </c>
      <c r="E511" s="6">
        <f t="shared" si="2"/>
        <v>2</v>
      </c>
      <c r="F511" s="5">
        <f t="shared" si="3"/>
        <v>1</v>
      </c>
      <c r="G511" s="5">
        <f t="shared" si="4"/>
        <v>7</v>
      </c>
      <c r="H511" s="5">
        <f t="shared" si="7"/>
        <v>55</v>
      </c>
      <c r="I511" s="6">
        <f t="shared" si="6"/>
        <v>441</v>
      </c>
    </row>
    <row r="512">
      <c r="A512" s="1">
        <v>45231.0</v>
      </c>
      <c r="B512" s="5" t="s">
        <v>58</v>
      </c>
      <c r="C512" s="5" t="str">
        <f>IFERROR(VLOOKUP(B512,'Overall Bean Summary'!A$2:B$36,2,FALSE),"")</f>
        <v>Bad</v>
      </c>
      <c r="D512" s="6">
        <f t="shared" si="1"/>
        <v>0</v>
      </c>
      <c r="E512" s="6">
        <f t="shared" si="2"/>
        <v>3</v>
      </c>
      <c r="F512" s="5">
        <f t="shared" si="3"/>
        <v>1</v>
      </c>
      <c r="G512" s="5">
        <f t="shared" si="4"/>
        <v>1</v>
      </c>
      <c r="H512" s="5">
        <f t="shared" si="7"/>
        <v>1</v>
      </c>
      <c r="I512" s="6">
        <f t="shared" si="6"/>
        <v>442</v>
      </c>
    </row>
    <row r="513">
      <c r="A513" s="1">
        <v>45231.0</v>
      </c>
      <c r="B513" s="5" t="s">
        <v>48</v>
      </c>
      <c r="C513" s="5" t="str">
        <f>IFERROR(VLOOKUP(B513,'Overall Bean Summary'!A$2:B$36,2,FALSE),"")</f>
        <v>Bad</v>
      </c>
      <c r="D513" s="6">
        <f t="shared" si="1"/>
        <v>0</v>
      </c>
      <c r="E513" s="6">
        <f t="shared" si="2"/>
        <v>4</v>
      </c>
      <c r="F513" s="5">
        <f t="shared" si="3"/>
        <v>1</v>
      </c>
      <c r="G513" s="5">
        <f t="shared" si="4"/>
        <v>2</v>
      </c>
      <c r="H513" s="5">
        <f t="shared" si="7"/>
        <v>2</v>
      </c>
      <c r="I513" s="6">
        <f t="shared" si="6"/>
        <v>443</v>
      </c>
    </row>
    <row r="514">
      <c r="A514" s="1">
        <v>45232.0</v>
      </c>
      <c r="B514" s="5" t="s">
        <v>63</v>
      </c>
      <c r="C514" s="5" t="str">
        <f>IFERROR(VLOOKUP(B514,'Overall Bean Summary'!A$2:B$36,2,FALSE),"")</f>
        <v>Bad</v>
      </c>
      <c r="D514" s="6">
        <f t="shared" si="1"/>
        <v>0</v>
      </c>
      <c r="E514" s="6">
        <f t="shared" si="2"/>
        <v>5</v>
      </c>
      <c r="F514" s="5">
        <f t="shared" si="3"/>
        <v>1</v>
      </c>
      <c r="G514" s="5">
        <f t="shared" si="4"/>
        <v>1</v>
      </c>
      <c r="H514" s="5">
        <f t="shared" si="7"/>
        <v>3</v>
      </c>
      <c r="I514" s="6">
        <f t="shared" si="6"/>
        <v>444</v>
      </c>
    </row>
    <row r="515">
      <c r="A515" s="1">
        <v>45232.0</v>
      </c>
      <c r="B515" s="5" t="s">
        <v>51</v>
      </c>
      <c r="C515" s="5" t="str">
        <f>IFERROR(VLOOKUP(B515,'Overall Bean Summary'!A$2:B$36,2,FALSE),"")</f>
        <v>Bad</v>
      </c>
      <c r="D515" s="6">
        <f t="shared" si="1"/>
        <v>0</v>
      </c>
      <c r="E515" s="6">
        <f t="shared" si="2"/>
        <v>6</v>
      </c>
      <c r="F515" s="5">
        <f t="shared" si="3"/>
        <v>1</v>
      </c>
      <c r="G515" s="5">
        <f t="shared" si="4"/>
        <v>2</v>
      </c>
      <c r="H515" s="5">
        <f t="shared" si="7"/>
        <v>4</v>
      </c>
      <c r="I515" s="6">
        <f t="shared" si="6"/>
        <v>445</v>
      </c>
    </row>
    <row r="516">
      <c r="A516" s="1">
        <v>45233.0</v>
      </c>
      <c r="B516" s="5" t="s">
        <v>14</v>
      </c>
      <c r="C516" s="5" t="str">
        <f>IFERROR(VLOOKUP(B516,'Overall Bean Summary'!A$2:B$36,2,FALSE),"")</f>
        <v>Bad</v>
      </c>
      <c r="D516" s="6">
        <f t="shared" si="1"/>
        <v>0</v>
      </c>
      <c r="E516" s="6">
        <f t="shared" si="2"/>
        <v>7</v>
      </c>
      <c r="F516" s="5">
        <f t="shared" si="3"/>
        <v>1</v>
      </c>
      <c r="G516" s="5">
        <f t="shared" si="4"/>
        <v>1</v>
      </c>
      <c r="H516" s="5">
        <f t="shared" si="7"/>
        <v>5</v>
      </c>
      <c r="I516" s="6">
        <f t="shared" si="6"/>
        <v>446</v>
      </c>
      <c r="L516" s="5" t="s">
        <v>224</v>
      </c>
    </row>
    <row r="517">
      <c r="A517" s="1">
        <v>45233.0</v>
      </c>
      <c r="B517" s="5" t="s">
        <v>14</v>
      </c>
      <c r="C517" s="5" t="str">
        <f>IFERROR(VLOOKUP(B517,'Overall Bean Summary'!A$2:B$36,2,FALSE),"")</f>
        <v>Bad</v>
      </c>
      <c r="D517" s="6">
        <f t="shared" si="1"/>
        <v>0</v>
      </c>
      <c r="E517" s="6">
        <f t="shared" si="2"/>
        <v>8</v>
      </c>
      <c r="F517" s="5">
        <f t="shared" si="3"/>
        <v>2</v>
      </c>
      <c r="G517" s="5">
        <f t="shared" si="4"/>
        <v>2</v>
      </c>
      <c r="H517" s="5">
        <f t="shared" si="7"/>
        <v>6</v>
      </c>
      <c r="I517" s="6">
        <f t="shared" si="6"/>
        <v>447</v>
      </c>
    </row>
    <row r="518">
      <c r="A518" s="1">
        <v>45233.0</v>
      </c>
      <c r="B518" s="5" t="s">
        <v>58</v>
      </c>
      <c r="C518" s="5" t="str">
        <f>IFERROR(VLOOKUP(B518,'Overall Bean Summary'!A$2:B$36,2,FALSE),"")</f>
        <v>Bad</v>
      </c>
      <c r="D518" s="6">
        <f t="shared" si="1"/>
        <v>0</v>
      </c>
      <c r="E518" s="6">
        <f t="shared" si="2"/>
        <v>9</v>
      </c>
      <c r="F518" s="5">
        <f t="shared" si="3"/>
        <v>1</v>
      </c>
      <c r="G518" s="5">
        <f t="shared" si="4"/>
        <v>3</v>
      </c>
      <c r="H518" s="5">
        <f t="shared" si="7"/>
        <v>7</v>
      </c>
      <c r="I518" s="6">
        <f t="shared" si="6"/>
        <v>448</v>
      </c>
    </row>
    <row r="519">
      <c r="A519" s="1">
        <v>45233.0</v>
      </c>
      <c r="B519" s="5" t="s">
        <v>72</v>
      </c>
      <c r="C519" s="5" t="str">
        <f>IFERROR(VLOOKUP(B519,'Overall Bean Summary'!A$2:B$36,2,FALSE),"")</f>
        <v>Bad</v>
      </c>
      <c r="D519" s="6">
        <f t="shared" si="1"/>
        <v>0</v>
      </c>
      <c r="E519" s="6">
        <f t="shared" si="2"/>
        <v>10</v>
      </c>
      <c r="F519" s="5">
        <f t="shared" si="3"/>
        <v>1</v>
      </c>
      <c r="G519" s="5">
        <f t="shared" si="4"/>
        <v>4</v>
      </c>
      <c r="H519" s="5">
        <f t="shared" si="7"/>
        <v>8</v>
      </c>
      <c r="I519" s="6">
        <f t="shared" si="6"/>
        <v>449</v>
      </c>
    </row>
    <row r="520">
      <c r="A520" s="1">
        <v>45233.0</v>
      </c>
      <c r="B520" s="5" t="s">
        <v>29</v>
      </c>
      <c r="C520" s="5" t="str">
        <f>IFERROR(VLOOKUP(B520,'Overall Bean Summary'!A$2:B$36,2,FALSE),"")</f>
        <v>Good</v>
      </c>
      <c r="D520" s="6">
        <f t="shared" si="1"/>
        <v>1</v>
      </c>
      <c r="E520" s="6">
        <f t="shared" si="2"/>
        <v>0</v>
      </c>
      <c r="F520" s="5">
        <f t="shared" si="3"/>
        <v>1</v>
      </c>
      <c r="G520" s="5">
        <f t="shared" si="4"/>
        <v>5</v>
      </c>
      <c r="H520" s="5">
        <f t="shared" si="7"/>
        <v>9</v>
      </c>
      <c r="I520" s="6">
        <f t="shared" si="6"/>
        <v>450</v>
      </c>
    </row>
    <row r="521">
      <c r="A521" s="1">
        <v>45233.0</v>
      </c>
      <c r="B521" s="5" t="s">
        <v>53</v>
      </c>
      <c r="C521" s="5" t="str">
        <f>IFERROR(VLOOKUP(B521,'Overall Bean Summary'!A$2:B$36,2,FALSE),"")</f>
        <v>Good</v>
      </c>
      <c r="D521" s="6">
        <f t="shared" si="1"/>
        <v>2</v>
      </c>
      <c r="E521" s="6">
        <f t="shared" si="2"/>
        <v>0</v>
      </c>
      <c r="F521" s="5">
        <f t="shared" si="3"/>
        <v>1</v>
      </c>
      <c r="G521" s="5">
        <f t="shared" si="4"/>
        <v>6</v>
      </c>
      <c r="H521" s="5">
        <f t="shared" si="7"/>
        <v>10</v>
      </c>
      <c r="I521" s="6">
        <f t="shared" si="6"/>
        <v>451</v>
      </c>
    </row>
    <row r="522">
      <c r="A522" s="1">
        <v>45233.0</v>
      </c>
      <c r="B522" s="5" t="s">
        <v>14</v>
      </c>
      <c r="C522" s="5" t="str">
        <f>IFERROR(VLOOKUP(B522,'Overall Bean Summary'!A$2:B$36,2,FALSE),"")</f>
        <v>Bad</v>
      </c>
      <c r="D522" s="6">
        <f t="shared" si="1"/>
        <v>0</v>
      </c>
      <c r="E522" s="6">
        <f t="shared" si="2"/>
        <v>1</v>
      </c>
      <c r="F522" s="5">
        <f t="shared" si="3"/>
        <v>1</v>
      </c>
      <c r="G522" s="5">
        <f t="shared" si="4"/>
        <v>7</v>
      </c>
      <c r="H522" s="5">
        <f t="shared" si="7"/>
        <v>11</v>
      </c>
      <c r="I522" s="6">
        <f t="shared" si="6"/>
        <v>452</v>
      </c>
      <c r="M522" s="5" t="s">
        <v>16</v>
      </c>
      <c r="N522" s="5" t="s">
        <v>21</v>
      </c>
      <c r="O522" s="5" t="s">
        <v>16</v>
      </c>
      <c r="P522" s="5" t="s">
        <v>21</v>
      </c>
    </row>
    <row r="523">
      <c r="A523" s="1">
        <v>45233.0</v>
      </c>
      <c r="B523" s="5" t="s">
        <v>69</v>
      </c>
      <c r="C523" s="5" t="str">
        <f>IFERROR(VLOOKUP(B523,'Overall Bean Summary'!A$2:B$36,2,FALSE),"")</f>
        <v>Bad</v>
      </c>
      <c r="D523" s="6">
        <f t="shared" si="1"/>
        <v>0</v>
      </c>
      <c r="E523" s="6">
        <f t="shared" si="2"/>
        <v>2</v>
      </c>
      <c r="F523" s="5">
        <f t="shared" si="3"/>
        <v>1</v>
      </c>
      <c r="G523" s="5">
        <f t="shared" si="4"/>
        <v>8</v>
      </c>
      <c r="H523" s="5">
        <f t="shared" si="7"/>
        <v>12</v>
      </c>
      <c r="I523" s="6">
        <f t="shared" si="6"/>
        <v>453</v>
      </c>
      <c r="L523" s="5" t="s">
        <v>20</v>
      </c>
      <c r="M523" s="24">
        <f>COUNTIF(C523:C600, "Good")</f>
        <v>21</v>
      </c>
      <c r="N523" s="24">
        <f>COUNTIF(C523:C600, "Bad")</f>
        <v>57</v>
      </c>
      <c r="O523" s="25">
        <f>M523/(M523+N523)</f>
        <v>0.2692307692</v>
      </c>
      <c r="P523" s="25">
        <f>N523/(M523+N523)</f>
        <v>0.7307692308</v>
      </c>
    </row>
    <row r="524">
      <c r="A524" s="1">
        <v>45233.0</v>
      </c>
      <c r="B524" s="5" t="s">
        <v>48</v>
      </c>
      <c r="C524" s="5" t="str">
        <f>IFERROR(VLOOKUP(B524,'Overall Bean Summary'!A$2:B$36,2,FALSE),"")</f>
        <v>Bad</v>
      </c>
      <c r="D524" s="6">
        <f t="shared" si="1"/>
        <v>0</v>
      </c>
      <c r="E524" s="6">
        <f t="shared" si="2"/>
        <v>3</v>
      </c>
      <c r="F524" s="5">
        <f t="shared" si="3"/>
        <v>1</v>
      </c>
      <c r="G524" s="5">
        <f t="shared" si="4"/>
        <v>9</v>
      </c>
      <c r="H524" s="5">
        <f t="shared" si="7"/>
        <v>13</v>
      </c>
      <c r="I524" s="6">
        <f t="shared" si="6"/>
        <v>454</v>
      </c>
    </row>
    <row r="525">
      <c r="A525" s="1">
        <v>45236.0</v>
      </c>
      <c r="B525" s="5" t="s">
        <v>51</v>
      </c>
      <c r="C525" s="5" t="str">
        <f>IFERROR(VLOOKUP(B525,'Overall Bean Summary'!A$2:B$36,2,FALSE),"")</f>
        <v>Bad</v>
      </c>
      <c r="D525" s="6">
        <f t="shared" si="1"/>
        <v>0</v>
      </c>
      <c r="E525" s="6">
        <f t="shared" si="2"/>
        <v>4</v>
      </c>
      <c r="F525" s="5">
        <f t="shared" si="3"/>
        <v>1</v>
      </c>
      <c r="G525" s="5">
        <f t="shared" si="4"/>
        <v>1</v>
      </c>
      <c r="H525" s="5">
        <f t="shared" si="7"/>
        <v>14</v>
      </c>
      <c r="I525" s="6">
        <f t="shared" si="6"/>
        <v>455</v>
      </c>
    </row>
    <row r="526">
      <c r="A526" s="1">
        <v>45236.0</v>
      </c>
      <c r="B526" s="5" t="s">
        <v>51</v>
      </c>
      <c r="C526" s="5" t="str">
        <f>IFERROR(VLOOKUP(B526,'Overall Bean Summary'!A$2:B$36,2,FALSE),"")</f>
        <v>Bad</v>
      </c>
      <c r="D526" s="6">
        <f t="shared" si="1"/>
        <v>0</v>
      </c>
      <c r="E526" s="6">
        <f t="shared" si="2"/>
        <v>5</v>
      </c>
      <c r="F526" s="5">
        <f t="shared" si="3"/>
        <v>2</v>
      </c>
      <c r="G526" s="5">
        <f t="shared" si="4"/>
        <v>2</v>
      </c>
      <c r="H526" s="5">
        <f t="shared" si="7"/>
        <v>15</v>
      </c>
      <c r="I526" s="6">
        <f t="shared" si="6"/>
        <v>456</v>
      </c>
    </row>
    <row r="527">
      <c r="A527" s="1">
        <v>45236.0</v>
      </c>
      <c r="B527" s="5" t="s">
        <v>56</v>
      </c>
      <c r="C527" s="5" t="str">
        <f>IFERROR(VLOOKUP(B527,'Overall Bean Summary'!A$2:B$36,2,FALSE),"")</f>
        <v>Good</v>
      </c>
      <c r="D527" s="6">
        <f t="shared" si="1"/>
        <v>1</v>
      </c>
      <c r="E527" s="6">
        <f t="shared" si="2"/>
        <v>0</v>
      </c>
      <c r="F527" s="5">
        <f t="shared" si="3"/>
        <v>1</v>
      </c>
      <c r="G527" s="5">
        <f t="shared" si="4"/>
        <v>3</v>
      </c>
      <c r="H527" s="5">
        <f t="shared" si="7"/>
        <v>16</v>
      </c>
      <c r="I527" s="6">
        <f t="shared" si="6"/>
        <v>457</v>
      </c>
    </row>
    <row r="528">
      <c r="A528" s="1">
        <v>45243.0</v>
      </c>
      <c r="B528" s="5" t="s">
        <v>14</v>
      </c>
      <c r="C528" s="5" t="str">
        <f>IFERROR(VLOOKUP(B528,'Overall Bean Summary'!A$2:B$36,2,FALSE),"")</f>
        <v>Bad</v>
      </c>
      <c r="D528" s="6">
        <f t="shared" si="1"/>
        <v>0</v>
      </c>
      <c r="E528" s="6">
        <f t="shared" si="2"/>
        <v>1</v>
      </c>
      <c r="F528" s="5">
        <f t="shared" si="3"/>
        <v>1</v>
      </c>
      <c r="G528" s="5">
        <f t="shared" si="4"/>
        <v>1</v>
      </c>
      <c r="H528" s="5">
        <f t="shared" si="7"/>
        <v>17</v>
      </c>
      <c r="I528" s="6">
        <f t="shared" si="6"/>
        <v>458</v>
      </c>
      <c r="J528" s="36"/>
      <c r="K528" s="36" t="s">
        <v>225</v>
      </c>
      <c r="L528" s="37"/>
      <c r="M528" s="38">
        <f>COUNTIF(C528:C549, "Good")</f>
        <v>6</v>
      </c>
      <c r="N528" s="38">
        <f>COUNTIF(C528:C549, "Bad")</f>
        <v>16</v>
      </c>
      <c r="O528" s="39">
        <f>M528/(M528+N528)</f>
        <v>0.2727272727</v>
      </c>
      <c r="P528" s="39">
        <f>N528/(M528+N528)</f>
        <v>0.7272727273</v>
      </c>
    </row>
    <row r="529">
      <c r="A529" s="1">
        <v>45243.0</v>
      </c>
      <c r="B529" s="5" t="s">
        <v>51</v>
      </c>
      <c r="C529" s="5" t="str">
        <f>IFERROR(VLOOKUP(B529,'Overall Bean Summary'!A$2:B$36,2,FALSE),"")</f>
        <v>Bad</v>
      </c>
      <c r="D529" s="6">
        <f t="shared" si="1"/>
        <v>0</v>
      </c>
      <c r="E529" s="6">
        <f t="shared" si="2"/>
        <v>2</v>
      </c>
      <c r="F529" s="5">
        <f t="shared" si="3"/>
        <v>1</v>
      </c>
      <c r="G529" s="5">
        <f t="shared" si="4"/>
        <v>2</v>
      </c>
      <c r="H529" s="5">
        <f t="shared" si="7"/>
        <v>18</v>
      </c>
      <c r="I529" s="6">
        <f t="shared" si="6"/>
        <v>459</v>
      </c>
    </row>
    <row r="530">
      <c r="A530" s="1">
        <v>45243.0</v>
      </c>
      <c r="B530" s="5" t="s">
        <v>69</v>
      </c>
      <c r="C530" s="5" t="str">
        <f>IFERROR(VLOOKUP(B530,'Overall Bean Summary'!A$2:B$36,2,FALSE),"")</f>
        <v>Bad</v>
      </c>
      <c r="D530" s="6">
        <f t="shared" si="1"/>
        <v>0</v>
      </c>
      <c r="E530" s="6">
        <f t="shared" si="2"/>
        <v>3</v>
      </c>
      <c r="F530" s="5">
        <f t="shared" si="3"/>
        <v>1</v>
      </c>
      <c r="G530" s="5">
        <f t="shared" si="4"/>
        <v>3</v>
      </c>
      <c r="H530" s="5">
        <f t="shared" si="7"/>
        <v>19</v>
      </c>
      <c r="I530" s="6">
        <f t="shared" si="6"/>
        <v>460</v>
      </c>
    </row>
    <row r="531">
      <c r="A531" s="1">
        <v>45243.0</v>
      </c>
      <c r="B531" s="5" t="s">
        <v>63</v>
      </c>
      <c r="C531" s="5" t="str">
        <f>IFERROR(VLOOKUP(B531,'Overall Bean Summary'!A$2:B$36,2,FALSE),"")</f>
        <v>Bad</v>
      </c>
      <c r="D531" s="6">
        <f t="shared" si="1"/>
        <v>0</v>
      </c>
      <c r="E531" s="6">
        <f t="shared" si="2"/>
        <v>4</v>
      </c>
      <c r="F531" s="5">
        <f t="shared" si="3"/>
        <v>1</v>
      </c>
      <c r="G531" s="5">
        <f t="shared" si="4"/>
        <v>4</v>
      </c>
      <c r="H531" s="5">
        <f t="shared" si="7"/>
        <v>20</v>
      </c>
      <c r="I531" s="6">
        <f t="shared" si="6"/>
        <v>461</v>
      </c>
    </row>
    <row r="532">
      <c r="A532" s="1">
        <v>45243.0</v>
      </c>
      <c r="B532" s="5" t="s">
        <v>85</v>
      </c>
      <c r="C532" s="5" t="str">
        <f>IFERROR(VLOOKUP(B532,'Overall Bean Summary'!A$2:B$36,2,FALSE),"")</f>
        <v>Good</v>
      </c>
      <c r="D532" s="6">
        <f t="shared" si="1"/>
        <v>1</v>
      </c>
      <c r="E532" s="6">
        <f t="shared" si="2"/>
        <v>0</v>
      </c>
      <c r="F532" s="5">
        <f t="shared" si="3"/>
        <v>1</v>
      </c>
      <c r="G532" s="5">
        <f t="shared" si="4"/>
        <v>5</v>
      </c>
      <c r="H532" s="5">
        <f t="shared" si="7"/>
        <v>21</v>
      </c>
      <c r="I532" s="6">
        <f t="shared" si="6"/>
        <v>462</v>
      </c>
    </row>
    <row r="533">
      <c r="A533" s="1">
        <v>45243.0</v>
      </c>
      <c r="B533" s="5" t="s">
        <v>45</v>
      </c>
      <c r="C533" s="5" t="str">
        <f>IFERROR(VLOOKUP(B533,'Overall Bean Summary'!A$2:B$36,2,FALSE),"")</f>
        <v>Good</v>
      </c>
      <c r="D533" s="6">
        <f t="shared" si="1"/>
        <v>2</v>
      </c>
      <c r="E533" s="6">
        <f t="shared" si="2"/>
        <v>0</v>
      </c>
      <c r="F533" s="5">
        <f t="shared" si="3"/>
        <v>1</v>
      </c>
      <c r="G533" s="5">
        <f t="shared" si="4"/>
        <v>6</v>
      </c>
      <c r="H533" s="5">
        <f t="shared" si="7"/>
        <v>22</v>
      </c>
      <c r="I533" s="6">
        <f t="shared" si="6"/>
        <v>463</v>
      </c>
    </row>
    <row r="534">
      <c r="A534" s="1">
        <v>45243.0</v>
      </c>
      <c r="B534" s="5" t="s">
        <v>63</v>
      </c>
      <c r="C534" s="5" t="str">
        <f>IFERROR(VLOOKUP(B534,'Overall Bean Summary'!A$2:B$36,2,FALSE),"")</f>
        <v>Bad</v>
      </c>
      <c r="D534" s="6">
        <f t="shared" si="1"/>
        <v>0</v>
      </c>
      <c r="E534" s="6">
        <f t="shared" si="2"/>
        <v>1</v>
      </c>
      <c r="F534" s="5">
        <f t="shared" si="3"/>
        <v>1</v>
      </c>
      <c r="G534" s="5">
        <f t="shared" si="4"/>
        <v>7</v>
      </c>
      <c r="H534" s="5">
        <f t="shared" si="7"/>
        <v>23</v>
      </c>
      <c r="I534" s="6">
        <f t="shared" si="6"/>
        <v>464</v>
      </c>
    </row>
    <row r="535">
      <c r="A535" s="1">
        <v>45243.0</v>
      </c>
      <c r="B535" s="5" t="s">
        <v>44</v>
      </c>
      <c r="C535" s="5" t="str">
        <f>IFERROR(VLOOKUP(B535,'Overall Bean Summary'!A$2:B$36,2,FALSE),"")</f>
        <v>Good</v>
      </c>
      <c r="D535" s="6">
        <f t="shared" si="1"/>
        <v>1</v>
      </c>
      <c r="E535" s="6">
        <f t="shared" si="2"/>
        <v>0</v>
      </c>
      <c r="F535" s="5">
        <f t="shared" si="3"/>
        <v>1</v>
      </c>
      <c r="G535" s="5">
        <f t="shared" si="4"/>
        <v>8</v>
      </c>
      <c r="H535" s="5">
        <f t="shared" si="7"/>
        <v>24</v>
      </c>
      <c r="I535" s="6">
        <f t="shared" si="6"/>
        <v>465</v>
      </c>
    </row>
    <row r="536">
      <c r="A536" s="1">
        <v>45243.0</v>
      </c>
      <c r="B536" s="5" t="s">
        <v>53</v>
      </c>
      <c r="C536" s="5" t="str">
        <f>IFERROR(VLOOKUP(B536,'Overall Bean Summary'!A$2:B$36,2,FALSE),"")</f>
        <v>Good</v>
      </c>
      <c r="D536" s="6">
        <f t="shared" si="1"/>
        <v>2</v>
      </c>
      <c r="E536" s="6">
        <f t="shared" si="2"/>
        <v>0</v>
      </c>
      <c r="F536" s="5">
        <f t="shared" si="3"/>
        <v>1</v>
      </c>
      <c r="G536" s="5">
        <f t="shared" si="4"/>
        <v>9</v>
      </c>
      <c r="H536" s="5">
        <f t="shared" si="7"/>
        <v>25</v>
      </c>
      <c r="I536" s="6">
        <f t="shared" si="6"/>
        <v>466</v>
      </c>
    </row>
    <row r="537">
      <c r="A537" s="1">
        <v>45243.0</v>
      </c>
      <c r="B537" s="5" t="s">
        <v>72</v>
      </c>
      <c r="C537" s="5" t="str">
        <f>IFERROR(VLOOKUP(B537,'Overall Bean Summary'!A$2:B$36,2,FALSE),"")</f>
        <v>Bad</v>
      </c>
      <c r="D537" s="6">
        <f t="shared" si="1"/>
        <v>0</v>
      </c>
      <c r="E537" s="6">
        <f t="shared" si="2"/>
        <v>1</v>
      </c>
      <c r="F537" s="5">
        <f t="shared" si="3"/>
        <v>1</v>
      </c>
      <c r="G537" s="5">
        <f t="shared" si="4"/>
        <v>10</v>
      </c>
      <c r="H537" s="5">
        <f t="shared" si="7"/>
        <v>26</v>
      </c>
      <c r="I537" s="6">
        <f t="shared" si="6"/>
        <v>467</v>
      </c>
    </row>
    <row r="538">
      <c r="A538" s="1">
        <v>45243.0</v>
      </c>
      <c r="B538" s="5" t="s">
        <v>58</v>
      </c>
      <c r="C538" s="5" t="str">
        <f>IFERROR(VLOOKUP(B538,'Overall Bean Summary'!A$2:B$36,2,FALSE),"")</f>
        <v>Bad</v>
      </c>
      <c r="D538" s="6">
        <f t="shared" si="1"/>
        <v>0</v>
      </c>
      <c r="E538" s="6">
        <f t="shared" si="2"/>
        <v>2</v>
      </c>
      <c r="F538" s="5">
        <f t="shared" si="3"/>
        <v>1</v>
      </c>
      <c r="G538" s="5">
        <f t="shared" si="4"/>
        <v>11</v>
      </c>
      <c r="H538" s="5">
        <f t="shared" si="7"/>
        <v>27</v>
      </c>
      <c r="I538" s="6">
        <f t="shared" si="6"/>
        <v>468</v>
      </c>
    </row>
    <row r="539">
      <c r="A539" s="1">
        <v>45243.0</v>
      </c>
      <c r="B539" s="5" t="s">
        <v>80</v>
      </c>
      <c r="C539" s="5" t="str">
        <f>IFERROR(VLOOKUP(B539,'Overall Bean Summary'!A$2:B$36,2,FALSE),"")</f>
        <v>Bad</v>
      </c>
      <c r="D539" s="6">
        <f t="shared" si="1"/>
        <v>0</v>
      </c>
      <c r="E539" s="6">
        <f t="shared" si="2"/>
        <v>3</v>
      </c>
      <c r="F539" s="5">
        <f t="shared" si="3"/>
        <v>1</v>
      </c>
      <c r="G539" s="5">
        <f t="shared" si="4"/>
        <v>12</v>
      </c>
      <c r="H539" s="5">
        <f t="shared" si="7"/>
        <v>28</v>
      </c>
      <c r="I539" s="6">
        <f t="shared" si="6"/>
        <v>469</v>
      </c>
    </row>
    <row r="540">
      <c r="A540" s="1">
        <v>45243.0</v>
      </c>
      <c r="B540" s="5" t="s">
        <v>44</v>
      </c>
      <c r="C540" s="5" t="str">
        <f>IFERROR(VLOOKUP(B540,'Overall Bean Summary'!A$2:B$36,2,FALSE),"")</f>
        <v>Good</v>
      </c>
      <c r="D540" s="6">
        <f t="shared" si="1"/>
        <v>1</v>
      </c>
      <c r="E540" s="6">
        <f t="shared" si="2"/>
        <v>0</v>
      </c>
      <c r="F540" s="5">
        <f t="shared" si="3"/>
        <v>1</v>
      </c>
      <c r="G540" s="5">
        <f t="shared" si="4"/>
        <v>13</v>
      </c>
      <c r="H540" s="5">
        <f t="shared" si="7"/>
        <v>29</v>
      </c>
      <c r="I540" s="6">
        <f t="shared" si="6"/>
        <v>470</v>
      </c>
    </row>
    <row r="541">
      <c r="A541" s="1">
        <v>45243.0</v>
      </c>
      <c r="B541" s="5" t="s">
        <v>67</v>
      </c>
      <c r="C541" s="5" t="str">
        <f>IFERROR(VLOOKUP(B541,'Overall Bean Summary'!A$2:B$36,2,FALSE),"")</f>
        <v>Good</v>
      </c>
      <c r="D541" s="6">
        <f t="shared" si="1"/>
        <v>2</v>
      </c>
      <c r="E541" s="6">
        <f t="shared" si="2"/>
        <v>0</v>
      </c>
      <c r="F541" s="5">
        <f t="shared" si="3"/>
        <v>1</v>
      </c>
      <c r="G541" s="5">
        <f t="shared" si="4"/>
        <v>14</v>
      </c>
      <c r="H541" s="5">
        <f t="shared" si="7"/>
        <v>30</v>
      </c>
      <c r="I541" s="6">
        <f t="shared" si="6"/>
        <v>471</v>
      </c>
    </row>
    <row r="542">
      <c r="A542" s="1">
        <v>45243.0</v>
      </c>
      <c r="B542" s="5" t="s">
        <v>48</v>
      </c>
      <c r="C542" s="5" t="str">
        <f>IFERROR(VLOOKUP(B542,'Overall Bean Summary'!A$2:B$36,2,FALSE),"")</f>
        <v>Bad</v>
      </c>
      <c r="D542" s="6">
        <f t="shared" si="1"/>
        <v>0</v>
      </c>
      <c r="E542" s="6">
        <f t="shared" si="2"/>
        <v>1</v>
      </c>
      <c r="F542" s="5">
        <f t="shared" si="3"/>
        <v>1</v>
      </c>
      <c r="G542" s="5">
        <f t="shared" si="4"/>
        <v>15</v>
      </c>
      <c r="H542" s="5">
        <f t="shared" si="7"/>
        <v>31</v>
      </c>
      <c r="I542" s="6">
        <f t="shared" si="6"/>
        <v>472</v>
      </c>
    </row>
    <row r="543">
      <c r="A543" s="1">
        <v>45243.0</v>
      </c>
      <c r="B543" s="5" t="s">
        <v>80</v>
      </c>
      <c r="C543" s="5" t="str">
        <f>IFERROR(VLOOKUP(B543,'Overall Bean Summary'!A$2:B$36,2,FALSE),"")</f>
        <v>Bad</v>
      </c>
      <c r="D543" s="6">
        <f t="shared" si="1"/>
        <v>0</v>
      </c>
      <c r="E543" s="6">
        <f t="shared" si="2"/>
        <v>2</v>
      </c>
      <c r="F543" s="5">
        <f t="shared" si="3"/>
        <v>1</v>
      </c>
      <c r="G543" s="5">
        <f t="shared" si="4"/>
        <v>16</v>
      </c>
      <c r="H543" s="5">
        <f t="shared" si="7"/>
        <v>32</v>
      </c>
      <c r="I543" s="6">
        <f t="shared" si="6"/>
        <v>473</v>
      </c>
    </row>
    <row r="544">
      <c r="A544" s="1">
        <v>45243.0</v>
      </c>
      <c r="B544" s="5" t="s">
        <v>69</v>
      </c>
      <c r="C544" s="5" t="str">
        <f>IFERROR(VLOOKUP(B544,'Overall Bean Summary'!A$2:B$36,2,FALSE),"")</f>
        <v>Bad</v>
      </c>
      <c r="D544" s="6">
        <f t="shared" si="1"/>
        <v>0</v>
      </c>
      <c r="E544" s="6">
        <f t="shared" si="2"/>
        <v>3</v>
      </c>
      <c r="F544" s="5">
        <f t="shared" si="3"/>
        <v>1</v>
      </c>
      <c r="G544" s="5">
        <f t="shared" si="4"/>
        <v>17</v>
      </c>
      <c r="H544" s="5">
        <f t="shared" si="7"/>
        <v>33</v>
      </c>
      <c r="I544" s="6">
        <f t="shared" si="6"/>
        <v>474</v>
      </c>
    </row>
    <row r="545">
      <c r="A545" s="1">
        <v>45243.0</v>
      </c>
      <c r="B545" s="5" t="s">
        <v>51</v>
      </c>
      <c r="C545" s="5" t="str">
        <f>IFERROR(VLOOKUP(B545,'Overall Bean Summary'!A$2:B$36,2,FALSE),"")</f>
        <v>Bad</v>
      </c>
      <c r="D545" s="6">
        <f t="shared" si="1"/>
        <v>0</v>
      </c>
      <c r="E545" s="6">
        <f t="shared" si="2"/>
        <v>4</v>
      </c>
      <c r="F545" s="5">
        <f t="shared" si="3"/>
        <v>1</v>
      </c>
      <c r="G545" s="5">
        <f t="shared" si="4"/>
        <v>18</v>
      </c>
      <c r="H545" s="5">
        <f t="shared" si="7"/>
        <v>34</v>
      </c>
      <c r="I545" s="6">
        <f t="shared" si="6"/>
        <v>475</v>
      </c>
    </row>
    <row r="546">
      <c r="A546" s="1">
        <v>45243.0</v>
      </c>
      <c r="B546" s="5" t="s">
        <v>40</v>
      </c>
      <c r="C546" s="5" t="str">
        <f>IFERROR(VLOOKUP(B546,'Overall Bean Summary'!A$2:B$36,2,FALSE),"")</f>
        <v>Bad</v>
      </c>
      <c r="D546" s="6">
        <f t="shared" si="1"/>
        <v>0</v>
      </c>
      <c r="E546" s="6">
        <f t="shared" si="2"/>
        <v>5</v>
      </c>
      <c r="F546" s="5">
        <f t="shared" si="3"/>
        <v>1</v>
      </c>
      <c r="G546" s="5">
        <f t="shared" si="4"/>
        <v>19</v>
      </c>
      <c r="H546" s="5">
        <f t="shared" si="7"/>
        <v>35</v>
      </c>
      <c r="I546" s="6">
        <f t="shared" si="6"/>
        <v>476</v>
      </c>
    </row>
    <row r="547">
      <c r="A547" s="1">
        <v>45243.0</v>
      </c>
      <c r="B547" s="5" t="s">
        <v>51</v>
      </c>
      <c r="C547" s="5" t="str">
        <f>IFERROR(VLOOKUP(B547,'Overall Bean Summary'!A$2:B$36,2,FALSE),"")</f>
        <v>Bad</v>
      </c>
      <c r="D547" s="6">
        <f t="shared" si="1"/>
        <v>0</v>
      </c>
      <c r="E547" s="6">
        <f t="shared" si="2"/>
        <v>6</v>
      </c>
      <c r="F547" s="5">
        <f t="shared" si="3"/>
        <v>1</v>
      </c>
      <c r="G547" s="5">
        <f t="shared" si="4"/>
        <v>20</v>
      </c>
      <c r="H547" s="5">
        <f t="shared" si="7"/>
        <v>36</v>
      </c>
      <c r="I547" s="6">
        <f t="shared" si="6"/>
        <v>477</v>
      </c>
    </row>
    <row r="548">
      <c r="A548" s="1">
        <v>45243.0</v>
      </c>
      <c r="B548" s="5" t="s">
        <v>40</v>
      </c>
      <c r="C548" s="5" t="str">
        <f>IFERROR(VLOOKUP(B548,'Overall Bean Summary'!A$2:B$36,2,FALSE),"")</f>
        <v>Bad</v>
      </c>
      <c r="D548" s="6">
        <f t="shared" si="1"/>
        <v>0</v>
      </c>
      <c r="E548" s="6">
        <f t="shared" si="2"/>
        <v>7</v>
      </c>
      <c r="F548" s="5">
        <f t="shared" si="3"/>
        <v>1</v>
      </c>
      <c r="G548" s="5">
        <f t="shared" si="4"/>
        <v>21</v>
      </c>
      <c r="H548" s="5">
        <f t="shared" si="7"/>
        <v>37</v>
      </c>
      <c r="I548" s="6">
        <f t="shared" si="6"/>
        <v>478</v>
      </c>
    </row>
    <row r="549">
      <c r="A549" s="1">
        <v>45243.0</v>
      </c>
      <c r="B549" s="5" t="s">
        <v>58</v>
      </c>
      <c r="C549" s="5" t="str">
        <f>IFERROR(VLOOKUP(B549,'Overall Bean Summary'!A$2:B$36,2,FALSE),"")</f>
        <v>Bad</v>
      </c>
      <c r="D549" s="6">
        <f t="shared" si="1"/>
        <v>0</v>
      </c>
      <c r="E549" s="6">
        <f t="shared" si="2"/>
        <v>8</v>
      </c>
      <c r="F549" s="5">
        <f t="shared" si="3"/>
        <v>1</v>
      </c>
      <c r="G549" s="5">
        <f t="shared" si="4"/>
        <v>22</v>
      </c>
      <c r="H549" s="5">
        <f t="shared" si="7"/>
        <v>38</v>
      </c>
      <c r="I549" s="6">
        <f t="shared" si="6"/>
        <v>479</v>
      </c>
    </row>
    <row r="550">
      <c r="A550" s="1">
        <v>45244.0</v>
      </c>
      <c r="B550" s="5" t="s">
        <v>48</v>
      </c>
      <c r="C550" s="5" t="str">
        <f>IFERROR(VLOOKUP(B550,'Overall Bean Summary'!A$2:B$36,2,FALSE),"")</f>
        <v>Bad</v>
      </c>
      <c r="D550" s="6">
        <f t="shared" si="1"/>
        <v>0</v>
      </c>
      <c r="E550" s="6">
        <f t="shared" si="2"/>
        <v>9</v>
      </c>
      <c r="F550" s="5">
        <f t="shared" si="3"/>
        <v>1</v>
      </c>
      <c r="G550" s="5">
        <f t="shared" si="4"/>
        <v>1</v>
      </c>
      <c r="H550" s="5">
        <f t="shared" si="7"/>
        <v>39</v>
      </c>
      <c r="I550" s="6">
        <f t="shared" si="6"/>
        <v>480</v>
      </c>
    </row>
    <row r="551">
      <c r="A551" s="1">
        <v>45244.0</v>
      </c>
      <c r="B551" s="5" t="s">
        <v>95</v>
      </c>
      <c r="C551" s="5" t="str">
        <f>IFERROR(VLOOKUP(B551,'Overall Bean Summary'!A$2:B$36,2,FALSE),"")</f>
        <v>Good</v>
      </c>
      <c r="D551" s="6">
        <f t="shared" si="1"/>
        <v>1</v>
      </c>
      <c r="E551" s="6">
        <f t="shared" si="2"/>
        <v>0</v>
      </c>
      <c r="F551" s="5">
        <f t="shared" si="3"/>
        <v>1</v>
      </c>
      <c r="G551" s="5">
        <f t="shared" si="4"/>
        <v>2</v>
      </c>
      <c r="H551" s="5">
        <f t="shared" si="7"/>
        <v>40</v>
      </c>
      <c r="I551" s="6">
        <f t="shared" si="6"/>
        <v>481</v>
      </c>
    </row>
    <row r="552">
      <c r="A552" s="1">
        <v>45244.0</v>
      </c>
      <c r="B552" s="5" t="s">
        <v>41</v>
      </c>
      <c r="C552" s="5" t="str">
        <f>IFERROR(VLOOKUP(B552,'Overall Bean Summary'!A$2:B$36,2,FALSE),"")</f>
        <v>Bad</v>
      </c>
      <c r="D552" s="6">
        <f t="shared" si="1"/>
        <v>0</v>
      </c>
      <c r="E552" s="6">
        <f t="shared" si="2"/>
        <v>1</v>
      </c>
      <c r="F552" s="5">
        <f t="shared" si="3"/>
        <v>1</v>
      </c>
      <c r="G552" s="5">
        <f t="shared" si="4"/>
        <v>3</v>
      </c>
      <c r="H552" s="5">
        <f t="shared" si="7"/>
        <v>41</v>
      </c>
      <c r="I552" s="6">
        <f t="shared" si="6"/>
        <v>482</v>
      </c>
    </row>
    <row r="553">
      <c r="A553" s="1">
        <v>45244.0</v>
      </c>
      <c r="B553" s="5" t="s">
        <v>80</v>
      </c>
      <c r="C553" s="5" t="str">
        <f>IFERROR(VLOOKUP(B553,'Overall Bean Summary'!A$2:B$36,2,FALSE),"")</f>
        <v>Bad</v>
      </c>
      <c r="D553" s="6">
        <f t="shared" si="1"/>
        <v>0</v>
      </c>
      <c r="E553" s="6">
        <f t="shared" si="2"/>
        <v>2</v>
      </c>
      <c r="F553" s="5">
        <f t="shared" si="3"/>
        <v>1</v>
      </c>
      <c r="G553" s="5">
        <f t="shared" si="4"/>
        <v>4</v>
      </c>
      <c r="H553" s="5">
        <f t="shared" si="7"/>
        <v>42</v>
      </c>
      <c r="I553" s="6">
        <f t="shared" si="6"/>
        <v>483</v>
      </c>
    </row>
    <row r="554">
      <c r="A554" s="1">
        <v>45245.0</v>
      </c>
      <c r="B554" s="5" t="s">
        <v>14</v>
      </c>
      <c r="C554" s="5" t="str">
        <f>IFERROR(VLOOKUP(B554,'Overall Bean Summary'!A$2:B$36,2,FALSE),"")</f>
        <v>Bad</v>
      </c>
      <c r="D554" s="6">
        <f t="shared" si="1"/>
        <v>0</v>
      </c>
      <c r="E554" s="6">
        <f t="shared" si="2"/>
        <v>3</v>
      </c>
      <c r="F554" s="5">
        <f t="shared" si="3"/>
        <v>1</v>
      </c>
      <c r="G554" s="5">
        <f t="shared" si="4"/>
        <v>1</v>
      </c>
      <c r="H554" s="5">
        <f t="shared" si="7"/>
        <v>43</v>
      </c>
      <c r="I554" s="6">
        <f t="shared" si="6"/>
        <v>484</v>
      </c>
    </row>
    <row r="555">
      <c r="A555" s="1">
        <v>45247.0</v>
      </c>
      <c r="B555" s="5" t="s">
        <v>40</v>
      </c>
      <c r="C555" s="5" t="str">
        <f>IFERROR(VLOOKUP(B555,'Overall Bean Summary'!A$2:B$36,2,FALSE),"")</f>
        <v>Bad</v>
      </c>
      <c r="D555" s="6">
        <f t="shared" si="1"/>
        <v>0</v>
      </c>
      <c r="E555" s="6">
        <f t="shared" si="2"/>
        <v>4</v>
      </c>
      <c r="F555" s="5">
        <f t="shared" si="3"/>
        <v>1</v>
      </c>
      <c r="G555" s="5">
        <f t="shared" si="4"/>
        <v>1</v>
      </c>
      <c r="H555" s="5">
        <f t="shared" si="7"/>
        <v>44</v>
      </c>
      <c r="I555" s="6">
        <f t="shared" si="6"/>
        <v>485</v>
      </c>
    </row>
    <row r="556">
      <c r="A556" s="1">
        <v>45250.0</v>
      </c>
      <c r="B556" s="5" t="s">
        <v>48</v>
      </c>
      <c r="C556" s="5" t="str">
        <f>IFERROR(VLOOKUP(B556,'Overall Bean Summary'!A$2:B$36,2,FALSE),"")</f>
        <v>Bad</v>
      </c>
      <c r="D556" s="6">
        <f t="shared" si="1"/>
        <v>0</v>
      </c>
      <c r="E556" s="6">
        <f t="shared" si="2"/>
        <v>5</v>
      </c>
      <c r="F556" s="5">
        <f t="shared" si="3"/>
        <v>1</v>
      </c>
      <c r="G556" s="5">
        <f t="shared" si="4"/>
        <v>1</v>
      </c>
      <c r="H556" s="5">
        <f t="shared" si="7"/>
        <v>45</v>
      </c>
      <c r="I556" s="6">
        <f t="shared" si="6"/>
        <v>486</v>
      </c>
    </row>
    <row r="557">
      <c r="A557" s="1">
        <v>45250.0</v>
      </c>
      <c r="B557" s="5" t="s">
        <v>85</v>
      </c>
      <c r="C557" s="5" t="str">
        <f>IFERROR(VLOOKUP(B557,'Overall Bean Summary'!A$2:B$36,2,FALSE),"")</f>
        <v>Good</v>
      </c>
      <c r="D557" s="6">
        <f t="shared" si="1"/>
        <v>1</v>
      </c>
      <c r="E557" s="6">
        <f t="shared" si="2"/>
        <v>0</v>
      </c>
      <c r="F557" s="5">
        <f t="shared" si="3"/>
        <v>1</v>
      </c>
      <c r="G557" s="5">
        <f t="shared" si="4"/>
        <v>2</v>
      </c>
      <c r="H557" s="5">
        <f t="shared" si="7"/>
        <v>46</v>
      </c>
      <c r="I557" s="6">
        <f t="shared" si="6"/>
        <v>487</v>
      </c>
    </row>
    <row r="558">
      <c r="A558" s="1">
        <v>45251.0</v>
      </c>
      <c r="B558" s="5" t="s">
        <v>58</v>
      </c>
      <c r="C558" s="5" t="str">
        <f>IFERROR(VLOOKUP(B558,'Overall Bean Summary'!A$2:B$36,2,FALSE),"")</f>
        <v>Bad</v>
      </c>
      <c r="D558" s="6">
        <f t="shared" si="1"/>
        <v>0</v>
      </c>
      <c r="E558" s="6">
        <f t="shared" si="2"/>
        <v>1</v>
      </c>
      <c r="F558" s="5">
        <f t="shared" si="3"/>
        <v>1</v>
      </c>
      <c r="G558" s="5">
        <f t="shared" si="4"/>
        <v>1</v>
      </c>
      <c r="H558" s="5">
        <f t="shared" si="7"/>
        <v>47</v>
      </c>
      <c r="I558" s="6">
        <f t="shared" si="6"/>
        <v>488</v>
      </c>
    </row>
    <row r="559">
      <c r="A559" s="1">
        <v>45252.0</v>
      </c>
      <c r="B559" s="5" t="s">
        <v>45</v>
      </c>
      <c r="C559" s="5" t="str">
        <f>IFERROR(VLOOKUP(B559,'Overall Bean Summary'!A$2:B$36,2,FALSE),"")</f>
        <v>Good</v>
      </c>
      <c r="D559" s="6">
        <f t="shared" si="1"/>
        <v>1</v>
      </c>
      <c r="E559" s="6">
        <f t="shared" si="2"/>
        <v>0</v>
      </c>
      <c r="F559" s="5">
        <f t="shared" si="3"/>
        <v>1</v>
      </c>
      <c r="G559" s="5">
        <f t="shared" si="4"/>
        <v>1</v>
      </c>
      <c r="H559" s="5">
        <f t="shared" si="7"/>
        <v>48</v>
      </c>
      <c r="I559" s="6">
        <f t="shared" si="6"/>
        <v>489</v>
      </c>
    </row>
    <row r="560">
      <c r="A560" s="1">
        <v>45252.0</v>
      </c>
      <c r="B560" s="5" t="s">
        <v>41</v>
      </c>
      <c r="C560" s="5" t="str">
        <f>IFERROR(VLOOKUP(B560,'Overall Bean Summary'!A$2:B$36,2,FALSE),"")</f>
        <v>Bad</v>
      </c>
      <c r="D560" s="6">
        <f t="shared" si="1"/>
        <v>0</v>
      </c>
      <c r="E560" s="6">
        <f t="shared" si="2"/>
        <v>1</v>
      </c>
      <c r="F560" s="5">
        <f t="shared" si="3"/>
        <v>1</v>
      </c>
      <c r="G560" s="5">
        <f t="shared" si="4"/>
        <v>2</v>
      </c>
      <c r="H560" s="5">
        <f t="shared" si="7"/>
        <v>49</v>
      </c>
      <c r="I560" s="6">
        <f t="shared" si="6"/>
        <v>490</v>
      </c>
    </row>
    <row r="561">
      <c r="A561" s="1">
        <v>45252.0</v>
      </c>
      <c r="B561" s="5" t="s">
        <v>80</v>
      </c>
      <c r="C561" s="5" t="str">
        <f>IFERROR(VLOOKUP(B561,'Overall Bean Summary'!A$2:B$36,2,FALSE),"")</f>
        <v>Bad</v>
      </c>
      <c r="D561" s="6">
        <f t="shared" si="1"/>
        <v>0</v>
      </c>
      <c r="E561" s="6">
        <f t="shared" si="2"/>
        <v>2</v>
      </c>
      <c r="F561" s="5">
        <f t="shared" si="3"/>
        <v>1</v>
      </c>
      <c r="G561" s="5">
        <f t="shared" si="4"/>
        <v>3</v>
      </c>
      <c r="H561" s="5">
        <f t="shared" si="7"/>
        <v>50</v>
      </c>
      <c r="I561" s="6">
        <f t="shared" si="6"/>
        <v>491</v>
      </c>
    </row>
    <row r="562">
      <c r="A562" s="1">
        <v>45253.0</v>
      </c>
      <c r="B562" s="5" t="s">
        <v>14</v>
      </c>
      <c r="C562" s="5" t="str">
        <f>IFERROR(VLOOKUP(B562,'Overall Bean Summary'!A$2:B$36,2,FALSE),"")</f>
        <v>Bad</v>
      </c>
      <c r="D562" s="6">
        <f t="shared" si="1"/>
        <v>0</v>
      </c>
      <c r="E562" s="6">
        <f t="shared" si="2"/>
        <v>3</v>
      </c>
      <c r="F562" s="5">
        <f t="shared" si="3"/>
        <v>1</v>
      </c>
      <c r="G562" s="5">
        <f t="shared" si="4"/>
        <v>1</v>
      </c>
      <c r="H562" s="5">
        <f t="shared" si="7"/>
        <v>51</v>
      </c>
      <c r="I562" s="6">
        <f t="shared" si="6"/>
        <v>492</v>
      </c>
      <c r="L562" s="5" t="s">
        <v>227</v>
      </c>
    </row>
    <row r="563">
      <c r="A563" s="1">
        <v>45253.0</v>
      </c>
      <c r="B563" s="5" t="s">
        <v>40</v>
      </c>
      <c r="C563" s="5" t="str">
        <f>IFERROR(VLOOKUP(B563,'Overall Bean Summary'!A$2:B$36,2,FALSE),"")</f>
        <v>Bad</v>
      </c>
      <c r="D563" s="6">
        <f t="shared" si="1"/>
        <v>0</v>
      </c>
      <c r="E563" s="6">
        <f t="shared" si="2"/>
        <v>4</v>
      </c>
      <c r="F563" s="5">
        <f t="shared" si="3"/>
        <v>1</v>
      </c>
      <c r="G563" s="5">
        <f t="shared" si="4"/>
        <v>2</v>
      </c>
      <c r="H563" s="5">
        <f t="shared" si="7"/>
        <v>52</v>
      </c>
      <c r="I563" s="6">
        <f t="shared" si="6"/>
        <v>493</v>
      </c>
      <c r="L563" s="5" t="s">
        <v>228</v>
      </c>
    </row>
    <row r="564">
      <c r="A564" s="1">
        <v>45254.0</v>
      </c>
      <c r="B564" s="5" t="s">
        <v>80</v>
      </c>
      <c r="C564" s="5" t="str">
        <f>IFERROR(VLOOKUP(B564,'Overall Bean Summary'!A$2:B$36,2,FALSE),"")</f>
        <v>Bad</v>
      </c>
      <c r="D564" s="6">
        <f t="shared" si="1"/>
        <v>0</v>
      </c>
      <c r="E564" s="6">
        <f t="shared" si="2"/>
        <v>5</v>
      </c>
      <c r="F564" s="5">
        <f t="shared" si="3"/>
        <v>1</v>
      </c>
      <c r="G564" s="5">
        <f t="shared" si="4"/>
        <v>1</v>
      </c>
      <c r="H564" s="5">
        <f t="shared" si="7"/>
        <v>53</v>
      </c>
      <c r="I564" s="6">
        <f t="shared" si="6"/>
        <v>494</v>
      </c>
      <c r="L564" s="5" t="s">
        <v>229</v>
      </c>
    </row>
    <row r="565">
      <c r="A565" s="1">
        <v>45254.0</v>
      </c>
      <c r="B565" s="5" t="s">
        <v>63</v>
      </c>
      <c r="C565" s="5" t="str">
        <f>IFERROR(VLOOKUP(B565,'Overall Bean Summary'!A$2:B$36,2,FALSE),"")</f>
        <v>Bad</v>
      </c>
      <c r="D565" s="6">
        <f t="shared" si="1"/>
        <v>0</v>
      </c>
      <c r="E565" s="6">
        <f t="shared" si="2"/>
        <v>6</v>
      </c>
      <c r="F565" s="5">
        <f t="shared" si="3"/>
        <v>1</v>
      </c>
      <c r="G565" s="5">
        <f t="shared" si="4"/>
        <v>2</v>
      </c>
      <c r="H565" s="5">
        <f t="shared" si="7"/>
        <v>54</v>
      </c>
      <c r="I565" s="6">
        <f t="shared" si="6"/>
        <v>495</v>
      </c>
      <c r="L565" s="5" t="s">
        <v>229</v>
      </c>
    </row>
    <row r="566">
      <c r="A566" s="1">
        <v>45254.0</v>
      </c>
      <c r="B566" s="5" t="s">
        <v>67</v>
      </c>
      <c r="C566" s="5" t="str">
        <f>IFERROR(VLOOKUP(B566,'Overall Bean Summary'!A$2:B$36,2,FALSE),"")</f>
        <v>Good</v>
      </c>
      <c r="D566" s="6">
        <f t="shared" si="1"/>
        <v>1</v>
      </c>
      <c r="E566" s="6">
        <f t="shared" si="2"/>
        <v>0</v>
      </c>
      <c r="F566" s="5">
        <f t="shared" si="3"/>
        <v>1</v>
      </c>
      <c r="G566" s="5">
        <f t="shared" si="4"/>
        <v>3</v>
      </c>
      <c r="H566" s="5">
        <f t="shared" si="7"/>
        <v>55</v>
      </c>
      <c r="I566" s="6">
        <f t="shared" si="6"/>
        <v>496</v>
      </c>
      <c r="L566" s="5" t="s">
        <v>229</v>
      </c>
    </row>
    <row r="567">
      <c r="A567" s="1">
        <v>45257.0</v>
      </c>
      <c r="B567" s="5" t="s">
        <v>63</v>
      </c>
      <c r="C567" s="5" t="str">
        <f>IFERROR(VLOOKUP(B567,'Overall Bean Summary'!A$2:B$36,2,FALSE),"")</f>
        <v>Bad</v>
      </c>
      <c r="D567" s="6">
        <f t="shared" si="1"/>
        <v>0</v>
      </c>
      <c r="E567" s="6">
        <f t="shared" si="2"/>
        <v>1</v>
      </c>
      <c r="F567" s="5">
        <f t="shared" si="3"/>
        <v>1</v>
      </c>
      <c r="G567" s="5">
        <f t="shared" si="4"/>
        <v>1</v>
      </c>
      <c r="H567" s="5">
        <f t="shared" si="7"/>
        <v>56</v>
      </c>
      <c r="I567" s="6">
        <f t="shared" si="6"/>
        <v>497</v>
      </c>
      <c r="L567" s="5" t="s">
        <v>230</v>
      </c>
    </row>
    <row r="568">
      <c r="A568" s="1">
        <v>45257.0</v>
      </c>
      <c r="B568" s="5" t="s">
        <v>51</v>
      </c>
      <c r="C568" s="5" t="str">
        <f>IFERROR(VLOOKUP(B568,'Overall Bean Summary'!A$2:B$36,2,FALSE),"")</f>
        <v>Bad</v>
      </c>
      <c r="D568" s="6">
        <f t="shared" si="1"/>
        <v>0</v>
      </c>
      <c r="E568" s="6">
        <f t="shared" si="2"/>
        <v>2</v>
      </c>
      <c r="F568" s="5">
        <f t="shared" si="3"/>
        <v>1</v>
      </c>
      <c r="G568" s="5">
        <f t="shared" si="4"/>
        <v>2</v>
      </c>
      <c r="H568" s="5">
        <f t="shared" si="7"/>
        <v>57</v>
      </c>
      <c r="I568" s="6">
        <f t="shared" si="6"/>
        <v>498</v>
      </c>
    </row>
    <row r="569">
      <c r="A569" s="1">
        <v>45257.0</v>
      </c>
      <c r="B569" s="5" t="s">
        <v>48</v>
      </c>
      <c r="C569" s="5" t="str">
        <f>IFERROR(VLOOKUP(B569,'Overall Bean Summary'!A$2:B$36,2,FALSE),"")</f>
        <v>Bad</v>
      </c>
      <c r="D569" s="6">
        <f t="shared" si="1"/>
        <v>0</v>
      </c>
      <c r="E569" s="6">
        <f t="shared" si="2"/>
        <v>3</v>
      </c>
      <c r="F569" s="5">
        <f t="shared" si="3"/>
        <v>1</v>
      </c>
      <c r="G569" s="5">
        <f t="shared" si="4"/>
        <v>3</v>
      </c>
      <c r="H569" s="5">
        <f t="shared" si="7"/>
        <v>58</v>
      </c>
      <c r="I569" s="6">
        <f t="shared" si="6"/>
        <v>499</v>
      </c>
    </row>
    <row r="570">
      <c r="A570" s="1">
        <v>45258.0</v>
      </c>
      <c r="B570" s="5" t="s">
        <v>53</v>
      </c>
      <c r="C570" s="5" t="str">
        <f>IFERROR(VLOOKUP(B570,'Overall Bean Summary'!A$2:B$36,2,FALSE),"")</f>
        <v>Good</v>
      </c>
      <c r="D570" s="6">
        <f t="shared" si="1"/>
        <v>1</v>
      </c>
      <c r="E570" s="6">
        <f t="shared" si="2"/>
        <v>0</v>
      </c>
      <c r="F570" s="5">
        <f t="shared" si="3"/>
        <v>1</v>
      </c>
      <c r="G570" s="5">
        <f t="shared" si="4"/>
        <v>1</v>
      </c>
      <c r="H570" s="5">
        <f t="shared" si="7"/>
        <v>59</v>
      </c>
      <c r="I570" s="6">
        <f t="shared" si="6"/>
        <v>500</v>
      </c>
    </row>
    <row r="571">
      <c r="A571" s="1">
        <v>45258.0</v>
      </c>
      <c r="B571" s="5" t="s">
        <v>45</v>
      </c>
      <c r="C571" s="5" t="str">
        <f>IFERROR(VLOOKUP(B571,'Overall Bean Summary'!A$2:B$36,2,FALSE),"")</f>
        <v>Good</v>
      </c>
      <c r="D571" s="6">
        <f t="shared" si="1"/>
        <v>2</v>
      </c>
      <c r="E571" s="6">
        <f t="shared" si="2"/>
        <v>0</v>
      </c>
      <c r="F571" s="5">
        <f t="shared" si="3"/>
        <v>1</v>
      </c>
      <c r="G571" s="5">
        <f t="shared" si="4"/>
        <v>2</v>
      </c>
      <c r="H571" s="5">
        <f t="shared" si="7"/>
        <v>60</v>
      </c>
      <c r="I571" s="6">
        <f t="shared" si="6"/>
        <v>501</v>
      </c>
    </row>
    <row r="572">
      <c r="A572" s="1">
        <v>45258.0</v>
      </c>
      <c r="B572" s="5" t="s">
        <v>69</v>
      </c>
      <c r="C572" s="5" t="str">
        <f>IFERROR(VLOOKUP(B572,'Overall Bean Summary'!A$2:B$36,2,FALSE),"")</f>
        <v>Bad</v>
      </c>
      <c r="D572" s="6">
        <f t="shared" si="1"/>
        <v>0</v>
      </c>
      <c r="E572" s="6">
        <f t="shared" si="2"/>
        <v>1</v>
      </c>
      <c r="F572" s="5">
        <f t="shared" si="3"/>
        <v>1</v>
      </c>
      <c r="G572" s="5">
        <f t="shared" si="4"/>
        <v>3</v>
      </c>
      <c r="H572" s="5">
        <f t="shared" si="7"/>
        <v>61</v>
      </c>
      <c r="I572" s="6">
        <f t="shared" si="6"/>
        <v>502</v>
      </c>
    </row>
    <row r="573">
      <c r="A573" s="1">
        <v>45258.0</v>
      </c>
      <c r="B573" s="5" t="s">
        <v>63</v>
      </c>
      <c r="C573" s="5" t="str">
        <f>IFERROR(VLOOKUP(B573,'Overall Bean Summary'!A$2:B$36,2,FALSE),"")</f>
        <v>Bad</v>
      </c>
      <c r="D573" s="6">
        <f t="shared" si="1"/>
        <v>0</v>
      </c>
      <c r="E573" s="6">
        <f t="shared" si="2"/>
        <v>2</v>
      </c>
      <c r="F573" s="5">
        <f t="shared" si="3"/>
        <v>1</v>
      </c>
      <c r="G573" s="5">
        <f t="shared" si="4"/>
        <v>4</v>
      </c>
      <c r="H573" s="5">
        <f t="shared" si="7"/>
        <v>62</v>
      </c>
      <c r="I573" s="6">
        <f t="shared" si="6"/>
        <v>503</v>
      </c>
    </row>
    <row r="574">
      <c r="A574" s="1">
        <v>45259.0</v>
      </c>
      <c r="B574" s="5" t="s">
        <v>58</v>
      </c>
      <c r="C574" s="5" t="str">
        <f>IFERROR(VLOOKUP(B574,'Overall Bean Summary'!A$2:B$36,2,FALSE),"")</f>
        <v>Bad</v>
      </c>
      <c r="D574" s="6">
        <f t="shared" si="1"/>
        <v>0</v>
      </c>
      <c r="E574" s="6">
        <f t="shared" si="2"/>
        <v>3</v>
      </c>
      <c r="F574" s="5">
        <f t="shared" si="3"/>
        <v>1</v>
      </c>
      <c r="G574" s="5">
        <f t="shared" si="4"/>
        <v>1</v>
      </c>
      <c r="H574" s="5">
        <f t="shared" si="7"/>
        <v>63</v>
      </c>
      <c r="I574" s="6">
        <f t="shared" si="6"/>
        <v>504</v>
      </c>
      <c r="L574" s="5" t="s">
        <v>231</v>
      </c>
    </row>
    <row r="575">
      <c r="A575" s="1">
        <v>45259.0</v>
      </c>
      <c r="B575" s="5" t="s">
        <v>69</v>
      </c>
      <c r="C575" s="5" t="str">
        <f>IFERROR(VLOOKUP(B575,'Overall Bean Summary'!A$2:B$36,2,FALSE),"")</f>
        <v>Bad</v>
      </c>
      <c r="D575" s="6">
        <f t="shared" si="1"/>
        <v>0</v>
      </c>
      <c r="E575" s="6">
        <f t="shared" si="2"/>
        <v>4</v>
      </c>
      <c r="F575" s="5">
        <f t="shared" si="3"/>
        <v>1</v>
      </c>
      <c r="G575" s="5">
        <f t="shared" si="4"/>
        <v>2</v>
      </c>
      <c r="H575" s="5">
        <f t="shared" si="7"/>
        <v>64</v>
      </c>
      <c r="I575" s="6">
        <f t="shared" si="6"/>
        <v>505</v>
      </c>
      <c r="L575" s="5" t="s">
        <v>231</v>
      </c>
    </row>
    <row r="576">
      <c r="A576" s="1">
        <v>45259.0</v>
      </c>
      <c r="B576" s="5" t="s">
        <v>34</v>
      </c>
      <c r="C576" s="5" t="str">
        <f>IFERROR(VLOOKUP(B576,'Overall Bean Summary'!A$2:B$36,2,FALSE),"")</f>
        <v>Good</v>
      </c>
      <c r="D576" s="6">
        <f t="shared" si="1"/>
        <v>1</v>
      </c>
      <c r="E576" s="6">
        <f t="shared" si="2"/>
        <v>0</v>
      </c>
      <c r="F576" s="5">
        <f t="shared" si="3"/>
        <v>1</v>
      </c>
      <c r="G576" s="5">
        <f t="shared" si="4"/>
        <v>3</v>
      </c>
      <c r="H576" s="5">
        <f t="shared" si="7"/>
        <v>65</v>
      </c>
      <c r="I576" s="6">
        <f t="shared" si="6"/>
        <v>506</v>
      </c>
    </row>
    <row r="577">
      <c r="A577" s="1">
        <v>45260.0</v>
      </c>
      <c r="B577" s="5" t="s">
        <v>85</v>
      </c>
      <c r="C577" s="5" t="str">
        <f>IFERROR(VLOOKUP(B577,'Overall Bean Summary'!A$2:B$36,2,FALSE),"")</f>
        <v>Good</v>
      </c>
      <c r="D577" s="6">
        <f t="shared" si="1"/>
        <v>2</v>
      </c>
      <c r="E577" s="6">
        <f t="shared" si="2"/>
        <v>0</v>
      </c>
      <c r="F577" s="5">
        <f t="shared" si="3"/>
        <v>1</v>
      </c>
      <c r="G577" s="5">
        <f t="shared" si="4"/>
        <v>1</v>
      </c>
      <c r="H577" s="5">
        <f t="shared" si="7"/>
        <v>66</v>
      </c>
      <c r="I577" s="6">
        <f t="shared" si="6"/>
        <v>507</v>
      </c>
    </row>
    <row r="578">
      <c r="A578" s="1">
        <v>45260.0</v>
      </c>
      <c r="B578" s="5" t="s">
        <v>69</v>
      </c>
      <c r="C578" s="5" t="str">
        <f>IFERROR(VLOOKUP(B578,'Overall Bean Summary'!A$2:B$36,2,FALSE),"")</f>
        <v>Bad</v>
      </c>
      <c r="D578" s="6">
        <f t="shared" si="1"/>
        <v>0</v>
      </c>
      <c r="E578" s="6">
        <f t="shared" si="2"/>
        <v>1</v>
      </c>
      <c r="F578" s="5">
        <f t="shared" si="3"/>
        <v>1</v>
      </c>
      <c r="G578" s="5">
        <f t="shared" si="4"/>
        <v>2</v>
      </c>
      <c r="H578" s="5">
        <f t="shared" si="7"/>
        <v>67</v>
      </c>
      <c r="I578" s="6">
        <f t="shared" si="6"/>
        <v>508</v>
      </c>
      <c r="L578" s="5" t="s">
        <v>231</v>
      </c>
    </row>
    <row r="579">
      <c r="A579" s="1">
        <v>45260.0</v>
      </c>
      <c r="B579" s="5" t="s">
        <v>69</v>
      </c>
      <c r="C579" s="5" t="str">
        <f>IFERROR(VLOOKUP(B579,'Overall Bean Summary'!A$2:B$36,2,FALSE),"")</f>
        <v>Bad</v>
      </c>
      <c r="D579" s="6">
        <f t="shared" si="1"/>
        <v>0</v>
      </c>
      <c r="E579" s="6">
        <f t="shared" si="2"/>
        <v>2</v>
      </c>
      <c r="F579" s="5">
        <f t="shared" si="3"/>
        <v>2</v>
      </c>
      <c r="G579" s="5">
        <f t="shared" si="4"/>
        <v>3</v>
      </c>
      <c r="H579" s="5">
        <f t="shared" si="7"/>
        <v>68</v>
      </c>
      <c r="I579" s="6">
        <f t="shared" si="6"/>
        <v>509</v>
      </c>
      <c r="L579" s="5" t="s">
        <v>231</v>
      </c>
    </row>
    <row r="580">
      <c r="A580" s="1">
        <v>45260.0</v>
      </c>
      <c r="B580" s="5" t="s">
        <v>56</v>
      </c>
      <c r="C580" s="5" t="str">
        <f>IFERROR(VLOOKUP(B580,'Overall Bean Summary'!A$2:B$36,2,FALSE),"")</f>
        <v>Good</v>
      </c>
      <c r="D580" s="6">
        <f t="shared" si="1"/>
        <v>1</v>
      </c>
      <c r="E580" s="6">
        <f t="shared" si="2"/>
        <v>0</v>
      </c>
      <c r="F580" s="5">
        <f t="shared" si="3"/>
        <v>1</v>
      </c>
      <c r="G580" s="5">
        <f t="shared" si="4"/>
        <v>4</v>
      </c>
      <c r="H580" s="5">
        <f t="shared" si="7"/>
        <v>69</v>
      </c>
      <c r="I580" s="6">
        <f t="shared" si="6"/>
        <v>510</v>
      </c>
      <c r="L580" s="5" t="s">
        <v>231</v>
      </c>
    </row>
    <row r="581">
      <c r="A581" s="1">
        <v>45260.0</v>
      </c>
      <c r="B581" s="5" t="s">
        <v>34</v>
      </c>
      <c r="C581" s="5" t="str">
        <f>IFERROR(VLOOKUP(B581,'Overall Bean Summary'!A$2:B$36,2,FALSE),"")</f>
        <v>Good</v>
      </c>
      <c r="D581" s="6">
        <f t="shared" si="1"/>
        <v>2</v>
      </c>
      <c r="E581" s="6">
        <f t="shared" si="2"/>
        <v>0</v>
      </c>
      <c r="F581" s="5">
        <f t="shared" si="3"/>
        <v>1</v>
      </c>
      <c r="G581" s="5">
        <f t="shared" si="4"/>
        <v>5</v>
      </c>
      <c r="H581" s="5">
        <f t="shared" si="7"/>
        <v>70</v>
      </c>
      <c r="I581" s="6">
        <f t="shared" si="6"/>
        <v>511</v>
      </c>
    </row>
    <row r="582">
      <c r="A582" s="1">
        <v>45260.0</v>
      </c>
      <c r="B582" s="5" t="s">
        <v>63</v>
      </c>
      <c r="C582" s="5" t="str">
        <f>IFERROR(VLOOKUP(B582,'Overall Bean Summary'!A$2:B$36,2,FALSE),"")</f>
        <v>Bad</v>
      </c>
      <c r="D582" s="6">
        <f t="shared" si="1"/>
        <v>0</v>
      </c>
      <c r="E582" s="6">
        <f t="shared" si="2"/>
        <v>1</v>
      </c>
      <c r="F582" s="5">
        <f t="shared" si="3"/>
        <v>1</v>
      </c>
      <c r="G582" s="5">
        <f t="shared" si="4"/>
        <v>6</v>
      </c>
      <c r="H582" s="5">
        <f t="shared" si="7"/>
        <v>71</v>
      </c>
      <c r="I582" s="6">
        <f t="shared" si="6"/>
        <v>512</v>
      </c>
    </row>
    <row r="583">
      <c r="A583" s="1">
        <v>45260.0</v>
      </c>
      <c r="B583" s="5" t="s">
        <v>45</v>
      </c>
      <c r="C583" s="5" t="str">
        <f>IFERROR(VLOOKUP(B583,'Overall Bean Summary'!A$2:B$36,2,FALSE),"")</f>
        <v>Good</v>
      </c>
      <c r="D583" s="6">
        <f t="shared" si="1"/>
        <v>1</v>
      </c>
      <c r="E583" s="6">
        <f t="shared" si="2"/>
        <v>0</v>
      </c>
      <c r="F583" s="5">
        <f t="shared" si="3"/>
        <v>1</v>
      </c>
      <c r="G583" s="5">
        <f t="shared" si="4"/>
        <v>7</v>
      </c>
      <c r="H583" s="5">
        <f t="shared" si="7"/>
        <v>72</v>
      </c>
      <c r="I583" s="6">
        <f t="shared" si="6"/>
        <v>513</v>
      </c>
    </row>
    <row r="584">
      <c r="A584" s="1">
        <v>45260.0</v>
      </c>
      <c r="B584" s="5" t="s">
        <v>51</v>
      </c>
      <c r="C584" s="5" t="str">
        <f>IFERROR(VLOOKUP(B584,'Overall Bean Summary'!A$2:B$36,2,FALSE),"")</f>
        <v>Bad</v>
      </c>
      <c r="D584" s="6">
        <f t="shared" si="1"/>
        <v>0</v>
      </c>
      <c r="E584" s="6">
        <f t="shared" si="2"/>
        <v>1</v>
      </c>
      <c r="F584" s="5">
        <f t="shared" si="3"/>
        <v>1</v>
      </c>
      <c r="G584" s="5">
        <f t="shared" si="4"/>
        <v>8</v>
      </c>
      <c r="H584" s="5">
        <f t="shared" si="7"/>
        <v>73</v>
      </c>
      <c r="I584" s="6">
        <f t="shared" si="6"/>
        <v>514</v>
      </c>
    </row>
    <row r="585">
      <c r="A585" s="1">
        <v>45260.0</v>
      </c>
      <c r="B585" s="5" t="s">
        <v>67</v>
      </c>
      <c r="C585" s="5" t="str">
        <f>IFERROR(VLOOKUP(B585,'Overall Bean Summary'!A$2:B$36,2,FALSE),"")</f>
        <v>Good</v>
      </c>
      <c r="D585" s="6">
        <f t="shared" si="1"/>
        <v>1</v>
      </c>
      <c r="E585" s="6">
        <f t="shared" si="2"/>
        <v>0</v>
      </c>
      <c r="F585" s="5">
        <f t="shared" si="3"/>
        <v>1</v>
      </c>
      <c r="G585" s="5">
        <f t="shared" si="4"/>
        <v>9</v>
      </c>
      <c r="H585" s="5">
        <f t="shared" si="7"/>
        <v>74</v>
      </c>
      <c r="I585" s="6">
        <f t="shared" si="6"/>
        <v>515</v>
      </c>
    </row>
    <row r="586">
      <c r="A586" s="1">
        <v>45261.0</v>
      </c>
      <c r="B586" s="5" t="s">
        <v>48</v>
      </c>
      <c r="C586" s="5" t="str">
        <f>IFERROR(VLOOKUP(B586,'Overall Bean Summary'!A$2:B$36,2,FALSE),"")</f>
        <v>Bad</v>
      </c>
      <c r="D586" s="6">
        <f t="shared" si="1"/>
        <v>0</v>
      </c>
      <c r="E586" s="6">
        <f t="shared" si="2"/>
        <v>1</v>
      </c>
      <c r="F586" s="5">
        <f t="shared" si="3"/>
        <v>1</v>
      </c>
      <c r="G586" s="5">
        <f t="shared" si="4"/>
        <v>1</v>
      </c>
      <c r="H586" s="5">
        <f t="shared" si="7"/>
        <v>1</v>
      </c>
      <c r="I586" s="6">
        <f t="shared" si="6"/>
        <v>516</v>
      </c>
    </row>
    <row r="587">
      <c r="A587" s="1">
        <v>45264.0</v>
      </c>
      <c r="B587" s="5" t="s">
        <v>53</v>
      </c>
      <c r="C587" s="5" t="str">
        <f>IFERROR(VLOOKUP(B587,'Overall Bean Summary'!A$2:B$36,2,FALSE),"")</f>
        <v>Good</v>
      </c>
      <c r="D587" s="6">
        <f t="shared" si="1"/>
        <v>1</v>
      </c>
      <c r="E587" s="6">
        <f t="shared" si="2"/>
        <v>0</v>
      </c>
      <c r="F587" s="5">
        <f t="shared" si="3"/>
        <v>1</v>
      </c>
      <c r="G587" s="5">
        <f t="shared" si="4"/>
        <v>1</v>
      </c>
      <c r="H587" s="5">
        <f t="shared" si="7"/>
        <v>2</v>
      </c>
      <c r="I587" s="6">
        <f t="shared" si="6"/>
        <v>517</v>
      </c>
    </row>
    <row r="588">
      <c r="A588" s="1">
        <v>45265.0</v>
      </c>
      <c r="B588" s="5" t="s">
        <v>72</v>
      </c>
      <c r="C588" s="5" t="str">
        <f>IFERROR(VLOOKUP(B588,'Overall Bean Summary'!A$2:B$36,2,FALSE),"")</f>
        <v>Bad</v>
      </c>
      <c r="D588" s="6">
        <f t="shared" si="1"/>
        <v>0</v>
      </c>
      <c r="E588" s="6">
        <f t="shared" si="2"/>
        <v>1</v>
      </c>
      <c r="F588" s="5">
        <f t="shared" si="3"/>
        <v>1</v>
      </c>
      <c r="G588" s="5">
        <f t="shared" si="4"/>
        <v>1</v>
      </c>
      <c r="H588" s="5">
        <f t="shared" si="7"/>
        <v>3</v>
      </c>
      <c r="I588" s="6">
        <f t="shared" si="6"/>
        <v>518</v>
      </c>
    </row>
    <row r="589">
      <c r="A589" s="1">
        <v>45265.0</v>
      </c>
      <c r="B589" s="5" t="s">
        <v>40</v>
      </c>
      <c r="C589" s="5" t="str">
        <f>IFERROR(VLOOKUP(B589,'Overall Bean Summary'!A$2:B$36,2,FALSE),"")</f>
        <v>Bad</v>
      </c>
      <c r="D589" s="6">
        <f t="shared" si="1"/>
        <v>0</v>
      </c>
      <c r="E589" s="6">
        <f t="shared" si="2"/>
        <v>2</v>
      </c>
      <c r="F589" s="5">
        <f t="shared" si="3"/>
        <v>1</v>
      </c>
      <c r="G589" s="5">
        <f t="shared" si="4"/>
        <v>2</v>
      </c>
      <c r="H589" s="5">
        <f t="shared" si="7"/>
        <v>4</v>
      </c>
      <c r="I589" s="6">
        <f t="shared" si="6"/>
        <v>519</v>
      </c>
    </row>
    <row r="590">
      <c r="A590" s="1">
        <v>45265.0</v>
      </c>
      <c r="B590" s="5" t="s">
        <v>80</v>
      </c>
      <c r="C590" s="5" t="str">
        <f>IFERROR(VLOOKUP(B590,'Overall Bean Summary'!A$2:B$36,2,FALSE),"")</f>
        <v>Bad</v>
      </c>
      <c r="D590" s="6">
        <f t="shared" si="1"/>
        <v>0</v>
      </c>
      <c r="E590" s="6">
        <f t="shared" si="2"/>
        <v>3</v>
      </c>
      <c r="F590" s="5">
        <f t="shared" si="3"/>
        <v>1</v>
      </c>
      <c r="G590" s="5">
        <f t="shared" si="4"/>
        <v>3</v>
      </c>
      <c r="H590" s="5">
        <f t="shared" si="7"/>
        <v>5</v>
      </c>
      <c r="I590" s="6">
        <f t="shared" si="6"/>
        <v>520</v>
      </c>
    </row>
    <row r="591">
      <c r="A591" s="1">
        <v>45265.0</v>
      </c>
      <c r="B591" s="5" t="s">
        <v>51</v>
      </c>
      <c r="C591" s="5" t="str">
        <f>IFERROR(VLOOKUP(B591,'Overall Bean Summary'!A$2:B$36,2,FALSE),"")</f>
        <v>Bad</v>
      </c>
      <c r="D591" s="6">
        <f t="shared" si="1"/>
        <v>0</v>
      </c>
      <c r="E591" s="6">
        <f t="shared" si="2"/>
        <v>4</v>
      </c>
      <c r="F591" s="5">
        <f t="shared" si="3"/>
        <v>1</v>
      </c>
      <c r="G591" s="5">
        <f t="shared" si="4"/>
        <v>4</v>
      </c>
      <c r="H591" s="5">
        <f t="shared" si="7"/>
        <v>6</v>
      </c>
      <c r="I591" s="6">
        <f t="shared" si="6"/>
        <v>521</v>
      </c>
    </row>
    <row r="592">
      <c r="A592" s="1">
        <v>45265.0</v>
      </c>
      <c r="B592" s="5" t="s">
        <v>63</v>
      </c>
      <c r="C592" s="5" t="str">
        <f>IFERROR(VLOOKUP(B592,'Overall Bean Summary'!A$2:B$36,2,FALSE),"")</f>
        <v>Bad</v>
      </c>
      <c r="D592" s="6">
        <f t="shared" si="1"/>
        <v>0</v>
      </c>
      <c r="E592" s="6">
        <f t="shared" si="2"/>
        <v>5</v>
      </c>
      <c r="F592" s="5">
        <f t="shared" si="3"/>
        <v>1</v>
      </c>
      <c r="G592" s="5">
        <f t="shared" si="4"/>
        <v>5</v>
      </c>
      <c r="H592" s="5">
        <f t="shared" si="7"/>
        <v>7</v>
      </c>
      <c r="I592" s="6">
        <f t="shared" si="6"/>
        <v>522</v>
      </c>
    </row>
    <row r="593">
      <c r="A593" s="1">
        <v>45265.0</v>
      </c>
      <c r="B593" s="5" t="s">
        <v>58</v>
      </c>
      <c r="C593" s="5" t="str">
        <f>IFERROR(VLOOKUP(B593,'Overall Bean Summary'!A$2:B$36,2,FALSE),"")</f>
        <v>Bad</v>
      </c>
      <c r="D593" s="6">
        <f t="shared" si="1"/>
        <v>0</v>
      </c>
      <c r="E593" s="6">
        <f t="shared" si="2"/>
        <v>6</v>
      </c>
      <c r="F593" s="5">
        <f t="shared" si="3"/>
        <v>1</v>
      </c>
      <c r="G593" s="5">
        <f t="shared" si="4"/>
        <v>6</v>
      </c>
      <c r="H593" s="5">
        <f t="shared" si="7"/>
        <v>8</v>
      </c>
      <c r="I593" s="6">
        <f t="shared" si="6"/>
        <v>523</v>
      </c>
    </row>
    <row r="594">
      <c r="A594" s="1">
        <v>45265.0</v>
      </c>
      <c r="B594" s="5" t="s">
        <v>40</v>
      </c>
      <c r="C594" s="5" t="str">
        <f>IFERROR(VLOOKUP(B594,'Overall Bean Summary'!A$2:B$36,2,FALSE),"")</f>
        <v>Bad</v>
      </c>
      <c r="D594" s="6">
        <f t="shared" si="1"/>
        <v>0</v>
      </c>
      <c r="E594" s="6">
        <f t="shared" si="2"/>
        <v>7</v>
      </c>
      <c r="F594" s="5">
        <f t="shared" si="3"/>
        <v>1</v>
      </c>
      <c r="G594" s="5">
        <f t="shared" si="4"/>
        <v>7</v>
      </c>
      <c r="H594" s="5">
        <f t="shared" si="7"/>
        <v>9</v>
      </c>
      <c r="I594" s="6">
        <f t="shared" si="6"/>
        <v>524</v>
      </c>
    </row>
    <row r="595">
      <c r="A595" s="1">
        <v>45266.0</v>
      </c>
      <c r="B595" s="5" t="s">
        <v>40</v>
      </c>
      <c r="C595" s="5" t="str">
        <f>IFERROR(VLOOKUP(B595,'Overall Bean Summary'!A$2:B$36,2,FALSE),"")</f>
        <v>Bad</v>
      </c>
      <c r="D595" s="6">
        <f t="shared" si="1"/>
        <v>0</v>
      </c>
      <c r="E595" s="6">
        <f t="shared" si="2"/>
        <v>8</v>
      </c>
      <c r="F595" s="5">
        <f t="shared" si="3"/>
        <v>2</v>
      </c>
      <c r="G595" s="5">
        <f t="shared" si="4"/>
        <v>1</v>
      </c>
      <c r="H595" s="5">
        <f t="shared" si="7"/>
        <v>10</v>
      </c>
      <c r="I595" s="6">
        <f t="shared" si="6"/>
        <v>525</v>
      </c>
    </row>
    <row r="596">
      <c r="A596" s="1">
        <v>45266.0</v>
      </c>
      <c r="B596" s="5" t="s">
        <v>80</v>
      </c>
      <c r="C596" s="5" t="str">
        <f>IFERROR(VLOOKUP(B596,'Overall Bean Summary'!A$2:B$36,2,FALSE),"")</f>
        <v>Bad</v>
      </c>
      <c r="D596" s="6">
        <f t="shared" si="1"/>
        <v>0</v>
      </c>
      <c r="E596" s="6">
        <f t="shared" si="2"/>
        <v>9</v>
      </c>
      <c r="F596" s="5">
        <f t="shared" si="3"/>
        <v>1</v>
      </c>
      <c r="G596" s="5">
        <f t="shared" si="4"/>
        <v>2</v>
      </c>
      <c r="H596" s="5">
        <f t="shared" si="7"/>
        <v>11</v>
      </c>
      <c r="I596" s="6">
        <f t="shared" si="6"/>
        <v>526</v>
      </c>
    </row>
    <row r="597">
      <c r="A597" s="1">
        <v>45266.0</v>
      </c>
      <c r="B597" s="5" t="s">
        <v>58</v>
      </c>
      <c r="C597" s="5" t="str">
        <f>IFERROR(VLOOKUP(B597,'Overall Bean Summary'!A$2:B$36,2,FALSE),"")</f>
        <v>Bad</v>
      </c>
      <c r="D597" s="6">
        <f t="shared" si="1"/>
        <v>0</v>
      </c>
      <c r="E597" s="6">
        <f t="shared" si="2"/>
        <v>10</v>
      </c>
      <c r="F597" s="5">
        <f t="shared" si="3"/>
        <v>1</v>
      </c>
      <c r="G597" s="5">
        <f t="shared" si="4"/>
        <v>3</v>
      </c>
      <c r="H597" s="5">
        <f t="shared" si="7"/>
        <v>12</v>
      </c>
      <c r="I597" s="6">
        <f t="shared" si="6"/>
        <v>527</v>
      </c>
    </row>
    <row r="598">
      <c r="A598" s="1">
        <v>45266.0</v>
      </c>
      <c r="B598" s="5" t="s">
        <v>14</v>
      </c>
      <c r="C598" s="5" t="str">
        <f>IFERROR(VLOOKUP(B598,'Overall Bean Summary'!A$2:B$36,2,FALSE),"")</f>
        <v>Bad</v>
      </c>
      <c r="D598" s="6">
        <f t="shared" si="1"/>
        <v>0</v>
      </c>
      <c r="E598" s="6">
        <f t="shared" si="2"/>
        <v>11</v>
      </c>
      <c r="F598" s="5">
        <f t="shared" si="3"/>
        <v>1</v>
      </c>
      <c r="G598" s="5">
        <f t="shared" si="4"/>
        <v>4</v>
      </c>
      <c r="H598" s="5">
        <f t="shared" si="7"/>
        <v>13</v>
      </c>
      <c r="I598" s="6">
        <f t="shared" si="6"/>
        <v>528</v>
      </c>
    </row>
    <row r="599">
      <c r="A599" s="1">
        <v>45266.0</v>
      </c>
      <c r="B599" s="5" t="s">
        <v>40</v>
      </c>
      <c r="C599" s="5" t="str">
        <f>IFERROR(VLOOKUP(B599,'Overall Bean Summary'!A$2:B$36,2,FALSE),"")</f>
        <v>Bad</v>
      </c>
      <c r="D599" s="6">
        <f t="shared" si="1"/>
        <v>0</v>
      </c>
      <c r="E599" s="6">
        <f t="shared" si="2"/>
        <v>12</v>
      </c>
      <c r="F599" s="5">
        <f t="shared" si="3"/>
        <v>1</v>
      </c>
      <c r="G599" s="5">
        <f t="shared" si="4"/>
        <v>5</v>
      </c>
      <c r="H599" s="5">
        <f t="shared" si="7"/>
        <v>14</v>
      </c>
      <c r="I599" s="6">
        <f t="shared" si="6"/>
        <v>529</v>
      </c>
    </row>
    <row r="600">
      <c r="A600" s="1">
        <v>45266.0</v>
      </c>
      <c r="B600" s="5" t="s">
        <v>67</v>
      </c>
      <c r="C600" s="5" t="str">
        <f>IFERROR(VLOOKUP(B600,'Overall Bean Summary'!A$2:B$36,2,FALSE),"")</f>
        <v>Good</v>
      </c>
      <c r="D600" s="6">
        <f t="shared" si="1"/>
        <v>1</v>
      </c>
      <c r="E600" s="6">
        <f t="shared" si="2"/>
        <v>0</v>
      </c>
      <c r="F600" s="5">
        <f t="shared" si="3"/>
        <v>1</v>
      </c>
      <c r="G600" s="5">
        <f t="shared" si="4"/>
        <v>6</v>
      </c>
      <c r="H600" s="5">
        <f t="shared" si="7"/>
        <v>15</v>
      </c>
      <c r="I600" s="6">
        <f t="shared" si="6"/>
        <v>530</v>
      </c>
      <c r="M600" s="5" t="s">
        <v>16</v>
      </c>
      <c r="N600" s="5" t="s">
        <v>21</v>
      </c>
      <c r="O600" s="5" t="s">
        <v>16</v>
      </c>
      <c r="P600" s="5" t="s">
        <v>21</v>
      </c>
    </row>
    <row r="601">
      <c r="A601" s="1">
        <v>45266.0</v>
      </c>
      <c r="B601" s="5" t="s">
        <v>95</v>
      </c>
      <c r="C601" s="5" t="str">
        <f>IFERROR(VLOOKUP(B601,'Overall Bean Summary'!A$2:B$36,2,FALSE),"")</f>
        <v>Good</v>
      </c>
      <c r="D601" s="6">
        <f t="shared" si="1"/>
        <v>2</v>
      </c>
      <c r="E601" s="6">
        <f t="shared" si="2"/>
        <v>0</v>
      </c>
      <c r="F601" s="5">
        <f t="shared" si="3"/>
        <v>1</v>
      </c>
      <c r="G601" s="5">
        <f t="shared" si="4"/>
        <v>7</v>
      </c>
      <c r="H601" s="5">
        <f t="shared" si="7"/>
        <v>16</v>
      </c>
      <c r="I601" s="6">
        <f t="shared" si="6"/>
        <v>531</v>
      </c>
      <c r="L601" s="5" t="s">
        <v>20</v>
      </c>
      <c r="M601" s="24">
        <f>COUNTIF(C601:C683, "Good")</f>
        <v>21</v>
      </c>
      <c r="N601" s="24">
        <f>COUNTIF(C601:C683, "Bad")</f>
        <v>62</v>
      </c>
      <c r="O601" s="25">
        <f>M601/(M601+N601)</f>
        <v>0.2530120482</v>
      </c>
      <c r="P601" s="25">
        <f>N601/(M601+N601)</f>
        <v>0.7469879518</v>
      </c>
    </row>
    <row r="602">
      <c r="A602" s="1">
        <v>45267.0</v>
      </c>
      <c r="B602" s="5" t="s">
        <v>51</v>
      </c>
      <c r="C602" s="5" t="str">
        <f>IFERROR(VLOOKUP(B602,'Overall Bean Summary'!A$2:B$36,2,FALSE),"")</f>
        <v>Bad</v>
      </c>
      <c r="D602" s="6">
        <f t="shared" si="1"/>
        <v>0</v>
      </c>
      <c r="E602" s="6">
        <f t="shared" si="2"/>
        <v>1</v>
      </c>
      <c r="F602" s="5">
        <f t="shared" si="3"/>
        <v>1</v>
      </c>
      <c r="G602" s="5">
        <f t="shared" si="4"/>
        <v>1</v>
      </c>
      <c r="H602" s="5">
        <f t="shared" si="7"/>
        <v>17</v>
      </c>
      <c r="I602" s="6">
        <f t="shared" si="6"/>
        <v>532</v>
      </c>
    </row>
    <row r="603">
      <c r="A603" s="1">
        <v>45268.0</v>
      </c>
      <c r="B603" s="5" t="s">
        <v>56</v>
      </c>
      <c r="C603" s="5" t="str">
        <f>IFERROR(VLOOKUP(B603,'Overall Bean Summary'!A$2:B$36,2,FALSE),"")</f>
        <v>Good</v>
      </c>
      <c r="D603" s="6">
        <f t="shared" si="1"/>
        <v>1</v>
      </c>
      <c r="E603" s="6">
        <f t="shared" si="2"/>
        <v>0</v>
      </c>
      <c r="F603" s="5">
        <f t="shared" si="3"/>
        <v>1</v>
      </c>
      <c r="G603" s="5">
        <f t="shared" si="4"/>
        <v>1</v>
      </c>
      <c r="H603" s="5">
        <f t="shared" si="7"/>
        <v>18</v>
      </c>
      <c r="I603" s="6">
        <f t="shared" si="6"/>
        <v>533</v>
      </c>
    </row>
    <row r="604">
      <c r="A604" s="1">
        <v>45271.0</v>
      </c>
      <c r="B604" s="5" t="s">
        <v>69</v>
      </c>
      <c r="C604" s="5" t="str">
        <f>IFERROR(VLOOKUP(B604,'Overall Bean Summary'!A$2:B$36,2,FALSE),"")</f>
        <v>Bad</v>
      </c>
      <c r="D604" s="6">
        <f t="shared" si="1"/>
        <v>0</v>
      </c>
      <c r="E604" s="6">
        <f t="shared" si="2"/>
        <v>1</v>
      </c>
      <c r="F604" s="5">
        <f t="shared" si="3"/>
        <v>1</v>
      </c>
      <c r="G604" s="5">
        <f t="shared" si="4"/>
        <v>1</v>
      </c>
      <c r="H604" s="5">
        <f t="shared" si="7"/>
        <v>19</v>
      </c>
      <c r="I604" s="6">
        <f t="shared" si="6"/>
        <v>534</v>
      </c>
    </row>
    <row r="605">
      <c r="A605" s="1">
        <v>45272.0</v>
      </c>
      <c r="B605" s="5" t="s">
        <v>67</v>
      </c>
      <c r="C605" s="5" t="str">
        <f>IFERROR(VLOOKUP(B605,'Overall Bean Summary'!A$2:B$36,2,FALSE),"")</f>
        <v>Good</v>
      </c>
      <c r="D605" s="6">
        <f t="shared" si="1"/>
        <v>1</v>
      </c>
      <c r="E605" s="6">
        <f t="shared" si="2"/>
        <v>0</v>
      </c>
      <c r="F605" s="5">
        <f t="shared" si="3"/>
        <v>1</v>
      </c>
      <c r="G605" s="5">
        <f t="shared" si="4"/>
        <v>1</v>
      </c>
      <c r="H605" s="5">
        <f t="shared" si="7"/>
        <v>20</v>
      </c>
      <c r="I605" s="6">
        <f t="shared" si="6"/>
        <v>535</v>
      </c>
    </row>
    <row r="606">
      <c r="A606" s="1">
        <v>45273.0</v>
      </c>
      <c r="B606" s="5" t="s">
        <v>29</v>
      </c>
      <c r="C606" s="5" t="str">
        <f>IFERROR(VLOOKUP(B606,'Overall Bean Summary'!A$2:B$36,2,FALSE),"")</f>
        <v>Good</v>
      </c>
      <c r="D606" s="6">
        <f t="shared" si="1"/>
        <v>2</v>
      </c>
      <c r="E606" s="6">
        <f t="shared" si="2"/>
        <v>0</v>
      </c>
      <c r="F606" s="5">
        <f t="shared" si="3"/>
        <v>1</v>
      </c>
      <c r="G606" s="5">
        <f t="shared" si="4"/>
        <v>1</v>
      </c>
      <c r="H606" s="5">
        <f t="shared" si="7"/>
        <v>21</v>
      </c>
      <c r="I606" s="6">
        <f t="shared" si="6"/>
        <v>536</v>
      </c>
    </row>
    <row r="607">
      <c r="A607" s="1">
        <v>45273.0</v>
      </c>
      <c r="B607" s="5" t="s">
        <v>56</v>
      </c>
      <c r="C607" s="5" t="str">
        <f>IFERROR(VLOOKUP(B607,'Overall Bean Summary'!A$2:B$36,2,FALSE),"")</f>
        <v>Good</v>
      </c>
      <c r="D607" s="6">
        <f t="shared" si="1"/>
        <v>3</v>
      </c>
      <c r="E607" s="6">
        <f t="shared" si="2"/>
        <v>0</v>
      </c>
      <c r="F607" s="5">
        <f t="shared" si="3"/>
        <v>1</v>
      </c>
      <c r="G607" s="5">
        <f t="shared" si="4"/>
        <v>2</v>
      </c>
      <c r="H607" s="5">
        <f t="shared" si="7"/>
        <v>22</v>
      </c>
      <c r="I607" s="6">
        <f t="shared" si="6"/>
        <v>537</v>
      </c>
    </row>
    <row r="608">
      <c r="A608" s="1">
        <v>45274.0</v>
      </c>
      <c r="B608" s="5" t="s">
        <v>48</v>
      </c>
      <c r="C608" s="5" t="str">
        <f>IFERROR(VLOOKUP(B608,'Overall Bean Summary'!A$2:B$36,2,FALSE),"")</f>
        <v>Bad</v>
      </c>
      <c r="D608" s="6">
        <f t="shared" si="1"/>
        <v>0</v>
      </c>
      <c r="E608" s="6">
        <f t="shared" si="2"/>
        <v>1</v>
      </c>
      <c r="F608" s="5">
        <f t="shared" si="3"/>
        <v>1</v>
      </c>
      <c r="G608" s="5">
        <f t="shared" si="4"/>
        <v>1</v>
      </c>
      <c r="H608" s="5">
        <f t="shared" si="7"/>
        <v>23</v>
      </c>
      <c r="I608" s="6">
        <f t="shared" si="6"/>
        <v>538</v>
      </c>
    </row>
    <row r="609">
      <c r="A609" s="1">
        <v>45274.0</v>
      </c>
      <c r="B609" s="5" t="s">
        <v>14</v>
      </c>
      <c r="C609" s="5" t="str">
        <f>IFERROR(VLOOKUP(B609,'Overall Bean Summary'!A$2:B$36,2,FALSE),"")</f>
        <v>Bad</v>
      </c>
      <c r="D609" s="6">
        <f t="shared" si="1"/>
        <v>0</v>
      </c>
      <c r="E609" s="6">
        <f t="shared" si="2"/>
        <v>2</v>
      </c>
      <c r="F609" s="5">
        <f t="shared" si="3"/>
        <v>1</v>
      </c>
      <c r="G609" s="5">
        <f t="shared" si="4"/>
        <v>2</v>
      </c>
      <c r="H609" s="5">
        <f t="shared" si="7"/>
        <v>24</v>
      </c>
      <c r="I609" s="6">
        <f t="shared" si="6"/>
        <v>539</v>
      </c>
    </row>
    <row r="610">
      <c r="A610" s="1">
        <v>45274.0</v>
      </c>
      <c r="B610" s="5" t="s">
        <v>85</v>
      </c>
      <c r="C610" s="5" t="str">
        <f>IFERROR(VLOOKUP(B610,'Overall Bean Summary'!A$2:B$36,2,FALSE),"")</f>
        <v>Good</v>
      </c>
      <c r="D610" s="6">
        <f t="shared" si="1"/>
        <v>1</v>
      </c>
      <c r="E610" s="6">
        <f t="shared" si="2"/>
        <v>0</v>
      </c>
      <c r="F610" s="5">
        <f t="shared" si="3"/>
        <v>1</v>
      </c>
      <c r="G610" s="5">
        <f t="shared" si="4"/>
        <v>3</v>
      </c>
      <c r="H610" s="5">
        <f t="shared" si="7"/>
        <v>25</v>
      </c>
      <c r="I610" s="6">
        <f t="shared" si="6"/>
        <v>540</v>
      </c>
    </row>
    <row r="611">
      <c r="A611" s="1">
        <v>45274.0</v>
      </c>
      <c r="B611" s="5" t="s">
        <v>63</v>
      </c>
      <c r="C611" s="5" t="str">
        <f>IFERROR(VLOOKUP(B611,'Overall Bean Summary'!A$2:B$36,2,FALSE),"")</f>
        <v>Bad</v>
      </c>
      <c r="D611" s="6">
        <f t="shared" si="1"/>
        <v>0</v>
      </c>
      <c r="E611" s="6">
        <f t="shared" si="2"/>
        <v>1</v>
      </c>
      <c r="F611" s="5">
        <f t="shared" si="3"/>
        <v>1</v>
      </c>
      <c r="G611" s="5">
        <f t="shared" si="4"/>
        <v>4</v>
      </c>
      <c r="H611" s="5">
        <f t="shared" si="7"/>
        <v>26</v>
      </c>
      <c r="I611" s="6">
        <f t="shared" si="6"/>
        <v>541</v>
      </c>
    </row>
    <row r="612">
      <c r="A612" s="1">
        <v>45275.0</v>
      </c>
      <c r="B612" s="5" t="s">
        <v>58</v>
      </c>
      <c r="C612" s="5" t="str">
        <f>IFERROR(VLOOKUP(B612,'Overall Bean Summary'!A$2:B$36,2,FALSE),"")</f>
        <v>Bad</v>
      </c>
      <c r="D612" s="6">
        <f t="shared" si="1"/>
        <v>0</v>
      </c>
      <c r="E612" s="6">
        <f t="shared" si="2"/>
        <v>2</v>
      </c>
      <c r="F612" s="5">
        <f t="shared" si="3"/>
        <v>1</v>
      </c>
      <c r="G612" s="5">
        <f t="shared" si="4"/>
        <v>1</v>
      </c>
      <c r="H612" s="5">
        <f t="shared" si="7"/>
        <v>27</v>
      </c>
      <c r="I612" s="6">
        <f t="shared" si="6"/>
        <v>542</v>
      </c>
    </row>
    <row r="613">
      <c r="A613" s="1">
        <v>45275.0</v>
      </c>
      <c r="B613" s="5" t="s">
        <v>48</v>
      </c>
      <c r="C613" s="5" t="str">
        <f>IFERROR(VLOOKUP(B613,'Overall Bean Summary'!A$2:B$36,2,FALSE),"")</f>
        <v>Bad</v>
      </c>
      <c r="D613" s="6">
        <f t="shared" si="1"/>
        <v>0</v>
      </c>
      <c r="E613" s="6">
        <f t="shared" si="2"/>
        <v>3</v>
      </c>
      <c r="F613" s="5">
        <f t="shared" si="3"/>
        <v>1</v>
      </c>
      <c r="G613" s="5">
        <f t="shared" si="4"/>
        <v>2</v>
      </c>
      <c r="H613" s="5">
        <f t="shared" si="7"/>
        <v>28</v>
      </c>
      <c r="I613" s="6">
        <f t="shared" si="6"/>
        <v>543</v>
      </c>
    </row>
    <row r="614">
      <c r="A614" s="1">
        <v>45275.0</v>
      </c>
      <c r="B614" s="5" t="s">
        <v>40</v>
      </c>
      <c r="C614" s="5" t="str">
        <f>IFERROR(VLOOKUP(B614,'Overall Bean Summary'!A$2:B$36,2,FALSE),"")</f>
        <v>Bad</v>
      </c>
      <c r="D614" s="6">
        <f t="shared" si="1"/>
        <v>0</v>
      </c>
      <c r="E614" s="6">
        <f t="shared" si="2"/>
        <v>4</v>
      </c>
      <c r="F614" s="5">
        <f t="shared" si="3"/>
        <v>1</v>
      </c>
      <c r="G614" s="5">
        <f t="shared" si="4"/>
        <v>3</v>
      </c>
      <c r="H614" s="5">
        <f t="shared" si="7"/>
        <v>29</v>
      </c>
      <c r="I614" s="6">
        <f t="shared" si="6"/>
        <v>544</v>
      </c>
    </row>
    <row r="615">
      <c r="A615" s="1">
        <v>45275.0</v>
      </c>
      <c r="B615" s="5" t="s">
        <v>63</v>
      </c>
      <c r="C615" s="5" t="str">
        <f>IFERROR(VLOOKUP(B615,'Overall Bean Summary'!A$2:B$36,2,FALSE),"")</f>
        <v>Bad</v>
      </c>
      <c r="D615" s="6">
        <f t="shared" si="1"/>
        <v>0</v>
      </c>
      <c r="E615" s="6">
        <f t="shared" si="2"/>
        <v>5</v>
      </c>
      <c r="F615" s="5">
        <f t="shared" si="3"/>
        <v>1</v>
      </c>
      <c r="G615" s="5">
        <f t="shared" si="4"/>
        <v>4</v>
      </c>
      <c r="H615" s="5">
        <f t="shared" si="7"/>
        <v>30</v>
      </c>
      <c r="I615" s="6">
        <f t="shared" si="6"/>
        <v>545</v>
      </c>
    </row>
    <row r="616">
      <c r="A616" s="1">
        <v>45275.0</v>
      </c>
      <c r="B616" s="5" t="s">
        <v>40</v>
      </c>
      <c r="C616" s="5" t="str">
        <f>IFERROR(VLOOKUP(B616,'Overall Bean Summary'!A$2:B$36,2,FALSE),"")</f>
        <v>Bad</v>
      </c>
      <c r="D616" s="6">
        <f t="shared" si="1"/>
        <v>0</v>
      </c>
      <c r="E616" s="6">
        <f t="shared" si="2"/>
        <v>6</v>
      </c>
      <c r="F616" s="5">
        <f t="shared" si="3"/>
        <v>1</v>
      </c>
      <c r="G616" s="5">
        <f t="shared" si="4"/>
        <v>5</v>
      </c>
      <c r="H616" s="5">
        <f t="shared" si="7"/>
        <v>31</v>
      </c>
      <c r="I616" s="6">
        <f t="shared" si="6"/>
        <v>546</v>
      </c>
    </row>
    <row r="617">
      <c r="A617" s="1">
        <v>45280.0</v>
      </c>
      <c r="B617" s="5" t="s">
        <v>40</v>
      </c>
      <c r="C617" s="5" t="str">
        <f>IFERROR(VLOOKUP(B617,'Overall Bean Summary'!A$2:B$36,2,FALSE),"")</f>
        <v>Bad</v>
      </c>
      <c r="D617" s="6">
        <f t="shared" si="1"/>
        <v>0</v>
      </c>
      <c r="E617" s="6">
        <f t="shared" si="2"/>
        <v>7</v>
      </c>
      <c r="F617" s="5">
        <f t="shared" si="3"/>
        <v>2</v>
      </c>
      <c r="G617" s="5">
        <f t="shared" si="4"/>
        <v>1</v>
      </c>
      <c r="H617" s="5">
        <f t="shared" si="7"/>
        <v>32</v>
      </c>
      <c r="I617" s="6">
        <f t="shared" si="6"/>
        <v>547</v>
      </c>
    </row>
    <row r="618">
      <c r="A618" s="1">
        <v>45280.0</v>
      </c>
      <c r="B618" s="5" t="s">
        <v>95</v>
      </c>
      <c r="C618" s="5" t="str">
        <f>IFERROR(VLOOKUP(B618,'Overall Bean Summary'!A$2:B$36,2,FALSE),"")</f>
        <v>Good</v>
      </c>
      <c r="D618" s="6">
        <f t="shared" si="1"/>
        <v>1</v>
      </c>
      <c r="E618" s="6">
        <f t="shared" si="2"/>
        <v>0</v>
      </c>
      <c r="F618" s="5">
        <f t="shared" si="3"/>
        <v>1</v>
      </c>
      <c r="G618" s="5">
        <f t="shared" si="4"/>
        <v>2</v>
      </c>
      <c r="H618" s="5">
        <f t="shared" si="7"/>
        <v>33</v>
      </c>
      <c r="I618" s="6">
        <f t="shared" si="6"/>
        <v>548</v>
      </c>
    </row>
    <row r="619">
      <c r="A619" s="1">
        <v>45280.0</v>
      </c>
      <c r="B619" s="5" t="s">
        <v>58</v>
      </c>
      <c r="C619" s="5" t="str">
        <f>IFERROR(VLOOKUP(B619,'Overall Bean Summary'!A$2:B$36,2,FALSE),"")</f>
        <v>Bad</v>
      </c>
      <c r="D619" s="6">
        <f t="shared" si="1"/>
        <v>0</v>
      </c>
      <c r="E619" s="6">
        <f t="shared" si="2"/>
        <v>1</v>
      </c>
      <c r="F619" s="5">
        <f t="shared" si="3"/>
        <v>1</v>
      </c>
      <c r="G619" s="5">
        <f t="shared" si="4"/>
        <v>3</v>
      </c>
      <c r="H619" s="5">
        <f t="shared" si="7"/>
        <v>34</v>
      </c>
      <c r="I619" s="6">
        <f t="shared" si="6"/>
        <v>549</v>
      </c>
    </row>
    <row r="620">
      <c r="A620" s="1">
        <v>45280.0</v>
      </c>
      <c r="B620" s="5" t="s">
        <v>80</v>
      </c>
      <c r="C620" s="5" t="str">
        <f>IFERROR(VLOOKUP(B620,'Overall Bean Summary'!A$2:B$36,2,FALSE),"")</f>
        <v>Bad</v>
      </c>
      <c r="D620" s="6">
        <f t="shared" si="1"/>
        <v>0</v>
      </c>
      <c r="E620" s="6">
        <f t="shared" si="2"/>
        <v>2</v>
      </c>
      <c r="F620" s="5">
        <f t="shared" si="3"/>
        <v>1</v>
      </c>
      <c r="G620" s="5">
        <f t="shared" si="4"/>
        <v>4</v>
      </c>
      <c r="H620" s="5">
        <f t="shared" si="7"/>
        <v>35</v>
      </c>
      <c r="I620" s="6">
        <f t="shared" si="6"/>
        <v>550</v>
      </c>
    </row>
    <row r="621">
      <c r="A621" s="1">
        <v>45281.0</v>
      </c>
      <c r="B621" s="5" t="s">
        <v>40</v>
      </c>
      <c r="C621" s="5" t="str">
        <f>IFERROR(VLOOKUP(B621,'Overall Bean Summary'!A$2:B$36,2,FALSE),"")</f>
        <v>Bad</v>
      </c>
      <c r="D621" s="6">
        <f t="shared" si="1"/>
        <v>0</v>
      </c>
      <c r="E621" s="6">
        <f t="shared" si="2"/>
        <v>3</v>
      </c>
      <c r="F621" s="5">
        <f t="shared" si="3"/>
        <v>1</v>
      </c>
      <c r="G621" s="5">
        <f t="shared" si="4"/>
        <v>1</v>
      </c>
      <c r="H621" s="5">
        <f t="shared" si="7"/>
        <v>36</v>
      </c>
      <c r="I621" s="6">
        <f t="shared" si="6"/>
        <v>551</v>
      </c>
    </row>
    <row r="622">
      <c r="A622" s="1">
        <v>45281.0</v>
      </c>
      <c r="B622" s="5" t="s">
        <v>69</v>
      </c>
      <c r="C622" s="5" t="str">
        <f>IFERROR(VLOOKUP(B622,'Overall Bean Summary'!A$2:B$36,2,FALSE),"")</f>
        <v>Bad</v>
      </c>
      <c r="D622" s="6">
        <f t="shared" si="1"/>
        <v>0</v>
      </c>
      <c r="E622" s="6">
        <f t="shared" si="2"/>
        <v>4</v>
      </c>
      <c r="F622" s="5">
        <f t="shared" si="3"/>
        <v>1</v>
      </c>
      <c r="G622" s="5">
        <f t="shared" si="4"/>
        <v>2</v>
      </c>
      <c r="H622" s="5">
        <f t="shared" si="7"/>
        <v>37</v>
      </c>
      <c r="I622" s="6">
        <f t="shared" si="6"/>
        <v>552</v>
      </c>
    </row>
    <row r="623">
      <c r="A623" s="1">
        <v>45281.0</v>
      </c>
      <c r="B623" s="5" t="s">
        <v>63</v>
      </c>
      <c r="C623" s="5" t="str">
        <f>IFERROR(VLOOKUP(B623,'Overall Bean Summary'!A$2:B$36,2,FALSE),"")</f>
        <v>Bad</v>
      </c>
      <c r="D623" s="6">
        <f t="shared" si="1"/>
        <v>0</v>
      </c>
      <c r="E623" s="6">
        <f t="shared" si="2"/>
        <v>5</v>
      </c>
      <c r="F623" s="5">
        <f t="shared" si="3"/>
        <v>1</v>
      </c>
      <c r="G623" s="5">
        <f t="shared" si="4"/>
        <v>3</v>
      </c>
      <c r="H623" s="5">
        <f t="shared" si="7"/>
        <v>38</v>
      </c>
      <c r="I623" s="6">
        <f t="shared" si="6"/>
        <v>553</v>
      </c>
    </row>
    <row r="624">
      <c r="A624" s="1">
        <v>45281.0</v>
      </c>
      <c r="B624" s="5" t="s">
        <v>51</v>
      </c>
      <c r="C624" s="5" t="str">
        <f>IFERROR(VLOOKUP(B624,'Overall Bean Summary'!A$2:B$36,2,FALSE),"")</f>
        <v>Bad</v>
      </c>
      <c r="D624" s="6">
        <f t="shared" si="1"/>
        <v>0</v>
      </c>
      <c r="E624" s="6">
        <f t="shared" si="2"/>
        <v>6</v>
      </c>
      <c r="F624" s="5">
        <f t="shared" si="3"/>
        <v>1</v>
      </c>
      <c r="G624" s="5">
        <f t="shared" si="4"/>
        <v>4</v>
      </c>
      <c r="H624" s="5">
        <f t="shared" si="7"/>
        <v>39</v>
      </c>
      <c r="I624" s="6">
        <f t="shared" si="6"/>
        <v>554</v>
      </c>
    </row>
    <row r="625">
      <c r="A625" s="1">
        <v>45281.0</v>
      </c>
      <c r="B625" s="5" t="s">
        <v>29</v>
      </c>
      <c r="C625" s="5" t="str">
        <f>IFERROR(VLOOKUP(B625,'Overall Bean Summary'!A$2:B$36,2,FALSE),"")</f>
        <v>Good</v>
      </c>
      <c r="D625" s="6">
        <f t="shared" si="1"/>
        <v>1</v>
      </c>
      <c r="E625" s="6">
        <f t="shared" si="2"/>
        <v>0</v>
      </c>
      <c r="F625" s="5">
        <f t="shared" si="3"/>
        <v>1</v>
      </c>
      <c r="G625" s="5">
        <f t="shared" si="4"/>
        <v>5</v>
      </c>
      <c r="H625" s="5">
        <f t="shared" si="7"/>
        <v>40</v>
      </c>
      <c r="I625" s="6">
        <f t="shared" si="6"/>
        <v>555</v>
      </c>
    </row>
    <row r="626">
      <c r="A626" s="1">
        <v>45281.0</v>
      </c>
      <c r="B626" s="5" t="s">
        <v>40</v>
      </c>
      <c r="C626" s="5" t="str">
        <f>IFERROR(VLOOKUP(B626,'Overall Bean Summary'!A$2:B$36,2,FALSE),"")</f>
        <v>Bad</v>
      </c>
      <c r="D626" s="6">
        <f t="shared" si="1"/>
        <v>0</v>
      </c>
      <c r="E626" s="6">
        <f t="shared" si="2"/>
        <v>1</v>
      </c>
      <c r="F626" s="5">
        <f t="shared" si="3"/>
        <v>1</v>
      </c>
      <c r="G626" s="5">
        <f t="shared" si="4"/>
        <v>6</v>
      </c>
      <c r="H626" s="5">
        <f t="shared" si="7"/>
        <v>41</v>
      </c>
      <c r="I626" s="6">
        <f t="shared" si="6"/>
        <v>556</v>
      </c>
    </row>
    <row r="627">
      <c r="A627" s="1">
        <v>45281.0</v>
      </c>
      <c r="B627" s="5" t="s">
        <v>69</v>
      </c>
      <c r="C627" s="5" t="str">
        <f>IFERROR(VLOOKUP(B627,'Overall Bean Summary'!A$2:B$36,2,FALSE),"")</f>
        <v>Bad</v>
      </c>
      <c r="D627" s="6">
        <f t="shared" si="1"/>
        <v>0</v>
      </c>
      <c r="E627" s="6">
        <f t="shared" si="2"/>
        <v>2</v>
      </c>
      <c r="F627" s="5">
        <f t="shared" si="3"/>
        <v>1</v>
      </c>
      <c r="G627" s="5">
        <f t="shared" si="4"/>
        <v>7</v>
      </c>
      <c r="H627" s="5">
        <f t="shared" si="7"/>
        <v>42</v>
      </c>
      <c r="I627" s="6">
        <f t="shared" si="6"/>
        <v>557</v>
      </c>
    </row>
    <row r="628">
      <c r="A628" s="1">
        <v>45281.0</v>
      </c>
      <c r="B628" s="5" t="s">
        <v>45</v>
      </c>
      <c r="C628" s="5" t="str">
        <f>IFERROR(VLOOKUP(B628,'Overall Bean Summary'!A$2:B$36,2,FALSE),"")</f>
        <v>Good</v>
      </c>
      <c r="D628" s="6">
        <f t="shared" si="1"/>
        <v>1</v>
      </c>
      <c r="E628" s="6">
        <f t="shared" si="2"/>
        <v>0</v>
      </c>
      <c r="F628" s="5">
        <f t="shared" si="3"/>
        <v>1</v>
      </c>
      <c r="G628" s="5">
        <f t="shared" si="4"/>
        <v>8</v>
      </c>
      <c r="H628" s="5">
        <f t="shared" si="7"/>
        <v>43</v>
      </c>
      <c r="I628" s="6">
        <f t="shared" si="6"/>
        <v>558</v>
      </c>
      <c r="L628" s="5" t="s">
        <v>232</v>
      </c>
    </row>
    <row r="629">
      <c r="A629" s="1">
        <v>45282.0</v>
      </c>
      <c r="B629" s="5" t="s">
        <v>44</v>
      </c>
      <c r="C629" s="5" t="str">
        <f>IFERROR(VLOOKUP(B629,'Overall Bean Summary'!A$2:B$36,2,FALSE),"")</f>
        <v>Good</v>
      </c>
      <c r="D629" s="6">
        <f t="shared" si="1"/>
        <v>2</v>
      </c>
      <c r="E629" s="6">
        <f t="shared" si="2"/>
        <v>0</v>
      </c>
      <c r="F629" s="5">
        <f t="shared" si="3"/>
        <v>1</v>
      </c>
      <c r="G629" s="5">
        <f t="shared" si="4"/>
        <v>1</v>
      </c>
      <c r="H629" s="5">
        <f t="shared" si="7"/>
        <v>44</v>
      </c>
      <c r="I629" s="6">
        <f t="shared" si="6"/>
        <v>559</v>
      </c>
      <c r="L629" s="5" t="s">
        <v>233</v>
      </c>
    </row>
    <row r="630">
      <c r="A630" s="1">
        <v>45282.0</v>
      </c>
      <c r="B630" s="5" t="s">
        <v>80</v>
      </c>
      <c r="C630" s="5" t="str">
        <f>IFERROR(VLOOKUP(B630,'Overall Bean Summary'!A$2:B$36,2,FALSE),"")</f>
        <v>Bad</v>
      </c>
      <c r="D630" s="6">
        <f t="shared" si="1"/>
        <v>0</v>
      </c>
      <c r="E630" s="6">
        <f t="shared" si="2"/>
        <v>1</v>
      </c>
      <c r="F630" s="5">
        <f t="shared" si="3"/>
        <v>1</v>
      </c>
      <c r="G630" s="5">
        <f t="shared" si="4"/>
        <v>2</v>
      </c>
      <c r="H630" s="5">
        <f t="shared" si="7"/>
        <v>45</v>
      </c>
      <c r="I630" s="6">
        <f t="shared" si="6"/>
        <v>560</v>
      </c>
    </row>
    <row r="631">
      <c r="A631" s="1">
        <v>45282.0</v>
      </c>
      <c r="B631" s="5" t="s">
        <v>14</v>
      </c>
      <c r="C631" s="5" t="str">
        <f>IFERROR(VLOOKUP(B631,'Overall Bean Summary'!A$2:B$36,2,FALSE),"")</f>
        <v>Bad</v>
      </c>
      <c r="D631" s="6">
        <f t="shared" si="1"/>
        <v>0</v>
      </c>
      <c r="E631" s="6">
        <f t="shared" si="2"/>
        <v>2</v>
      </c>
      <c r="F631" s="5">
        <f t="shared" si="3"/>
        <v>1</v>
      </c>
      <c r="G631" s="5">
        <f t="shared" si="4"/>
        <v>3</v>
      </c>
      <c r="H631" s="5">
        <f t="shared" si="7"/>
        <v>46</v>
      </c>
      <c r="I631" s="6">
        <f t="shared" si="6"/>
        <v>561</v>
      </c>
    </row>
    <row r="632">
      <c r="A632" s="1">
        <v>45285.0</v>
      </c>
      <c r="B632" s="5" t="s">
        <v>48</v>
      </c>
      <c r="C632" s="5" t="str">
        <f>IFERROR(VLOOKUP(B632,'Overall Bean Summary'!A$2:B$36,2,FALSE),"")</f>
        <v>Bad</v>
      </c>
      <c r="D632" s="6">
        <f t="shared" si="1"/>
        <v>0</v>
      </c>
      <c r="E632" s="6">
        <f t="shared" si="2"/>
        <v>3</v>
      </c>
      <c r="F632" s="5">
        <f t="shared" si="3"/>
        <v>1</v>
      </c>
      <c r="G632" s="5">
        <f t="shared" si="4"/>
        <v>1</v>
      </c>
      <c r="H632" s="5">
        <f t="shared" si="7"/>
        <v>47</v>
      </c>
      <c r="I632" s="6">
        <f t="shared" si="6"/>
        <v>562</v>
      </c>
      <c r="L632" s="5" t="s">
        <v>234</v>
      </c>
    </row>
    <row r="633">
      <c r="A633" s="1">
        <v>45287.0</v>
      </c>
      <c r="B633" s="5" t="s">
        <v>72</v>
      </c>
      <c r="C633" s="5" t="str">
        <f>IFERROR(VLOOKUP(B633,'Overall Bean Summary'!A$2:B$36,2,FALSE),"")</f>
        <v>Bad</v>
      </c>
      <c r="D633" s="6">
        <f t="shared" si="1"/>
        <v>0</v>
      </c>
      <c r="E633" s="6">
        <f t="shared" si="2"/>
        <v>4</v>
      </c>
      <c r="F633" s="5">
        <f t="shared" si="3"/>
        <v>1</v>
      </c>
      <c r="G633" s="5">
        <f t="shared" si="4"/>
        <v>1</v>
      </c>
      <c r="H633" s="5">
        <f t="shared" si="7"/>
        <v>48</v>
      </c>
      <c r="I633" s="6">
        <f t="shared" si="6"/>
        <v>563</v>
      </c>
    </row>
    <row r="634">
      <c r="A634" s="1">
        <v>45287.0</v>
      </c>
      <c r="B634" s="5" t="s">
        <v>44</v>
      </c>
      <c r="C634" s="5" t="str">
        <f>IFERROR(VLOOKUP(B634,'Overall Bean Summary'!A$2:B$36,2,FALSE),"")</f>
        <v>Good</v>
      </c>
      <c r="D634" s="6">
        <f t="shared" si="1"/>
        <v>1</v>
      </c>
      <c r="E634" s="6">
        <f t="shared" si="2"/>
        <v>0</v>
      </c>
      <c r="F634" s="5">
        <f t="shared" si="3"/>
        <v>1</v>
      </c>
      <c r="G634" s="5">
        <f t="shared" si="4"/>
        <v>2</v>
      </c>
      <c r="H634" s="5">
        <f t="shared" si="7"/>
        <v>49</v>
      </c>
      <c r="I634" s="6">
        <f t="shared" si="6"/>
        <v>564</v>
      </c>
    </row>
    <row r="635">
      <c r="A635" s="1">
        <v>45288.0</v>
      </c>
      <c r="B635" s="5" t="s">
        <v>80</v>
      </c>
      <c r="C635" s="5" t="str">
        <f>IFERROR(VLOOKUP(B635,'Overall Bean Summary'!A$2:B$36,2,FALSE),"")</f>
        <v>Bad</v>
      </c>
      <c r="D635" s="6">
        <f t="shared" si="1"/>
        <v>0</v>
      </c>
      <c r="E635" s="6">
        <f t="shared" si="2"/>
        <v>1</v>
      </c>
      <c r="F635" s="5">
        <f t="shared" si="3"/>
        <v>1</v>
      </c>
      <c r="G635" s="5">
        <f t="shared" si="4"/>
        <v>1</v>
      </c>
      <c r="H635" s="5">
        <f t="shared" si="7"/>
        <v>50</v>
      </c>
      <c r="I635" s="6">
        <f t="shared" si="6"/>
        <v>565</v>
      </c>
    </row>
    <row r="636">
      <c r="A636" s="1">
        <v>45288.0</v>
      </c>
      <c r="B636" s="5" t="s">
        <v>67</v>
      </c>
      <c r="C636" s="5" t="str">
        <f>IFERROR(VLOOKUP(B636,'Overall Bean Summary'!A$2:B$36,2,FALSE),"")</f>
        <v>Good</v>
      </c>
      <c r="D636" s="6">
        <f t="shared" si="1"/>
        <v>1</v>
      </c>
      <c r="E636" s="6">
        <f t="shared" si="2"/>
        <v>0</v>
      </c>
      <c r="F636" s="5">
        <f t="shared" si="3"/>
        <v>1</v>
      </c>
      <c r="G636" s="5">
        <f t="shared" si="4"/>
        <v>2</v>
      </c>
      <c r="H636" s="5">
        <f t="shared" si="7"/>
        <v>51</v>
      </c>
      <c r="I636" s="6">
        <f t="shared" si="6"/>
        <v>566</v>
      </c>
    </row>
    <row r="637">
      <c r="A637" s="1">
        <v>45289.0</v>
      </c>
      <c r="B637" s="5" t="s">
        <v>69</v>
      </c>
      <c r="C637" s="5" t="str">
        <f>IFERROR(VLOOKUP(B637,'Overall Bean Summary'!A$2:B$36,2,FALSE),"")</f>
        <v>Bad</v>
      </c>
      <c r="D637" s="6">
        <f t="shared" si="1"/>
        <v>0</v>
      </c>
      <c r="E637" s="6">
        <f t="shared" si="2"/>
        <v>1</v>
      </c>
      <c r="F637" s="5">
        <f t="shared" si="3"/>
        <v>1</v>
      </c>
      <c r="G637" s="5">
        <f t="shared" si="4"/>
        <v>1</v>
      </c>
      <c r="H637" s="5">
        <f t="shared" si="7"/>
        <v>52</v>
      </c>
      <c r="I637" s="6">
        <f t="shared" si="6"/>
        <v>567</v>
      </c>
    </row>
    <row r="638">
      <c r="A638" s="1">
        <v>45289.0</v>
      </c>
      <c r="B638" s="5" t="s">
        <v>48</v>
      </c>
      <c r="C638" s="5" t="str">
        <f>IFERROR(VLOOKUP(B638,'Overall Bean Summary'!A$2:B$36,2,FALSE),"")</f>
        <v>Bad</v>
      </c>
      <c r="D638" s="6">
        <f t="shared" si="1"/>
        <v>0</v>
      </c>
      <c r="E638" s="6">
        <f t="shared" si="2"/>
        <v>2</v>
      </c>
      <c r="F638" s="5">
        <f t="shared" si="3"/>
        <v>1</v>
      </c>
      <c r="G638" s="5">
        <f t="shared" si="4"/>
        <v>2</v>
      </c>
      <c r="H638" s="5">
        <f t="shared" si="7"/>
        <v>53</v>
      </c>
      <c r="I638" s="6">
        <f t="shared" si="6"/>
        <v>568</v>
      </c>
    </row>
    <row r="639">
      <c r="A639" s="1">
        <v>45289.0</v>
      </c>
      <c r="B639" s="5" t="s">
        <v>40</v>
      </c>
      <c r="C639" s="5" t="str">
        <f>IFERROR(VLOOKUP(B639,'Overall Bean Summary'!A$2:B$36,2,FALSE),"")</f>
        <v>Bad</v>
      </c>
      <c r="D639" s="6">
        <f t="shared" si="1"/>
        <v>0</v>
      </c>
      <c r="E639" s="6">
        <f t="shared" si="2"/>
        <v>3</v>
      </c>
      <c r="F639" s="5">
        <f t="shared" si="3"/>
        <v>1</v>
      </c>
      <c r="G639" s="5">
        <f t="shared" si="4"/>
        <v>3</v>
      </c>
      <c r="H639" s="5">
        <f t="shared" si="7"/>
        <v>54</v>
      </c>
      <c r="I639" s="6">
        <f t="shared" si="6"/>
        <v>569</v>
      </c>
    </row>
    <row r="640">
      <c r="A640" s="1">
        <v>45293.0</v>
      </c>
      <c r="B640" s="5" t="s">
        <v>67</v>
      </c>
      <c r="C640" s="5" t="str">
        <f>IFERROR(VLOOKUP(B640,'Overall Bean Summary'!A$2:B$36,2,FALSE),"")</f>
        <v>Good</v>
      </c>
      <c r="D640" s="6">
        <f t="shared" si="1"/>
        <v>1</v>
      </c>
      <c r="E640" s="6">
        <f t="shared" si="2"/>
        <v>0</v>
      </c>
      <c r="F640" s="5">
        <f t="shared" si="3"/>
        <v>1</v>
      </c>
      <c r="G640" s="5">
        <f t="shared" si="4"/>
        <v>1</v>
      </c>
      <c r="H640" s="5">
        <f t="shared" si="7"/>
        <v>1</v>
      </c>
      <c r="I640" s="6">
        <f t="shared" si="6"/>
        <v>1</v>
      </c>
    </row>
    <row r="641">
      <c r="A641" s="1">
        <v>45293.0</v>
      </c>
      <c r="B641" s="5" t="s">
        <v>40</v>
      </c>
      <c r="C641" s="5" t="str">
        <f>IFERROR(VLOOKUP(B641,'Overall Bean Summary'!A$2:B$36,2,FALSE),"")</f>
        <v>Bad</v>
      </c>
      <c r="D641" s="6">
        <f t="shared" si="1"/>
        <v>0</v>
      </c>
      <c r="E641" s="6">
        <f t="shared" si="2"/>
        <v>1</v>
      </c>
      <c r="F641" s="5">
        <f t="shared" si="3"/>
        <v>1</v>
      </c>
      <c r="G641" s="5">
        <f t="shared" si="4"/>
        <v>2</v>
      </c>
      <c r="H641" s="5">
        <f t="shared" si="7"/>
        <v>2</v>
      </c>
      <c r="I641" s="6">
        <f t="shared" si="6"/>
        <v>2</v>
      </c>
    </row>
    <row r="642">
      <c r="A642" s="1">
        <v>45293.0</v>
      </c>
      <c r="B642" s="5" t="s">
        <v>58</v>
      </c>
      <c r="C642" s="5" t="str">
        <f>IFERROR(VLOOKUP(B642,'Overall Bean Summary'!A$2:B$36,2,FALSE),"")</f>
        <v>Bad</v>
      </c>
      <c r="D642" s="6">
        <f t="shared" si="1"/>
        <v>0</v>
      </c>
      <c r="E642" s="6">
        <f t="shared" si="2"/>
        <v>2</v>
      </c>
      <c r="F642" s="5">
        <f t="shared" si="3"/>
        <v>1</v>
      </c>
      <c r="G642" s="5">
        <f t="shared" si="4"/>
        <v>3</v>
      </c>
      <c r="H642" s="5">
        <f t="shared" si="7"/>
        <v>3</v>
      </c>
      <c r="I642" s="6">
        <f t="shared" si="6"/>
        <v>3</v>
      </c>
    </row>
    <row r="643">
      <c r="A643" s="1">
        <v>45293.0</v>
      </c>
      <c r="B643" s="5" t="s">
        <v>85</v>
      </c>
      <c r="C643" s="5" t="str">
        <f>IFERROR(VLOOKUP(B643,'Overall Bean Summary'!A$2:B$36,2,FALSE),"")</f>
        <v>Good</v>
      </c>
      <c r="D643" s="6">
        <f t="shared" si="1"/>
        <v>1</v>
      </c>
      <c r="E643" s="6">
        <f t="shared" si="2"/>
        <v>0</v>
      </c>
      <c r="F643" s="5">
        <f t="shared" si="3"/>
        <v>1</v>
      </c>
      <c r="G643" s="5">
        <f t="shared" si="4"/>
        <v>4</v>
      </c>
      <c r="H643" s="5">
        <f t="shared" si="7"/>
        <v>4</v>
      </c>
      <c r="I643" s="6">
        <f t="shared" si="6"/>
        <v>4</v>
      </c>
      <c r="L643" s="5" t="s">
        <v>235</v>
      </c>
    </row>
    <row r="644">
      <c r="A644" s="1">
        <v>45293.0</v>
      </c>
      <c r="B644" s="5" t="s">
        <v>58</v>
      </c>
      <c r="C644" s="5" t="str">
        <f>IFERROR(VLOOKUP(B644,'Overall Bean Summary'!A$2:B$36,2,FALSE),"")</f>
        <v>Bad</v>
      </c>
      <c r="D644" s="6">
        <f t="shared" si="1"/>
        <v>0</v>
      </c>
      <c r="E644" s="6">
        <f t="shared" si="2"/>
        <v>1</v>
      </c>
      <c r="F644" s="5">
        <f t="shared" si="3"/>
        <v>1</v>
      </c>
      <c r="G644" s="5">
        <f t="shared" si="4"/>
        <v>5</v>
      </c>
      <c r="H644" s="5">
        <f t="shared" si="7"/>
        <v>5</v>
      </c>
      <c r="I644" s="6">
        <f t="shared" si="6"/>
        <v>5</v>
      </c>
    </row>
    <row r="645">
      <c r="A645" s="1">
        <v>45293.0</v>
      </c>
      <c r="B645" s="5" t="s">
        <v>72</v>
      </c>
      <c r="C645" s="5" t="str">
        <f>IFERROR(VLOOKUP(B645,'Overall Bean Summary'!A$2:B$36,2,FALSE),"")</f>
        <v>Bad</v>
      </c>
      <c r="D645" s="6">
        <f t="shared" si="1"/>
        <v>0</v>
      </c>
      <c r="E645" s="6">
        <f t="shared" si="2"/>
        <v>2</v>
      </c>
      <c r="F645" s="5">
        <f t="shared" si="3"/>
        <v>1</v>
      </c>
      <c r="G645" s="5">
        <f t="shared" si="4"/>
        <v>6</v>
      </c>
      <c r="H645" s="5">
        <f t="shared" si="7"/>
        <v>6</v>
      </c>
      <c r="I645" s="6">
        <f t="shared" si="6"/>
        <v>6</v>
      </c>
    </row>
    <row r="646">
      <c r="A646" s="1">
        <v>45293.0</v>
      </c>
      <c r="B646" s="5" t="s">
        <v>95</v>
      </c>
      <c r="C646" s="5" t="str">
        <f>IFERROR(VLOOKUP(B646,'Overall Bean Summary'!A$2:B$36,2,FALSE),"")</f>
        <v>Good</v>
      </c>
      <c r="D646" s="6">
        <f t="shared" si="1"/>
        <v>1</v>
      </c>
      <c r="E646" s="6">
        <f t="shared" si="2"/>
        <v>0</v>
      </c>
      <c r="F646" s="5">
        <f t="shared" si="3"/>
        <v>1</v>
      </c>
      <c r="G646" s="5">
        <f t="shared" si="4"/>
        <v>7</v>
      </c>
      <c r="H646" s="5">
        <f t="shared" si="7"/>
        <v>7</v>
      </c>
      <c r="I646" s="6">
        <f t="shared" si="6"/>
        <v>7</v>
      </c>
    </row>
    <row r="647">
      <c r="A647" s="1">
        <v>45293.0</v>
      </c>
      <c r="B647" s="5" t="s">
        <v>58</v>
      </c>
      <c r="C647" s="5" t="str">
        <f>IFERROR(VLOOKUP(B647,'Overall Bean Summary'!A$2:B$36,2,FALSE),"")</f>
        <v>Bad</v>
      </c>
      <c r="D647" s="6">
        <f t="shared" si="1"/>
        <v>0</v>
      </c>
      <c r="E647" s="6">
        <f t="shared" si="2"/>
        <v>1</v>
      </c>
      <c r="F647" s="5">
        <f t="shared" si="3"/>
        <v>1</v>
      </c>
      <c r="G647" s="5">
        <f t="shared" si="4"/>
        <v>8</v>
      </c>
      <c r="H647" s="5">
        <f t="shared" si="7"/>
        <v>8</v>
      </c>
      <c r="I647" s="6">
        <f t="shared" si="6"/>
        <v>8</v>
      </c>
    </row>
    <row r="648">
      <c r="A648" s="1">
        <v>45293.0</v>
      </c>
      <c r="B648" s="5" t="s">
        <v>40</v>
      </c>
      <c r="C648" s="5" t="str">
        <f>IFERROR(VLOOKUP(B648,'Overall Bean Summary'!A$2:B$36,2,FALSE),"")</f>
        <v>Bad</v>
      </c>
      <c r="D648" s="6">
        <f t="shared" si="1"/>
        <v>0</v>
      </c>
      <c r="E648" s="6">
        <f t="shared" si="2"/>
        <v>2</v>
      </c>
      <c r="F648" s="5">
        <f t="shared" si="3"/>
        <v>1</v>
      </c>
      <c r="G648" s="5">
        <f t="shared" si="4"/>
        <v>9</v>
      </c>
      <c r="H648" s="5">
        <f t="shared" si="7"/>
        <v>9</v>
      </c>
      <c r="I648" s="6">
        <f t="shared" si="6"/>
        <v>9</v>
      </c>
    </row>
    <row r="649">
      <c r="A649" s="1">
        <v>45293.0</v>
      </c>
      <c r="B649" s="5" t="s">
        <v>56</v>
      </c>
      <c r="C649" s="5" t="str">
        <f>IFERROR(VLOOKUP(B649,'Overall Bean Summary'!A$2:B$36,2,FALSE),"")</f>
        <v>Good</v>
      </c>
      <c r="D649" s="6">
        <f t="shared" si="1"/>
        <v>1</v>
      </c>
      <c r="E649" s="6">
        <f t="shared" si="2"/>
        <v>0</v>
      </c>
      <c r="F649" s="5">
        <f t="shared" si="3"/>
        <v>1</v>
      </c>
      <c r="G649" s="5">
        <f t="shared" si="4"/>
        <v>10</v>
      </c>
      <c r="H649" s="5">
        <f t="shared" si="7"/>
        <v>10</v>
      </c>
      <c r="I649" s="6">
        <f t="shared" si="6"/>
        <v>10</v>
      </c>
    </row>
    <row r="650">
      <c r="A650" s="1">
        <v>45293.0</v>
      </c>
      <c r="B650" s="5" t="s">
        <v>51</v>
      </c>
      <c r="C650" s="5" t="str">
        <f>IFERROR(VLOOKUP(B650,'Overall Bean Summary'!A$2:B$36,2,FALSE),"")</f>
        <v>Bad</v>
      </c>
      <c r="D650" s="6">
        <f t="shared" si="1"/>
        <v>0</v>
      </c>
      <c r="E650" s="6">
        <f t="shared" si="2"/>
        <v>1</v>
      </c>
      <c r="F650" s="5">
        <f t="shared" si="3"/>
        <v>1</v>
      </c>
      <c r="G650" s="5">
        <f t="shared" si="4"/>
        <v>11</v>
      </c>
      <c r="H650" s="5">
        <f t="shared" si="7"/>
        <v>11</v>
      </c>
      <c r="I650" s="6">
        <f t="shared" si="6"/>
        <v>11</v>
      </c>
    </row>
    <row r="651">
      <c r="A651" s="1">
        <v>45293.0</v>
      </c>
      <c r="B651" s="5" t="s">
        <v>40</v>
      </c>
      <c r="C651" s="5" t="str">
        <f>IFERROR(VLOOKUP(B651,'Overall Bean Summary'!A$2:B$36,2,FALSE),"")</f>
        <v>Bad</v>
      </c>
      <c r="D651" s="6">
        <f t="shared" si="1"/>
        <v>0</v>
      </c>
      <c r="E651" s="6">
        <f t="shared" si="2"/>
        <v>2</v>
      </c>
      <c r="F651" s="5">
        <f t="shared" si="3"/>
        <v>1</v>
      </c>
      <c r="G651" s="5">
        <f t="shared" si="4"/>
        <v>12</v>
      </c>
      <c r="H651" s="5">
        <f t="shared" si="7"/>
        <v>12</v>
      </c>
      <c r="I651" s="6">
        <f t="shared" si="6"/>
        <v>12</v>
      </c>
    </row>
    <row r="652">
      <c r="A652" s="1">
        <v>45293.0</v>
      </c>
      <c r="B652" s="5" t="s">
        <v>48</v>
      </c>
      <c r="C652" s="5" t="str">
        <f>IFERROR(VLOOKUP(B652,'Overall Bean Summary'!A$2:B$36,2,FALSE),"")</f>
        <v>Bad</v>
      </c>
      <c r="D652" s="6">
        <f t="shared" si="1"/>
        <v>0</v>
      </c>
      <c r="E652" s="6">
        <f t="shared" si="2"/>
        <v>3</v>
      </c>
      <c r="F652" s="5">
        <f t="shared" si="3"/>
        <v>1</v>
      </c>
      <c r="G652" s="5">
        <f t="shared" si="4"/>
        <v>13</v>
      </c>
      <c r="H652" s="5">
        <f t="shared" si="7"/>
        <v>13</v>
      </c>
      <c r="I652" s="6">
        <f t="shared" si="6"/>
        <v>13</v>
      </c>
    </row>
    <row r="653">
      <c r="A653" s="1">
        <v>45294.0</v>
      </c>
      <c r="B653" s="5" t="s">
        <v>14</v>
      </c>
      <c r="C653" s="5" t="str">
        <f>IFERROR(VLOOKUP(B653,'Overall Bean Summary'!A$2:B$36,2,FALSE),"")</f>
        <v>Bad</v>
      </c>
      <c r="D653" s="6">
        <f t="shared" si="1"/>
        <v>0</v>
      </c>
      <c r="E653" s="6">
        <f t="shared" si="2"/>
        <v>4</v>
      </c>
      <c r="F653" s="5">
        <f t="shared" si="3"/>
        <v>1</v>
      </c>
      <c r="G653" s="5">
        <f t="shared" si="4"/>
        <v>1</v>
      </c>
      <c r="H653" s="5">
        <f t="shared" si="7"/>
        <v>14</v>
      </c>
      <c r="I653" s="6">
        <f t="shared" si="6"/>
        <v>14</v>
      </c>
      <c r="L653" s="5" t="s">
        <v>236</v>
      </c>
    </row>
    <row r="654">
      <c r="A654" s="1">
        <v>45295.0</v>
      </c>
      <c r="B654" s="5" t="s">
        <v>51</v>
      </c>
      <c r="C654" s="5" t="str">
        <f>IFERROR(VLOOKUP(B654,'Overall Bean Summary'!A$2:B$36,2,FALSE),"")</f>
        <v>Bad</v>
      </c>
      <c r="D654" s="6">
        <f t="shared" si="1"/>
        <v>0</v>
      </c>
      <c r="E654" s="6">
        <f t="shared" si="2"/>
        <v>5</v>
      </c>
      <c r="F654" s="5">
        <f t="shared" si="3"/>
        <v>1</v>
      </c>
      <c r="G654" s="5">
        <f t="shared" si="4"/>
        <v>1</v>
      </c>
      <c r="H654" s="5">
        <f t="shared" si="7"/>
        <v>15</v>
      </c>
      <c r="I654" s="6">
        <f t="shared" si="6"/>
        <v>15</v>
      </c>
      <c r="L654" s="5"/>
    </row>
    <row r="655">
      <c r="A655" s="1">
        <v>45295.0</v>
      </c>
      <c r="B655" s="5" t="s">
        <v>58</v>
      </c>
      <c r="C655" s="5" t="str">
        <f>IFERROR(VLOOKUP(B655,'Overall Bean Summary'!A$2:B$36,2,FALSE),"")</f>
        <v>Bad</v>
      </c>
      <c r="D655" s="6">
        <f t="shared" si="1"/>
        <v>0</v>
      </c>
      <c r="E655" s="6">
        <f t="shared" si="2"/>
        <v>6</v>
      </c>
      <c r="F655" s="5">
        <f t="shared" si="3"/>
        <v>1</v>
      </c>
      <c r="G655" s="5">
        <f t="shared" si="4"/>
        <v>2</v>
      </c>
      <c r="H655" s="5">
        <f t="shared" si="7"/>
        <v>16</v>
      </c>
      <c r="I655" s="6">
        <f t="shared" si="6"/>
        <v>16</v>
      </c>
      <c r="L655" s="5" t="s">
        <v>237</v>
      </c>
    </row>
    <row r="656">
      <c r="A656" s="1">
        <v>45296.0</v>
      </c>
      <c r="B656" s="5" t="s">
        <v>85</v>
      </c>
      <c r="C656" s="5" t="str">
        <f>IFERROR(VLOOKUP(B656,'Overall Bean Summary'!A$2:B$36,2,FALSE),"")</f>
        <v>Good</v>
      </c>
      <c r="D656" s="6">
        <f t="shared" si="1"/>
        <v>1</v>
      </c>
      <c r="E656" s="6">
        <f t="shared" si="2"/>
        <v>0</v>
      </c>
      <c r="F656" s="5">
        <f t="shared" si="3"/>
        <v>1</v>
      </c>
      <c r="G656" s="5">
        <f t="shared" si="4"/>
        <v>1</v>
      </c>
      <c r="H656" s="5">
        <f t="shared" si="7"/>
        <v>17</v>
      </c>
      <c r="I656" s="6">
        <f t="shared" si="6"/>
        <v>17</v>
      </c>
      <c r="L656" s="5" t="s">
        <v>238</v>
      </c>
    </row>
    <row r="657">
      <c r="A657" s="1">
        <v>45296.0</v>
      </c>
      <c r="B657" s="5" t="s">
        <v>58</v>
      </c>
      <c r="C657" s="5" t="str">
        <f>IFERROR(VLOOKUP(B657,'Overall Bean Summary'!A$2:B$36,2,FALSE),"")</f>
        <v>Bad</v>
      </c>
      <c r="D657" s="6">
        <f t="shared" si="1"/>
        <v>0</v>
      </c>
      <c r="E657" s="6">
        <f t="shared" si="2"/>
        <v>1</v>
      </c>
      <c r="F657" s="5">
        <f t="shared" si="3"/>
        <v>1</v>
      </c>
      <c r="G657" s="5">
        <f t="shared" si="4"/>
        <v>2</v>
      </c>
      <c r="H657" s="5">
        <f t="shared" si="7"/>
        <v>18</v>
      </c>
      <c r="I657" s="6">
        <f t="shared" si="6"/>
        <v>18</v>
      </c>
    </row>
    <row r="658">
      <c r="A658" s="1">
        <v>45299.0</v>
      </c>
      <c r="B658" s="5" t="s">
        <v>67</v>
      </c>
      <c r="C658" s="5" t="str">
        <f>IFERROR(VLOOKUP(B658,'Overall Bean Summary'!A$2:B$36,2,FALSE),"")</f>
        <v>Good</v>
      </c>
      <c r="D658" s="6">
        <f t="shared" si="1"/>
        <v>1</v>
      </c>
      <c r="E658" s="6">
        <f t="shared" si="2"/>
        <v>0</v>
      </c>
      <c r="F658" s="5">
        <f t="shared" si="3"/>
        <v>1</v>
      </c>
      <c r="G658" s="5">
        <f t="shared" si="4"/>
        <v>1</v>
      </c>
      <c r="H658" s="5">
        <f t="shared" si="7"/>
        <v>19</v>
      </c>
      <c r="I658" s="6">
        <f t="shared" si="6"/>
        <v>19</v>
      </c>
    </row>
    <row r="659">
      <c r="A659" s="1">
        <v>45299.0</v>
      </c>
      <c r="B659" s="5" t="s">
        <v>80</v>
      </c>
      <c r="C659" s="5" t="str">
        <f>IFERROR(VLOOKUP(B659,'Overall Bean Summary'!A$2:B$36,2,FALSE),"")</f>
        <v>Bad</v>
      </c>
      <c r="D659" s="6">
        <f t="shared" si="1"/>
        <v>0</v>
      </c>
      <c r="E659" s="6">
        <f t="shared" si="2"/>
        <v>1</v>
      </c>
      <c r="F659" s="5">
        <f t="shared" si="3"/>
        <v>1</v>
      </c>
      <c r="G659" s="5">
        <f t="shared" si="4"/>
        <v>2</v>
      </c>
      <c r="H659" s="5">
        <f t="shared" si="7"/>
        <v>20</v>
      </c>
      <c r="I659" s="6">
        <f t="shared" si="6"/>
        <v>20</v>
      </c>
    </row>
    <row r="660">
      <c r="A660" s="1">
        <v>45299.0</v>
      </c>
      <c r="B660" s="5" t="s">
        <v>69</v>
      </c>
      <c r="C660" s="5" t="str">
        <f>IFERROR(VLOOKUP(B660,'Overall Bean Summary'!A$2:B$36,2,FALSE),"")</f>
        <v>Bad</v>
      </c>
      <c r="D660" s="6">
        <f t="shared" si="1"/>
        <v>0</v>
      </c>
      <c r="E660" s="6">
        <f t="shared" si="2"/>
        <v>2</v>
      </c>
      <c r="F660" s="5">
        <f t="shared" si="3"/>
        <v>1</v>
      </c>
      <c r="G660" s="5">
        <f t="shared" si="4"/>
        <v>3</v>
      </c>
      <c r="H660" s="5">
        <f t="shared" si="7"/>
        <v>21</v>
      </c>
      <c r="I660" s="6">
        <f t="shared" si="6"/>
        <v>21</v>
      </c>
    </row>
    <row r="661">
      <c r="A661" s="1">
        <v>45301.0</v>
      </c>
      <c r="B661" s="5" t="s">
        <v>72</v>
      </c>
      <c r="C661" s="5" t="str">
        <f>IFERROR(VLOOKUP(B661,'Overall Bean Summary'!A$2:B$36,2,FALSE),"")</f>
        <v>Bad</v>
      </c>
      <c r="D661" s="6">
        <f t="shared" si="1"/>
        <v>0</v>
      </c>
      <c r="E661" s="6">
        <f t="shared" si="2"/>
        <v>3</v>
      </c>
      <c r="F661" s="5">
        <f t="shared" si="3"/>
        <v>1</v>
      </c>
      <c r="G661" s="5">
        <f t="shared" si="4"/>
        <v>1</v>
      </c>
      <c r="H661" s="5">
        <f t="shared" si="7"/>
        <v>22</v>
      </c>
      <c r="I661" s="6">
        <f t="shared" si="6"/>
        <v>22</v>
      </c>
      <c r="J661" s="5"/>
      <c r="K661" s="5" t="s">
        <v>239</v>
      </c>
      <c r="L661" s="5" t="s">
        <v>240</v>
      </c>
    </row>
    <row r="662">
      <c r="A662" s="1">
        <v>45301.0</v>
      </c>
      <c r="B662" s="5" t="s">
        <v>48</v>
      </c>
      <c r="C662" s="5" t="str">
        <f>IFERROR(VLOOKUP(B662,'Overall Bean Summary'!A$2:B$36,2,FALSE),"")</f>
        <v>Bad</v>
      </c>
      <c r="D662" s="6">
        <f t="shared" si="1"/>
        <v>0</v>
      </c>
      <c r="E662" s="6">
        <f t="shared" si="2"/>
        <v>4</v>
      </c>
      <c r="F662" s="5">
        <f t="shared" si="3"/>
        <v>1</v>
      </c>
      <c r="G662" s="5">
        <f t="shared" si="4"/>
        <v>2</v>
      </c>
      <c r="H662" s="5">
        <f t="shared" si="7"/>
        <v>23</v>
      </c>
      <c r="I662" s="6">
        <f t="shared" si="6"/>
        <v>23</v>
      </c>
      <c r="L662" s="5"/>
    </row>
    <row r="663">
      <c r="A663" s="1">
        <v>45301.0</v>
      </c>
      <c r="B663" s="5" t="s">
        <v>40</v>
      </c>
      <c r="C663" s="5" t="str">
        <f>IFERROR(VLOOKUP(B663,'Overall Bean Summary'!A$2:B$36,2,FALSE),"")</f>
        <v>Bad</v>
      </c>
      <c r="D663" s="6">
        <f t="shared" si="1"/>
        <v>0</v>
      </c>
      <c r="E663" s="6">
        <f t="shared" si="2"/>
        <v>5</v>
      </c>
      <c r="F663" s="5">
        <f t="shared" si="3"/>
        <v>1</v>
      </c>
      <c r="G663" s="5">
        <f t="shared" si="4"/>
        <v>3</v>
      </c>
      <c r="H663" s="5">
        <f t="shared" si="7"/>
        <v>24</v>
      </c>
      <c r="I663" s="6">
        <f t="shared" si="6"/>
        <v>24</v>
      </c>
    </row>
    <row r="664">
      <c r="A664" s="1">
        <v>45302.0</v>
      </c>
      <c r="B664" s="5" t="s">
        <v>80</v>
      </c>
      <c r="C664" s="5" t="str">
        <f>IFERROR(VLOOKUP(B664,'Overall Bean Summary'!A$2:B$36,2,FALSE),"")</f>
        <v>Bad</v>
      </c>
      <c r="D664" s="6">
        <f t="shared" si="1"/>
        <v>0</v>
      </c>
      <c r="E664" s="6">
        <f t="shared" si="2"/>
        <v>6</v>
      </c>
      <c r="F664" s="5">
        <f t="shared" si="3"/>
        <v>1</v>
      </c>
      <c r="G664" s="5">
        <f t="shared" si="4"/>
        <v>1</v>
      </c>
      <c r="H664" s="5">
        <f t="shared" si="7"/>
        <v>25</v>
      </c>
      <c r="I664" s="6">
        <f t="shared" si="6"/>
        <v>25</v>
      </c>
    </row>
    <row r="665">
      <c r="A665" s="1">
        <v>45303.0</v>
      </c>
      <c r="B665" s="5" t="s">
        <v>44</v>
      </c>
      <c r="C665" s="5" t="str">
        <f>IFERROR(VLOOKUP(B665,'Overall Bean Summary'!A$2:B$36,2,FALSE),"")</f>
        <v>Good</v>
      </c>
      <c r="D665" s="6">
        <f t="shared" si="1"/>
        <v>1</v>
      </c>
      <c r="E665" s="6">
        <f t="shared" si="2"/>
        <v>0</v>
      </c>
      <c r="F665" s="5">
        <f t="shared" si="3"/>
        <v>1</v>
      </c>
      <c r="G665" s="5">
        <f t="shared" si="4"/>
        <v>1</v>
      </c>
      <c r="H665" s="5">
        <f t="shared" si="7"/>
        <v>26</v>
      </c>
      <c r="I665" s="6">
        <f t="shared" si="6"/>
        <v>26</v>
      </c>
    </row>
    <row r="666">
      <c r="A666" s="1">
        <v>45303.0</v>
      </c>
      <c r="B666" s="5" t="s">
        <v>40</v>
      </c>
      <c r="C666" s="5" t="str">
        <f>IFERROR(VLOOKUP(B666,'Overall Bean Summary'!A$2:B$36,2,FALSE),"")</f>
        <v>Bad</v>
      </c>
      <c r="D666" s="6">
        <f t="shared" si="1"/>
        <v>0</v>
      </c>
      <c r="E666" s="6">
        <f t="shared" si="2"/>
        <v>1</v>
      </c>
      <c r="F666" s="5">
        <f t="shared" si="3"/>
        <v>1</v>
      </c>
      <c r="G666" s="5">
        <f t="shared" si="4"/>
        <v>2</v>
      </c>
      <c r="H666" s="5">
        <f t="shared" si="7"/>
        <v>27</v>
      </c>
      <c r="I666" s="6">
        <f t="shared" si="6"/>
        <v>27</v>
      </c>
    </row>
    <row r="667">
      <c r="A667" s="1">
        <v>45306.0</v>
      </c>
      <c r="B667" s="5" t="s">
        <v>58</v>
      </c>
      <c r="C667" s="5" t="str">
        <f>IFERROR(VLOOKUP(B667,'Overall Bean Summary'!A$2:B$36,2,FALSE),"")</f>
        <v>Bad</v>
      </c>
      <c r="D667" s="6">
        <f t="shared" si="1"/>
        <v>0</v>
      </c>
      <c r="E667" s="6">
        <f t="shared" si="2"/>
        <v>2</v>
      </c>
      <c r="F667" s="5">
        <f t="shared" si="3"/>
        <v>1</v>
      </c>
      <c r="G667" s="5">
        <f t="shared" si="4"/>
        <v>1</v>
      </c>
      <c r="H667" s="5">
        <f t="shared" si="7"/>
        <v>28</v>
      </c>
      <c r="I667" s="6">
        <f t="shared" si="6"/>
        <v>28</v>
      </c>
    </row>
    <row r="668">
      <c r="A668" s="1">
        <v>45306.0</v>
      </c>
      <c r="B668" s="5" t="s">
        <v>40</v>
      </c>
      <c r="C668" s="5" t="str">
        <f>IFERROR(VLOOKUP(B668,'Overall Bean Summary'!A$2:B$36,2,FALSE),"")</f>
        <v>Bad</v>
      </c>
      <c r="D668" s="6">
        <f t="shared" si="1"/>
        <v>0</v>
      </c>
      <c r="E668" s="6">
        <f t="shared" si="2"/>
        <v>3</v>
      </c>
      <c r="F668" s="5">
        <f t="shared" si="3"/>
        <v>1</v>
      </c>
      <c r="G668" s="5">
        <f t="shared" si="4"/>
        <v>2</v>
      </c>
      <c r="H668" s="5">
        <f t="shared" si="7"/>
        <v>29</v>
      </c>
      <c r="I668" s="6">
        <f t="shared" si="6"/>
        <v>29</v>
      </c>
    </row>
    <row r="669">
      <c r="A669" s="1">
        <v>45306.0</v>
      </c>
      <c r="B669" s="5" t="s">
        <v>58</v>
      </c>
      <c r="C669" s="5" t="str">
        <f>IFERROR(VLOOKUP(B669,'Overall Bean Summary'!A$2:B$36,2,FALSE),"")</f>
        <v>Bad</v>
      </c>
      <c r="D669" s="6">
        <f t="shared" si="1"/>
        <v>0</v>
      </c>
      <c r="E669" s="6">
        <f t="shared" si="2"/>
        <v>4</v>
      </c>
      <c r="F669" s="5">
        <f t="shared" si="3"/>
        <v>1</v>
      </c>
      <c r="G669" s="5">
        <f t="shared" si="4"/>
        <v>3</v>
      </c>
      <c r="H669" s="5">
        <f t="shared" si="7"/>
        <v>30</v>
      </c>
      <c r="I669" s="6">
        <f t="shared" si="6"/>
        <v>30</v>
      </c>
    </row>
    <row r="670">
      <c r="A670" s="1">
        <v>45306.0</v>
      </c>
      <c r="B670" s="5" t="s">
        <v>40</v>
      </c>
      <c r="C670" s="5" t="str">
        <f>IFERROR(VLOOKUP(B670,'Overall Bean Summary'!A$2:B$36,2,FALSE),"")</f>
        <v>Bad</v>
      </c>
      <c r="D670" s="6">
        <f t="shared" si="1"/>
        <v>0</v>
      </c>
      <c r="E670" s="6">
        <f t="shared" si="2"/>
        <v>5</v>
      </c>
      <c r="F670" s="5">
        <f t="shared" si="3"/>
        <v>1</v>
      </c>
      <c r="G670" s="5">
        <f t="shared" si="4"/>
        <v>4</v>
      </c>
      <c r="H670" s="5">
        <f t="shared" si="7"/>
        <v>31</v>
      </c>
      <c r="I670" s="6">
        <f t="shared" si="6"/>
        <v>31</v>
      </c>
    </row>
    <row r="671">
      <c r="A671" s="1">
        <v>45308.0</v>
      </c>
      <c r="B671" s="5" t="s">
        <v>14</v>
      </c>
      <c r="C671" s="5" t="str">
        <f>IFERROR(VLOOKUP(B671,'Overall Bean Summary'!A$2:B$36,2,FALSE),"")</f>
        <v>Bad</v>
      </c>
      <c r="D671" s="6">
        <f t="shared" si="1"/>
        <v>0</v>
      </c>
      <c r="E671" s="6">
        <f t="shared" si="2"/>
        <v>6</v>
      </c>
      <c r="F671" s="5">
        <f t="shared" si="3"/>
        <v>1</v>
      </c>
      <c r="G671" s="5">
        <f t="shared" si="4"/>
        <v>1</v>
      </c>
      <c r="H671" s="5">
        <f t="shared" si="7"/>
        <v>32</v>
      </c>
      <c r="I671" s="6">
        <f t="shared" si="6"/>
        <v>32</v>
      </c>
      <c r="J671" s="5"/>
      <c r="K671" s="5" t="s">
        <v>241</v>
      </c>
    </row>
    <row r="672">
      <c r="A672" s="1">
        <v>45308.0</v>
      </c>
      <c r="B672" s="5" t="s">
        <v>14</v>
      </c>
      <c r="C672" s="5" t="str">
        <f>IFERROR(VLOOKUP(B672,'Overall Bean Summary'!A$2:B$36,2,FALSE),"")</f>
        <v>Bad</v>
      </c>
      <c r="D672" s="6">
        <f t="shared" si="1"/>
        <v>0</v>
      </c>
      <c r="E672" s="6">
        <f t="shared" si="2"/>
        <v>7</v>
      </c>
      <c r="F672" s="5">
        <f t="shared" si="3"/>
        <v>2</v>
      </c>
      <c r="G672" s="5">
        <f t="shared" si="4"/>
        <v>2</v>
      </c>
      <c r="H672" s="5">
        <f t="shared" si="7"/>
        <v>33</v>
      </c>
      <c r="I672" s="6">
        <f t="shared" si="6"/>
        <v>33</v>
      </c>
      <c r="J672" s="5"/>
      <c r="K672" s="5" t="s">
        <v>241</v>
      </c>
    </row>
    <row r="673">
      <c r="A673" s="1">
        <v>45308.0</v>
      </c>
      <c r="B673" s="5" t="s">
        <v>14</v>
      </c>
      <c r="C673" s="5" t="str">
        <f>IFERROR(VLOOKUP(B673,'Overall Bean Summary'!A$2:B$36,2,FALSE),"")</f>
        <v>Bad</v>
      </c>
      <c r="D673" s="6">
        <f t="shared" si="1"/>
        <v>0</v>
      </c>
      <c r="E673" s="6">
        <f t="shared" si="2"/>
        <v>8</v>
      </c>
      <c r="F673" s="5">
        <f t="shared" si="3"/>
        <v>3</v>
      </c>
      <c r="G673" s="5">
        <f t="shared" si="4"/>
        <v>3</v>
      </c>
      <c r="H673" s="5">
        <f t="shared" si="7"/>
        <v>34</v>
      </c>
      <c r="I673" s="6">
        <f t="shared" si="6"/>
        <v>34</v>
      </c>
      <c r="J673" s="5"/>
      <c r="K673" s="5" t="s">
        <v>241</v>
      </c>
    </row>
    <row r="674">
      <c r="A674" s="1">
        <v>45310.0</v>
      </c>
      <c r="B674" s="5" t="s">
        <v>44</v>
      </c>
      <c r="C674" s="5" t="str">
        <f>IFERROR(VLOOKUP(B674,'Overall Bean Summary'!A$2:B$36,2,FALSE),"")</f>
        <v>Good</v>
      </c>
      <c r="D674" s="6">
        <f t="shared" si="1"/>
        <v>1</v>
      </c>
      <c r="E674" s="6">
        <f t="shared" si="2"/>
        <v>0</v>
      </c>
      <c r="F674" s="5">
        <f t="shared" si="3"/>
        <v>1</v>
      </c>
      <c r="G674" s="5">
        <f t="shared" si="4"/>
        <v>1</v>
      </c>
      <c r="H674" s="5">
        <f t="shared" si="7"/>
        <v>35</v>
      </c>
      <c r="I674" s="6">
        <f t="shared" si="6"/>
        <v>35</v>
      </c>
    </row>
    <row r="675">
      <c r="A675" s="1">
        <v>45310.0</v>
      </c>
      <c r="B675" s="5" t="s">
        <v>69</v>
      </c>
      <c r="C675" s="5" t="str">
        <f>IFERROR(VLOOKUP(B675,'Overall Bean Summary'!A$2:B$36,2,FALSE),"")</f>
        <v>Bad</v>
      </c>
      <c r="D675" s="6">
        <f t="shared" si="1"/>
        <v>0</v>
      </c>
      <c r="E675" s="6">
        <f t="shared" si="2"/>
        <v>1</v>
      </c>
      <c r="F675" s="5">
        <f t="shared" si="3"/>
        <v>1</v>
      </c>
      <c r="G675" s="5">
        <f t="shared" si="4"/>
        <v>2</v>
      </c>
      <c r="H675" s="5">
        <f t="shared" si="7"/>
        <v>36</v>
      </c>
      <c r="I675" s="6">
        <f t="shared" si="6"/>
        <v>36</v>
      </c>
    </row>
    <row r="676">
      <c r="A676" s="1">
        <v>45313.0</v>
      </c>
      <c r="B676" s="5" t="s">
        <v>29</v>
      </c>
      <c r="C676" s="5" t="str">
        <f>IFERROR(VLOOKUP(B676,'Overall Bean Summary'!A$2:B$36,2,FALSE),"")</f>
        <v>Good</v>
      </c>
      <c r="D676" s="6">
        <f t="shared" si="1"/>
        <v>1</v>
      </c>
      <c r="E676" s="6">
        <f t="shared" si="2"/>
        <v>0</v>
      </c>
      <c r="F676" s="5">
        <f t="shared" si="3"/>
        <v>1</v>
      </c>
      <c r="G676" s="5">
        <f t="shared" si="4"/>
        <v>1</v>
      </c>
      <c r="H676" s="5">
        <f t="shared" si="7"/>
        <v>37</v>
      </c>
      <c r="I676" s="6">
        <f t="shared" si="6"/>
        <v>37</v>
      </c>
    </row>
    <row r="677">
      <c r="A677" s="1">
        <v>45313.0</v>
      </c>
      <c r="B677" s="5" t="s">
        <v>58</v>
      </c>
      <c r="C677" s="5" t="str">
        <f>IFERROR(VLOOKUP(B677,'Overall Bean Summary'!A$2:B$36,2,FALSE),"")</f>
        <v>Bad</v>
      </c>
      <c r="D677" s="6">
        <f t="shared" si="1"/>
        <v>0</v>
      </c>
      <c r="E677" s="6">
        <f t="shared" si="2"/>
        <v>1</v>
      </c>
      <c r="F677" s="5">
        <f t="shared" si="3"/>
        <v>1</v>
      </c>
      <c r="G677" s="5">
        <f t="shared" si="4"/>
        <v>2</v>
      </c>
      <c r="H677" s="5">
        <f t="shared" si="7"/>
        <v>38</v>
      </c>
      <c r="I677" s="6">
        <f t="shared" si="6"/>
        <v>38</v>
      </c>
    </row>
    <row r="678">
      <c r="A678" s="1">
        <v>45313.0</v>
      </c>
      <c r="B678" s="5" t="s">
        <v>40</v>
      </c>
      <c r="C678" s="5" t="str">
        <f>IFERROR(VLOOKUP(B678,'Overall Bean Summary'!A$2:B$36,2,FALSE),"")</f>
        <v>Bad</v>
      </c>
      <c r="D678" s="6">
        <f t="shared" si="1"/>
        <v>0</v>
      </c>
      <c r="E678" s="6">
        <f t="shared" si="2"/>
        <v>2</v>
      </c>
      <c r="F678" s="5">
        <f t="shared" si="3"/>
        <v>1</v>
      </c>
      <c r="G678" s="5">
        <f t="shared" si="4"/>
        <v>3</v>
      </c>
      <c r="H678" s="5">
        <f t="shared" si="7"/>
        <v>39</v>
      </c>
      <c r="I678" s="6">
        <f t="shared" si="6"/>
        <v>39</v>
      </c>
    </row>
    <row r="679">
      <c r="A679" s="1">
        <v>45315.0</v>
      </c>
      <c r="B679" s="5" t="s">
        <v>58</v>
      </c>
      <c r="C679" s="5" t="str">
        <f>IFERROR(VLOOKUP(B679,'Overall Bean Summary'!A$2:B$36,2,FALSE),"")</f>
        <v>Bad</v>
      </c>
      <c r="D679" s="6">
        <f t="shared" si="1"/>
        <v>0</v>
      </c>
      <c r="E679" s="6">
        <f t="shared" si="2"/>
        <v>3</v>
      </c>
      <c r="F679" s="5">
        <f t="shared" si="3"/>
        <v>1</v>
      </c>
      <c r="G679" s="5">
        <f t="shared" si="4"/>
        <v>1</v>
      </c>
      <c r="H679" s="5">
        <f t="shared" si="7"/>
        <v>40</v>
      </c>
      <c r="I679" s="6">
        <f t="shared" si="6"/>
        <v>40</v>
      </c>
    </row>
    <row r="680">
      <c r="A680" s="1">
        <v>45315.0</v>
      </c>
      <c r="B680" s="5" t="s">
        <v>14</v>
      </c>
      <c r="C680" s="5" t="str">
        <f>IFERROR(VLOOKUP(B680,'Overall Bean Summary'!A$2:B$36,2,FALSE),"")</f>
        <v>Bad</v>
      </c>
      <c r="D680" s="6">
        <f t="shared" si="1"/>
        <v>0</v>
      </c>
      <c r="E680" s="6">
        <f t="shared" si="2"/>
        <v>4</v>
      </c>
      <c r="F680" s="5">
        <f t="shared" si="3"/>
        <v>1</v>
      </c>
      <c r="G680" s="5">
        <f t="shared" si="4"/>
        <v>2</v>
      </c>
      <c r="H680" s="5">
        <f t="shared" si="7"/>
        <v>41</v>
      </c>
      <c r="I680" s="6">
        <f t="shared" si="6"/>
        <v>41</v>
      </c>
    </row>
    <row r="681">
      <c r="A681" s="1">
        <v>45315.0</v>
      </c>
      <c r="B681" s="5" t="s">
        <v>14</v>
      </c>
      <c r="C681" s="5" t="str">
        <f>IFERROR(VLOOKUP(B681,'Overall Bean Summary'!A$2:B$36,2,FALSE),"")</f>
        <v>Bad</v>
      </c>
      <c r="D681" s="6">
        <f t="shared" si="1"/>
        <v>0</v>
      </c>
      <c r="E681" s="6">
        <f t="shared" si="2"/>
        <v>5</v>
      </c>
      <c r="F681" s="5">
        <f t="shared" si="3"/>
        <v>2</v>
      </c>
      <c r="G681" s="5">
        <f t="shared" si="4"/>
        <v>3</v>
      </c>
      <c r="H681" s="5">
        <f t="shared" si="7"/>
        <v>42</v>
      </c>
      <c r="I681" s="6">
        <f t="shared" si="6"/>
        <v>42</v>
      </c>
    </row>
    <row r="682">
      <c r="A682" s="1">
        <v>45316.0</v>
      </c>
      <c r="B682" s="5" t="s">
        <v>14</v>
      </c>
      <c r="C682" s="5" t="str">
        <f>IFERROR(VLOOKUP(B682,'Overall Bean Summary'!A$2:B$36,2,FALSE),"")</f>
        <v>Bad</v>
      </c>
      <c r="D682" s="6">
        <f t="shared" si="1"/>
        <v>0</v>
      </c>
      <c r="E682" s="6">
        <f t="shared" si="2"/>
        <v>6</v>
      </c>
      <c r="F682" s="5">
        <f t="shared" si="3"/>
        <v>3</v>
      </c>
      <c r="G682" s="5">
        <f t="shared" si="4"/>
        <v>1</v>
      </c>
      <c r="H682" s="5">
        <f t="shared" si="7"/>
        <v>43</v>
      </c>
      <c r="I682" s="6">
        <f t="shared" si="6"/>
        <v>43</v>
      </c>
      <c r="J682" s="5"/>
      <c r="K682" s="5" t="s">
        <v>242</v>
      </c>
      <c r="M682" s="5" t="s">
        <v>243</v>
      </c>
    </row>
    <row r="683">
      <c r="A683" s="1">
        <v>45316.0</v>
      </c>
      <c r="B683" s="5" t="s">
        <v>14</v>
      </c>
      <c r="C683" s="5" t="str">
        <f>IFERROR(VLOOKUP(B683,'Overall Bean Summary'!A$2:B$36,2,FALSE),"")</f>
        <v>Bad</v>
      </c>
      <c r="D683" s="6">
        <f t="shared" si="1"/>
        <v>0</v>
      </c>
      <c r="E683" s="6">
        <f t="shared" si="2"/>
        <v>7</v>
      </c>
      <c r="F683" s="5">
        <f t="shared" si="3"/>
        <v>4</v>
      </c>
      <c r="G683" s="5">
        <f t="shared" si="4"/>
        <v>2</v>
      </c>
      <c r="H683" s="5">
        <f t="shared" si="7"/>
        <v>44</v>
      </c>
      <c r="I683" s="6">
        <f t="shared" si="6"/>
        <v>44</v>
      </c>
      <c r="M683" s="5" t="s">
        <v>16</v>
      </c>
      <c r="N683" s="5" t="s">
        <v>21</v>
      </c>
      <c r="O683" s="5" t="s">
        <v>16</v>
      </c>
      <c r="P683" s="5" t="s">
        <v>21</v>
      </c>
    </row>
    <row r="684">
      <c r="A684" s="1">
        <v>45316.0</v>
      </c>
      <c r="B684" s="5" t="s">
        <v>14</v>
      </c>
      <c r="C684" s="5" t="str">
        <f>IFERROR(VLOOKUP(B684,'Overall Bean Summary'!A$2:B$36,2,FALSE),"")</f>
        <v>Bad</v>
      </c>
      <c r="D684" s="6">
        <f t="shared" si="1"/>
        <v>0</v>
      </c>
      <c r="E684" s="6">
        <f t="shared" si="2"/>
        <v>8</v>
      </c>
      <c r="F684" s="5">
        <f t="shared" si="3"/>
        <v>5</v>
      </c>
      <c r="G684" s="5">
        <f t="shared" si="4"/>
        <v>3</v>
      </c>
      <c r="H684" s="5">
        <f t="shared" si="7"/>
        <v>45</v>
      </c>
      <c r="I684" s="6">
        <f t="shared" si="6"/>
        <v>45</v>
      </c>
      <c r="L684" s="5" t="s">
        <v>20</v>
      </c>
      <c r="M684" s="24">
        <f>COUNTIF(C684:C761, "Good")</f>
        <v>21</v>
      </c>
      <c r="N684" s="24">
        <f>COUNTIF(C684:C761, "Bad")</f>
        <v>57</v>
      </c>
      <c r="O684" s="25">
        <f>M684/(M684+N684)</f>
        <v>0.2692307692</v>
      </c>
      <c r="P684" s="25">
        <f>N684/(M684+N684)</f>
        <v>0.7307692308</v>
      </c>
    </row>
    <row r="685">
      <c r="A685" s="1">
        <v>45316.0</v>
      </c>
      <c r="B685" s="5" t="s">
        <v>14</v>
      </c>
      <c r="C685" s="5" t="str">
        <f>IFERROR(VLOOKUP(B685,'Overall Bean Summary'!A$2:B$36,2,FALSE),"")</f>
        <v>Bad</v>
      </c>
      <c r="D685" s="6">
        <f t="shared" si="1"/>
        <v>0</v>
      </c>
      <c r="E685" s="6">
        <f t="shared" si="2"/>
        <v>9</v>
      </c>
      <c r="F685" s="5">
        <f t="shared" si="3"/>
        <v>6</v>
      </c>
      <c r="G685" s="5">
        <f t="shared" si="4"/>
        <v>4</v>
      </c>
      <c r="H685" s="5">
        <f t="shared" si="7"/>
        <v>46</v>
      </c>
      <c r="I685" s="6">
        <f t="shared" si="6"/>
        <v>46</v>
      </c>
    </row>
    <row r="686">
      <c r="A686" s="1">
        <v>45316.0</v>
      </c>
      <c r="B686" s="5" t="s">
        <v>14</v>
      </c>
      <c r="C686" s="5" t="str">
        <f>IFERROR(VLOOKUP(B686,'Overall Bean Summary'!A$2:B$36,2,FALSE),"")</f>
        <v>Bad</v>
      </c>
      <c r="D686" s="6">
        <f t="shared" si="1"/>
        <v>0</v>
      </c>
      <c r="E686" s="6">
        <f t="shared" si="2"/>
        <v>10</v>
      </c>
      <c r="F686" s="5">
        <f t="shared" si="3"/>
        <v>7</v>
      </c>
      <c r="G686" s="5">
        <f t="shared" si="4"/>
        <v>5</v>
      </c>
      <c r="H686" s="5">
        <f t="shared" si="7"/>
        <v>47</v>
      </c>
      <c r="I686" s="6">
        <f t="shared" si="6"/>
        <v>47</v>
      </c>
    </row>
    <row r="687">
      <c r="A687" s="1">
        <v>45316.0</v>
      </c>
      <c r="B687" s="5" t="s">
        <v>53</v>
      </c>
      <c r="C687" s="5" t="str">
        <f>IFERROR(VLOOKUP(B687,'Overall Bean Summary'!A$2:B$36,2,FALSE),"")</f>
        <v>Good</v>
      </c>
      <c r="D687" s="6">
        <f t="shared" si="1"/>
        <v>1</v>
      </c>
      <c r="E687" s="6">
        <f t="shared" si="2"/>
        <v>0</v>
      </c>
      <c r="F687" s="5">
        <f t="shared" si="3"/>
        <v>1</v>
      </c>
      <c r="G687" s="5">
        <f t="shared" si="4"/>
        <v>6</v>
      </c>
      <c r="H687" s="5">
        <f t="shared" si="7"/>
        <v>48</v>
      </c>
      <c r="I687" s="6">
        <f t="shared" si="6"/>
        <v>48</v>
      </c>
    </row>
    <row r="688">
      <c r="A688" s="1">
        <v>45322.0</v>
      </c>
      <c r="B688" s="5" t="s">
        <v>45</v>
      </c>
      <c r="C688" s="5" t="str">
        <f>IFERROR(VLOOKUP(B688,'Overall Bean Summary'!A$2:B$36,2,FALSE),"")</f>
        <v>Good</v>
      </c>
      <c r="D688" s="6">
        <f t="shared" si="1"/>
        <v>2</v>
      </c>
      <c r="E688" s="6">
        <f t="shared" si="2"/>
        <v>0</v>
      </c>
      <c r="F688" s="5">
        <f t="shared" si="3"/>
        <v>1</v>
      </c>
      <c r="G688" s="5">
        <f t="shared" si="4"/>
        <v>1</v>
      </c>
      <c r="H688" s="5">
        <f t="shared" si="7"/>
        <v>49</v>
      </c>
      <c r="I688" s="6">
        <f t="shared" si="6"/>
        <v>49</v>
      </c>
      <c r="J688" s="5"/>
      <c r="K688" s="5" t="s">
        <v>244</v>
      </c>
      <c r="M688" s="5" t="s">
        <v>245</v>
      </c>
    </row>
    <row r="689">
      <c r="A689" s="1">
        <v>45322.0</v>
      </c>
      <c r="B689" s="5" t="s">
        <v>63</v>
      </c>
      <c r="C689" s="5" t="str">
        <f>IFERROR(VLOOKUP(B689,'Overall Bean Summary'!A$2:B$36,2,FALSE),"")</f>
        <v>Bad</v>
      </c>
      <c r="D689" s="6">
        <f t="shared" si="1"/>
        <v>0</v>
      </c>
      <c r="E689" s="6">
        <f t="shared" si="2"/>
        <v>1</v>
      </c>
      <c r="F689" s="5">
        <f t="shared" si="3"/>
        <v>1</v>
      </c>
      <c r="G689" s="5">
        <f t="shared" si="4"/>
        <v>2</v>
      </c>
      <c r="H689" s="5">
        <f t="shared" si="7"/>
        <v>50</v>
      </c>
      <c r="I689" s="6">
        <f t="shared" si="6"/>
        <v>50</v>
      </c>
      <c r="J689" s="5"/>
      <c r="K689" s="5" t="s">
        <v>246</v>
      </c>
    </row>
    <row r="690">
      <c r="A690" s="1">
        <v>45322.0</v>
      </c>
      <c r="B690" s="5" t="s">
        <v>40</v>
      </c>
      <c r="C690" s="5" t="str">
        <f>IFERROR(VLOOKUP(B690,'Overall Bean Summary'!A$2:B$36,2,FALSE),"")</f>
        <v>Bad</v>
      </c>
      <c r="D690" s="6">
        <f t="shared" si="1"/>
        <v>0</v>
      </c>
      <c r="E690" s="6">
        <f t="shared" si="2"/>
        <v>2</v>
      </c>
      <c r="F690" s="5">
        <f t="shared" si="3"/>
        <v>1</v>
      </c>
      <c r="G690" s="5">
        <f t="shared" si="4"/>
        <v>3</v>
      </c>
      <c r="H690" s="5">
        <f t="shared" si="7"/>
        <v>51</v>
      </c>
      <c r="I690" s="6">
        <f t="shared" si="6"/>
        <v>51</v>
      </c>
      <c r="J690" s="5"/>
      <c r="K690" s="5" t="s">
        <v>246</v>
      </c>
    </row>
    <row r="691">
      <c r="A691" s="1">
        <v>45323.0</v>
      </c>
      <c r="B691" s="5" t="s">
        <v>69</v>
      </c>
      <c r="C691" s="5" t="str">
        <f>IFERROR(VLOOKUP(B691,'Overall Bean Summary'!A$2:B$36,2,FALSE),"")</f>
        <v>Bad</v>
      </c>
      <c r="D691" s="6">
        <f t="shared" si="1"/>
        <v>0</v>
      </c>
      <c r="E691" s="6">
        <f t="shared" si="2"/>
        <v>3</v>
      </c>
      <c r="F691" s="5">
        <f t="shared" si="3"/>
        <v>1</v>
      </c>
      <c r="G691" s="5">
        <f t="shared" si="4"/>
        <v>1</v>
      </c>
      <c r="H691" s="5">
        <f t="shared" si="7"/>
        <v>1</v>
      </c>
      <c r="I691" s="6">
        <f t="shared" si="6"/>
        <v>52</v>
      </c>
    </row>
    <row r="692">
      <c r="A692" s="1">
        <v>45324.0</v>
      </c>
      <c r="B692" s="5" t="s">
        <v>40</v>
      </c>
      <c r="C692" s="5" t="str">
        <f>IFERROR(VLOOKUP(B692,'Overall Bean Summary'!A$2:B$36,2,FALSE),"")</f>
        <v>Bad</v>
      </c>
      <c r="D692" s="6">
        <f t="shared" si="1"/>
        <v>0</v>
      </c>
      <c r="E692" s="6">
        <f t="shared" si="2"/>
        <v>4</v>
      </c>
      <c r="F692" s="5">
        <f t="shared" si="3"/>
        <v>1</v>
      </c>
      <c r="G692" s="5">
        <f t="shared" si="4"/>
        <v>1</v>
      </c>
      <c r="H692" s="5">
        <f t="shared" si="7"/>
        <v>2</v>
      </c>
      <c r="I692" s="6">
        <f t="shared" si="6"/>
        <v>53</v>
      </c>
    </row>
    <row r="693">
      <c r="A693" s="1">
        <v>45327.0</v>
      </c>
      <c r="B693" s="5" t="s">
        <v>63</v>
      </c>
      <c r="C693" s="5" t="str">
        <f>IFERROR(VLOOKUP(B693,'Overall Bean Summary'!A$2:B$36,2,FALSE),"")</f>
        <v>Bad</v>
      </c>
      <c r="D693" s="6">
        <f t="shared" si="1"/>
        <v>0</v>
      </c>
      <c r="E693" s="6">
        <f t="shared" si="2"/>
        <v>5</v>
      </c>
      <c r="F693" s="5">
        <f t="shared" si="3"/>
        <v>1</v>
      </c>
      <c r="G693" s="5">
        <f t="shared" si="4"/>
        <v>1</v>
      </c>
      <c r="H693" s="5">
        <f t="shared" si="7"/>
        <v>3</v>
      </c>
      <c r="I693" s="6">
        <f t="shared" si="6"/>
        <v>54</v>
      </c>
      <c r="M693" s="5" t="s">
        <v>247</v>
      </c>
    </row>
    <row r="694">
      <c r="A694" s="1">
        <v>45327.0</v>
      </c>
      <c r="B694" s="5" t="s">
        <v>51</v>
      </c>
      <c r="C694" s="5" t="str">
        <f>IFERROR(VLOOKUP(B694,'Overall Bean Summary'!A$2:B$36,2,FALSE),"")</f>
        <v>Bad</v>
      </c>
      <c r="D694" s="6">
        <f t="shared" si="1"/>
        <v>0</v>
      </c>
      <c r="E694" s="6">
        <f t="shared" si="2"/>
        <v>6</v>
      </c>
      <c r="F694" s="5">
        <f t="shared" si="3"/>
        <v>1</v>
      </c>
      <c r="G694" s="5">
        <f t="shared" si="4"/>
        <v>2</v>
      </c>
      <c r="H694" s="5">
        <f t="shared" si="7"/>
        <v>4</v>
      </c>
      <c r="I694" s="6">
        <f t="shared" si="6"/>
        <v>55</v>
      </c>
    </row>
    <row r="695">
      <c r="A695" s="1">
        <v>45330.0</v>
      </c>
      <c r="B695" s="5" t="s">
        <v>48</v>
      </c>
      <c r="C695" s="5" t="str">
        <f>IFERROR(VLOOKUP(B695,'Overall Bean Summary'!A$2:B$36,2,FALSE),"")</f>
        <v>Bad</v>
      </c>
      <c r="D695" s="6">
        <f t="shared" si="1"/>
        <v>0</v>
      </c>
      <c r="E695" s="6">
        <f t="shared" si="2"/>
        <v>7</v>
      </c>
      <c r="F695" s="5">
        <f t="shared" si="3"/>
        <v>1</v>
      </c>
      <c r="G695" s="5">
        <f t="shared" si="4"/>
        <v>1</v>
      </c>
      <c r="H695" s="5">
        <f t="shared" si="7"/>
        <v>5</v>
      </c>
      <c r="I695" s="6">
        <f t="shared" si="6"/>
        <v>56</v>
      </c>
    </row>
    <row r="696">
      <c r="A696" s="1">
        <v>45331.0</v>
      </c>
      <c r="B696" s="5" t="s">
        <v>29</v>
      </c>
      <c r="C696" s="5" t="str">
        <f>IFERROR(VLOOKUP(B696,'Overall Bean Summary'!A$2:B$36,2,FALSE),"")</f>
        <v>Good</v>
      </c>
      <c r="D696" s="6">
        <f t="shared" si="1"/>
        <v>1</v>
      </c>
      <c r="E696" s="6">
        <f t="shared" si="2"/>
        <v>0</v>
      </c>
      <c r="F696" s="5">
        <f t="shared" si="3"/>
        <v>1</v>
      </c>
      <c r="G696" s="5">
        <f t="shared" si="4"/>
        <v>1</v>
      </c>
      <c r="H696" s="5">
        <f t="shared" si="7"/>
        <v>6</v>
      </c>
      <c r="I696" s="6">
        <f t="shared" si="6"/>
        <v>57</v>
      </c>
    </row>
    <row r="697">
      <c r="A697" s="1">
        <v>45331.0</v>
      </c>
      <c r="B697" s="5" t="s">
        <v>67</v>
      </c>
      <c r="C697" s="5" t="str">
        <f>IFERROR(VLOOKUP(B697,'Overall Bean Summary'!A$2:B$36,2,FALSE),"")</f>
        <v>Good</v>
      </c>
      <c r="D697" s="6">
        <f t="shared" si="1"/>
        <v>2</v>
      </c>
      <c r="E697" s="6">
        <f t="shared" si="2"/>
        <v>0</v>
      </c>
      <c r="F697" s="5">
        <f t="shared" si="3"/>
        <v>1</v>
      </c>
      <c r="G697" s="5">
        <f t="shared" si="4"/>
        <v>2</v>
      </c>
      <c r="H697" s="5">
        <f t="shared" si="7"/>
        <v>7</v>
      </c>
      <c r="I697" s="6">
        <f t="shared" si="6"/>
        <v>58</v>
      </c>
      <c r="M697" s="5" t="s">
        <v>248</v>
      </c>
    </row>
    <row r="698">
      <c r="A698" s="1">
        <v>45334.0</v>
      </c>
      <c r="B698" s="5" t="s">
        <v>69</v>
      </c>
      <c r="C698" s="5" t="str">
        <f>IFERROR(VLOOKUP(B698,'Overall Bean Summary'!A$2:B$36,2,FALSE),"")</f>
        <v>Bad</v>
      </c>
      <c r="D698" s="6">
        <f t="shared" si="1"/>
        <v>0</v>
      </c>
      <c r="E698" s="6">
        <f t="shared" si="2"/>
        <v>1</v>
      </c>
      <c r="F698" s="5">
        <f t="shared" si="3"/>
        <v>1</v>
      </c>
      <c r="G698" s="5">
        <f t="shared" si="4"/>
        <v>1</v>
      </c>
      <c r="H698" s="5">
        <f t="shared" si="7"/>
        <v>8</v>
      </c>
      <c r="I698" s="6">
        <f t="shared" si="6"/>
        <v>59</v>
      </c>
      <c r="L698" s="5" t="s">
        <v>249</v>
      </c>
    </row>
    <row r="699">
      <c r="A699" s="1">
        <v>45336.0</v>
      </c>
      <c r="B699" s="5" t="s">
        <v>34</v>
      </c>
      <c r="C699" s="5" t="str">
        <f>IFERROR(VLOOKUP(B699,'Overall Bean Summary'!A$2:B$36,2,FALSE),"")</f>
        <v>Good</v>
      </c>
      <c r="D699" s="6">
        <f t="shared" si="1"/>
        <v>1</v>
      </c>
      <c r="E699" s="6">
        <f t="shared" si="2"/>
        <v>0</v>
      </c>
      <c r="F699" s="5">
        <f t="shared" si="3"/>
        <v>1</v>
      </c>
      <c r="G699" s="5">
        <f t="shared" si="4"/>
        <v>1</v>
      </c>
      <c r="H699" s="5">
        <f t="shared" si="7"/>
        <v>9</v>
      </c>
      <c r="I699" s="6">
        <f t="shared" si="6"/>
        <v>60</v>
      </c>
      <c r="M699" s="5" t="s">
        <v>250</v>
      </c>
    </row>
    <row r="700">
      <c r="A700" s="1">
        <v>45336.0</v>
      </c>
      <c r="B700" s="5" t="s">
        <v>80</v>
      </c>
      <c r="C700" s="5" t="str">
        <f>IFERROR(VLOOKUP(B700,'Overall Bean Summary'!A$2:B$36,2,FALSE),"")</f>
        <v>Bad</v>
      </c>
      <c r="D700" s="6">
        <f t="shared" si="1"/>
        <v>0</v>
      </c>
      <c r="E700" s="6">
        <f t="shared" si="2"/>
        <v>1</v>
      </c>
      <c r="F700" s="5">
        <f t="shared" si="3"/>
        <v>1</v>
      </c>
      <c r="G700" s="5">
        <f t="shared" si="4"/>
        <v>2</v>
      </c>
      <c r="H700" s="5">
        <f t="shared" si="7"/>
        <v>10</v>
      </c>
      <c r="I700" s="6">
        <f t="shared" si="6"/>
        <v>61</v>
      </c>
    </row>
    <row r="701">
      <c r="A701" s="1">
        <v>45336.0</v>
      </c>
      <c r="B701" s="5" t="s">
        <v>69</v>
      </c>
      <c r="C701" s="5" t="str">
        <f>IFERROR(VLOOKUP(B701,'Overall Bean Summary'!A$2:B$36,2,FALSE),"")</f>
        <v>Bad</v>
      </c>
      <c r="D701" s="6">
        <f t="shared" si="1"/>
        <v>0</v>
      </c>
      <c r="E701" s="6">
        <f t="shared" si="2"/>
        <v>2</v>
      </c>
      <c r="F701" s="5">
        <f t="shared" si="3"/>
        <v>1</v>
      </c>
      <c r="G701" s="5">
        <f t="shared" si="4"/>
        <v>3</v>
      </c>
      <c r="H701" s="5">
        <f t="shared" si="7"/>
        <v>11</v>
      </c>
      <c r="I701" s="6">
        <f t="shared" si="6"/>
        <v>62</v>
      </c>
      <c r="L701" s="5" t="s">
        <v>251</v>
      </c>
    </row>
    <row r="702">
      <c r="A702" s="1">
        <v>45337.0</v>
      </c>
      <c r="B702" s="5" t="s">
        <v>14</v>
      </c>
      <c r="C702" s="5" t="str">
        <f>IFERROR(VLOOKUP(B702,'Overall Bean Summary'!A$2:B$36,2,FALSE),"")</f>
        <v>Bad</v>
      </c>
      <c r="D702" s="6">
        <f t="shared" si="1"/>
        <v>0</v>
      </c>
      <c r="E702" s="6">
        <f t="shared" si="2"/>
        <v>3</v>
      </c>
      <c r="F702" s="5">
        <f t="shared" si="3"/>
        <v>1</v>
      </c>
      <c r="G702" s="5">
        <f t="shared" si="4"/>
        <v>1</v>
      </c>
      <c r="H702" s="5">
        <f t="shared" si="7"/>
        <v>12</v>
      </c>
      <c r="I702" s="6">
        <f t="shared" si="6"/>
        <v>63</v>
      </c>
      <c r="M702" s="5" t="s">
        <v>252</v>
      </c>
    </row>
    <row r="703">
      <c r="A703" s="1">
        <v>45337.0</v>
      </c>
      <c r="B703" s="5" t="s">
        <v>58</v>
      </c>
      <c r="C703" s="5" t="str">
        <f>IFERROR(VLOOKUP(B703,'Overall Bean Summary'!A$2:B$36,2,FALSE),"")</f>
        <v>Bad</v>
      </c>
      <c r="D703" s="6">
        <f t="shared" si="1"/>
        <v>0</v>
      </c>
      <c r="E703" s="6">
        <f t="shared" si="2"/>
        <v>4</v>
      </c>
      <c r="F703" s="5">
        <f t="shared" si="3"/>
        <v>1</v>
      </c>
      <c r="G703" s="5">
        <f t="shared" si="4"/>
        <v>2</v>
      </c>
      <c r="H703" s="5">
        <f t="shared" si="7"/>
        <v>13</v>
      </c>
      <c r="I703" s="6">
        <f t="shared" si="6"/>
        <v>64</v>
      </c>
      <c r="L703" s="5" t="s">
        <v>253</v>
      </c>
    </row>
    <row r="704">
      <c r="A704" s="1">
        <v>45338.0</v>
      </c>
      <c r="B704" s="5" t="s">
        <v>72</v>
      </c>
      <c r="C704" s="5" t="str">
        <f>IFERROR(VLOOKUP(B704,'Overall Bean Summary'!A$2:B$36,2,FALSE),"")</f>
        <v>Bad</v>
      </c>
      <c r="D704" s="6">
        <f t="shared" si="1"/>
        <v>0</v>
      </c>
      <c r="E704" s="6">
        <f t="shared" si="2"/>
        <v>5</v>
      </c>
      <c r="F704" s="5">
        <f t="shared" si="3"/>
        <v>1</v>
      </c>
      <c r="G704" s="5">
        <f t="shared" si="4"/>
        <v>1</v>
      </c>
      <c r="H704" s="5">
        <f t="shared" si="7"/>
        <v>14</v>
      </c>
      <c r="I704" s="6">
        <f t="shared" si="6"/>
        <v>65</v>
      </c>
    </row>
    <row r="705">
      <c r="A705" s="1">
        <v>45343.0</v>
      </c>
      <c r="B705" s="5" t="s">
        <v>72</v>
      </c>
      <c r="C705" s="5" t="str">
        <f>IFERROR(VLOOKUP(B705,'Overall Bean Summary'!A$2:B$36,2,FALSE),"")</f>
        <v>Bad</v>
      </c>
      <c r="D705" s="6">
        <f t="shared" si="1"/>
        <v>0</v>
      </c>
      <c r="E705" s="6">
        <f t="shared" si="2"/>
        <v>6</v>
      </c>
      <c r="F705" s="5">
        <f t="shared" si="3"/>
        <v>2</v>
      </c>
      <c r="G705" s="5">
        <f t="shared" si="4"/>
        <v>1</v>
      </c>
      <c r="H705" s="5">
        <f t="shared" si="7"/>
        <v>15</v>
      </c>
      <c r="I705" s="6">
        <f t="shared" si="6"/>
        <v>66</v>
      </c>
    </row>
    <row r="706">
      <c r="A706" s="1">
        <v>45343.0</v>
      </c>
      <c r="B706" s="5" t="s">
        <v>69</v>
      </c>
      <c r="C706" s="5" t="str">
        <f>IFERROR(VLOOKUP(B706,'Overall Bean Summary'!A$2:B$36,2,FALSE),"")</f>
        <v>Bad</v>
      </c>
      <c r="D706" s="6">
        <f t="shared" si="1"/>
        <v>0</v>
      </c>
      <c r="E706" s="6">
        <f t="shared" si="2"/>
        <v>7</v>
      </c>
      <c r="F706" s="5">
        <f t="shared" si="3"/>
        <v>1</v>
      </c>
      <c r="G706" s="5">
        <f t="shared" si="4"/>
        <v>2</v>
      </c>
      <c r="H706" s="5">
        <f t="shared" si="7"/>
        <v>16</v>
      </c>
      <c r="I706" s="6">
        <f t="shared" si="6"/>
        <v>67</v>
      </c>
    </row>
    <row r="707">
      <c r="A707" s="1">
        <v>45344.0</v>
      </c>
      <c r="B707" s="5" t="s">
        <v>29</v>
      </c>
      <c r="C707" s="5" t="str">
        <f>IFERROR(VLOOKUP(B707,'Overall Bean Summary'!A$2:B$36,2,FALSE),"")</f>
        <v>Good</v>
      </c>
      <c r="D707" s="6">
        <f t="shared" si="1"/>
        <v>1</v>
      </c>
      <c r="E707" s="6">
        <f t="shared" si="2"/>
        <v>0</v>
      </c>
      <c r="F707" s="5">
        <f t="shared" si="3"/>
        <v>1</v>
      </c>
      <c r="G707" s="5">
        <f t="shared" si="4"/>
        <v>1</v>
      </c>
      <c r="H707" s="5">
        <f t="shared" si="7"/>
        <v>17</v>
      </c>
      <c r="I707" s="6">
        <f t="shared" si="6"/>
        <v>68</v>
      </c>
    </row>
    <row r="708">
      <c r="A708" s="1">
        <v>45344.0</v>
      </c>
      <c r="B708" s="5" t="s">
        <v>80</v>
      </c>
      <c r="C708" s="5" t="str">
        <f>IFERROR(VLOOKUP(B708,'Overall Bean Summary'!A$2:B$36,2,FALSE),"")</f>
        <v>Bad</v>
      </c>
      <c r="D708" s="6">
        <f t="shared" si="1"/>
        <v>0</v>
      </c>
      <c r="E708" s="6">
        <f t="shared" si="2"/>
        <v>1</v>
      </c>
      <c r="F708" s="5">
        <f t="shared" si="3"/>
        <v>1</v>
      </c>
      <c r="G708" s="5">
        <f t="shared" si="4"/>
        <v>2</v>
      </c>
      <c r="H708" s="5">
        <f t="shared" si="7"/>
        <v>18</v>
      </c>
      <c r="I708" s="6">
        <f t="shared" si="6"/>
        <v>69</v>
      </c>
    </row>
    <row r="709">
      <c r="A709" s="1">
        <v>45345.0</v>
      </c>
      <c r="B709" s="5" t="s">
        <v>56</v>
      </c>
      <c r="C709" s="5" t="str">
        <f>IFERROR(VLOOKUP(B709,'Overall Bean Summary'!A$2:B$36,2,FALSE),"")</f>
        <v>Good</v>
      </c>
      <c r="D709" s="6">
        <f t="shared" si="1"/>
        <v>1</v>
      </c>
      <c r="E709" s="6">
        <f t="shared" si="2"/>
        <v>0</v>
      </c>
      <c r="F709" s="5">
        <f t="shared" si="3"/>
        <v>1</v>
      </c>
      <c r="G709" s="5">
        <f t="shared" si="4"/>
        <v>1</v>
      </c>
      <c r="H709" s="5">
        <f t="shared" si="7"/>
        <v>19</v>
      </c>
      <c r="I709" s="6">
        <f t="shared" si="6"/>
        <v>70</v>
      </c>
      <c r="M709" s="5" t="s">
        <v>254</v>
      </c>
    </row>
    <row r="710">
      <c r="A710" s="1">
        <v>45345.0</v>
      </c>
      <c r="B710" s="5" t="s">
        <v>56</v>
      </c>
      <c r="C710" s="5" t="str">
        <f>IFERROR(VLOOKUP(B710,'Overall Bean Summary'!A$2:B$36,2,FALSE),"")</f>
        <v>Good</v>
      </c>
      <c r="D710" s="6">
        <f t="shared" si="1"/>
        <v>2</v>
      </c>
      <c r="E710" s="6">
        <f t="shared" si="2"/>
        <v>0</v>
      </c>
      <c r="F710" s="5">
        <f t="shared" si="3"/>
        <v>2</v>
      </c>
      <c r="G710" s="5">
        <f t="shared" si="4"/>
        <v>2</v>
      </c>
      <c r="H710" s="5">
        <f t="shared" si="7"/>
        <v>20</v>
      </c>
      <c r="I710" s="6">
        <f t="shared" si="6"/>
        <v>71</v>
      </c>
    </row>
    <row r="711">
      <c r="A711" s="1">
        <v>45345.0</v>
      </c>
      <c r="B711" s="5" t="s">
        <v>29</v>
      </c>
      <c r="C711" s="5" t="str">
        <f>IFERROR(VLOOKUP(B711,'Overall Bean Summary'!A$2:B$36,2,FALSE),"")</f>
        <v>Good</v>
      </c>
      <c r="D711" s="6">
        <f t="shared" si="1"/>
        <v>3</v>
      </c>
      <c r="E711" s="6">
        <f t="shared" si="2"/>
        <v>0</v>
      </c>
      <c r="F711" s="5">
        <f t="shared" si="3"/>
        <v>1</v>
      </c>
      <c r="G711" s="5">
        <f t="shared" si="4"/>
        <v>3</v>
      </c>
      <c r="H711" s="5">
        <f t="shared" si="7"/>
        <v>21</v>
      </c>
      <c r="I711" s="6">
        <f t="shared" si="6"/>
        <v>72</v>
      </c>
    </row>
    <row r="712">
      <c r="A712" s="1">
        <v>45345.0</v>
      </c>
      <c r="B712" s="5" t="s">
        <v>58</v>
      </c>
      <c r="C712" s="5" t="str">
        <f>IFERROR(VLOOKUP(B712,'Overall Bean Summary'!A$2:B$36,2,FALSE),"")</f>
        <v>Bad</v>
      </c>
      <c r="D712" s="6">
        <f t="shared" si="1"/>
        <v>0</v>
      </c>
      <c r="E712" s="6">
        <f t="shared" si="2"/>
        <v>1</v>
      </c>
      <c r="F712" s="5">
        <f t="shared" si="3"/>
        <v>1</v>
      </c>
      <c r="G712" s="5">
        <f t="shared" si="4"/>
        <v>4</v>
      </c>
      <c r="H712" s="5">
        <f t="shared" si="7"/>
        <v>22</v>
      </c>
      <c r="I712" s="6">
        <f t="shared" si="6"/>
        <v>73</v>
      </c>
    </row>
    <row r="713">
      <c r="A713" s="1">
        <v>45345.0</v>
      </c>
      <c r="B713" s="5" t="s">
        <v>69</v>
      </c>
      <c r="C713" s="5" t="str">
        <f>IFERROR(VLOOKUP(B713,'Overall Bean Summary'!A$2:B$36,2,FALSE),"")</f>
        <v>Bad</v>
      </c>
      <c r="D713" s="6">
        <f t="shared" si="1"/>
        <v>0</v>
      </c>
      <c r="E713" s="6">
        <f t="shared" si="2"/>
        <v>2</v>
      </c>
      <c r="F713" s="5">
        <f t="shared" si="3"/>
        <v>1</v>
      </c>
      <c r="G713" s="5">
        <f t="shared" si="4"/>
        <v>5</v>
      </c>
      <c r="H713" s="5">
        <f t="shared" si="7"/>
        <v>23</v>
      </c>
      <c r="I713" s="6">
        <f t="shared" si="6"/>
        <v>74</v>
      </c>
    </row>
    <row r="714">
      <c r="A714" s="1">
        <v>45348.0</v>
      </c>
      <c r="B714" s="5" t="s">
        <v>95</v>
      </c>
      <c r="C714" s="5" t="str">
        <f>IFERROR(VLOOKUP(B714,'Overall Bean Summary'!A$2:B$36,2,FALSE),"")</f>
        <v>Good</v>
      </c>
      <c r="D714" s="6">
        <f t="shared" si="1"/>
        <v>1</v>
      </c>
      <c r="E714" s="6">
        <f t="shared" si="2"/>
        <v>0</v>
      </c>
      <c r="F714" s="5">
        <f t="shared" si="3"/>
        <v>1</v>
      </c>
      <c r="G714" s="5">
        <f t="shared" si="4"/>
        <v>1</v>
      </c>
      <c r="H714" s="5">
        <f t="shared" si="7"/>
        <v>24</v>
      </c>
      <c r="I714" s="6">
        <f t="shared" si="6"/>
        <v>75</v>
      </c>
    </row>
    <row r="715">
      <c r="A715" s="22">
        <v>45350.0</v>
      </c>
      <c r="B715" s="5" t="s">
        <v>48</v>
      </c>
      <c r="C715" s="5" t="str">
        <f>IFERROR(VLOOKUP(B715,'Overall Bean Summary'!A$2:B$36,2,FALSE),"")</f>
        <v>Bad</v>
      </c>
      <c r="D715" s="6">
        <f t="shared" si="1"/>
        <v>0</v>
      </c>
      <c r="E715" s="6">
        <f t="shared" si="2"/>
        <v>1</v>
      </c>
      <c r="F715" s="5">
        <f t="shared" si="3"/>
        <v>1</v>
      </c>
      <c r="G715" s="5">
        <f t="shared" si="4"/>
        <v>1</v>
      </c>
      <c r="H715" s="5">
        <f t="shared" si="7"/>
        <v>25</v>
      </c>
      <c r="I715" s="6">
        <f t="shared" si="6"/>
        <v>76</v>
      </c>
      <c r="M715" s="5" t="s">
        <v>255</v>
      </c>
    </row>
    <row r="716">
      <c r="A716" s="22">
        <v>45350.0</v>
      </c>
      <c r="B716" s="5" t="s">
        <v>63</v>
      </c>
      <c r="C716" s="5" t="str">
        <f>IFERROR(VLOOKUP(B716,'Overall Bean Summary'!A$2:B$36,2,FALSE),"")</f>
        <v>Bad</v>
      </c>
      <c r="D716" s="6">
        <f t="shared" si="1"/>
        <v>0</v>
      </c>
      <c r="E716" s="6">
        <f t="shared" si="2"/>
        <v>2</v>
      </c>
      <c r="F716" s="5">
        <f t="shared" si="3"/>
        <v>1</v>
      </c>
      <c r="G716" s="5">
        <f t="shared" si="4"/>
        <v>2</v>
      </c>
      <c r="H716" s="5">
        <f t="shared" si="7"/>
        <v>26</v>
      </c>
      <c r="I716" s="6">
        <f t="shared" si="6"/>
        <v>77</v>
      </c>
      <c r="M716" s="5" t="s">
        <v>256</v>
      </c>
    </row>
    <row r="717">
      <c r="A717" s="22">
        <v>45350.0</v>
      </c>
      <c r="B717" s="5" t="s">
        <v>58</v>
      </c>
      <c r="C717" s="5" t="str">
        <f>IFERROR(VLOOKUP(B717,'Overall Bean Summary'!A$2:B$36,2,FALSE),"")</f>
        <v>Bad</v>
      </c>
      <c r="D717" s="6">
        <f t="shared" si="1"/>
        <v>0</v>
      </c>
      <c r="E717" s="6">
        <f t="shared" si="2"/>
        <v>3</v>
      </c>
      <c r="F717" s="5">
        <f t="shared" si="3"/>
        <v>1</v>
      </c>
      <c r="G717" s="5">
        <f t="shared" si="4"/>
        <v>3</v>
      </c>
      <c r="H717" s="5">
        <f t="shared" si="7"/>
        <v>27</v>
      </c>
      <c r="I717" s="6">
        <f t="shared" si="6"/>
        <v>78</v>
      </c>
    </row>
    <row r="718">
      <c r="A718" s="1">
        <v>45351.0</v>
      </c>
      <c r="B718" s="5" t="s">
        <v>69</v>
      </c>
      <c r="C718" s="5" t="str">
        <f>IFERROR(VLOOKUP(B718,'Overall Bean Summary'!A$2:B$36,2,FALSE),"")</f>
        <v>Bad</v>
      </c>
      <c r="D718" s="6">
        <f t="shared" si="1"/>
        <v>0</v>
      </c>
      <c r="E718" s="6">
        <f t="shared" si="2"/>
        <v>4</v>
      </c>
      <c r="F718" s="5">
        <f t="shared" si="3"/>
        <v>1</v>
      </c>
      <c r="G718" s="5">
        <f t="shared" si="4"/>
        <v>1</v>
      </c>
      <c r="H718" s="5">
        <f t="shared" si="7"/>
        <v>28</v>
      </c>
      <c r="I718" s="6">
        <f t="shared" si="6"/>
        <v>79</v>
      </c>
      <c r="M718" s="5" t="s">
        <v>257</v>
      </c>
    </row>
    <row r="719">
      <c r="A719" s="1">
        <v>45351.0</v>
      </c>
      <c r="B719" s="5" t="s">
        <v>67</v>
      </c>
      <c r="C719" s="5" t="str">
        <f>IFERROR(VLOOKUP(B719,'Overall Bean Summary'!A$2:B$36,2,FALSE),"")</f>
        <v>Good</v>
      </c>
      <c r="D719" s="6">
        <f t="shared" si="1"/>
        <v>1</v>
      </c>
      <c r="E719" s="6">
        <f t="shared" si="2"/>
        <v>0</v>
      </c>
      <c r="F719" s="5">
        <f t="shared" si="3"/>
        <v>1</v>
      </c>
      <c r="G719" s="5">
        <f t="shared" si="4"/>
        <v>2</v>
      </c>
      <c r="H719" s="5">
        <f t="shared" si="7"/>
        <v>29</v>
      </c>
      <c r="I719" s="6">
        <f t="shared" si="6"/>
        <v>80</v>
      </c>
    </row>
    <row r="720">
      <c r="A720" s="1">
        <v>45352.0</v>
      </c>
      <c r="B720" s="5" t="s">
        <v>63</v>
      </c>
      <c r="C720" s="5" t="str">
        <f>IFERROR(VLOOKUP(B720,'Overall Bean Summary'!A$2:B$36,2,FALSE),"")</f>
        <v>Bad</v>
      </c>
      <c r="D720" s="6">
        <f t="shared" si="1"/>
        <v>0</v>
      </c>
      <c r="E720" s="6">
        <f t="shared" si="2"/>
        <v>1</v>
      </c>
      <c r="F720" s="5">
        <f t="shared" si="3"/>
        <v>1</v>
      </c>
      <c r="G720" s="5">
        <f t="shared" si="4"/>
        <v>1</v>
      </c>
      <c r="H720" s="5">
        <f t="shared" si="7"/>
        <v>1</v>
      </c>
      <c r="I720" s="6">
        <f t="shared" si="6"/>
        <v>81</v>
      </c>
      <c r="M720" s="5" t="s">
        <v>258</v>
      </c>
    </row>
    <row r="721">
      <c r="A721" s="1">
        <v>45352.0</v>
      </c>
      <c r="B721" s="5" t="s">
        <v>56</v>
      </c>
      <c r="C721" s="5" t="str">
        <f>IFERROR(VLOOKUP(B721,'Overall Bean Summary'!A$2:B$36,2,FALSE),"")</f>
        <v>Good</v>
      </c>
      <c r="D721" s="6">
        <f t="shared" si="1"/>
        <v>1</v>
      </c>
      <c r="E721" s="6">
        <f t="shared" si="2"/>
        <v>0</v>
      </c>
      <c r="F721" s="5">
        <f t="shared" si="3"/>
        <v>1</v>
      </c>
      <c r="G721" s="5">
        <f t="shared" si="4"/>
        <v>2</v>
      </c>
      <c r="H721" s="5">
        <f t="shared" si="7"/>
        <v>2</v>
      </c>
      <c r="I721" s="6">
        <f t="shared" si="6"/>
        <v>82</v>
      </c>
    </row>
    <row r="722">
      <c r="A722" s="1">
        <v>45352.0</v>
      </c>
      <c r="B722" s="5" t="s">
        <v>45</v>
      </c>
      <c r="C722" s="5" t="str">
        <f>IFERROR(VLOOKUP(B722,'Overall Bean Summary'!A$2:B$36,2,FALSE),"")</f>
        <v>Good</v>
      </c>
      <c r="D722" s="6">
        <f t="shared" si="1"/>
        <v>2</v>
      </c>
      <c r="E722" s="6">
        <f t="shared" si="2"/>
        <v>0</v>
      </c>
      <c r="F722" s="5">
        <f t="shared" si="3"/>
        <v>1</v>
      </c>
      <c r="G722" s="5">
        <f t="shared" si="4"/>
        <v>3</v>
      </c>
      <c r="H722" s="5">
        <f t="shared" si="7"/>
        <v>3</v>
      </c>
      <c r="I722" s="6">
        <f t="shared" si="6"/>
        <v>83</v>
      </c>
    </row>
    <row r="723">
      <c r="A723" s="1">
        <v>45352.0</v>
      </c>
      <c r="B723" s="5" t="s">
        <v>72</v>
      </c>
      <c r="C723" s="5" t="str">
        <f>IFERROR(VLOOKUP(B723,'Overall Bean Summary'!A$2:B$36,2,FALSE),"")</f>
        <v>Bad</v>
      </c>
      <c r="D723" s="6">
        <f t="shared" si="1"/>
        <v>0</v>
      </c>
      <c r="E723" s="6">
        <f t="shared" si="2"/>
        <v>1</v>
      </c>
      <c r="F723" s="5">
        <f t="shared" si="3"/>
        <v>1</v>
      </c>
      <c r="G723" s="5">
        <f t="shared" si="4"/>
        <v>4</v>
      </c>
      <c r="H723" s="5">
        <f t="shared" si="7"/>
        <v>4</v>
      </c>
      <c r="I723" s="6">
        <f t="shared" si="6"/>
        <v>84</v>
      </c>
    </row>
    <row r="724">
      <c r="A724" s="1">
        <v>45352.0</v>
      </c>
      <c r="B724" s="5" t="s">
        <v>40</v>
      </c>
      <c r="C724" s="5" t="str">
        <f>IFERROR(VLOOKUP(B724,'Overall Bean Summary'!A$2:B$36,2,FALSE),"")</f>
        <v>Bad</v>
      </c>
      <c r="D724" s="6">
        <f t="shared" si="1"/>
        <v>0</v>
      </c>
      <c r="E724" s="6">
        <f t="shared" si="2"/>
        <v>2</v>
      </c>
      <c r="F724" s="5">
        <f t="shared" si="3"/>
        <v>1</v>
      </c>
      <c r="G724" s="5">
        <f t="shared" si="4"/>
        <v>5</v>
      </c>
      <c r="H724" s="5">
        <f t="shared" si="7"/>
        <v>5</v>
      </c>
      <c r="I724" s="6">
        <f t="shared" si="6"/>
        <v>85</v>
      </c>
    </row>
    <row r="725">
      <c r="A725" s="1">
        <v>45352.0</v>
      </c>
      <c r="B725" s="5" t="s">
        <v>85</v>
      </c>
      <c r="C725" s="5" t="str">
        <f>IFERROR(VLOOKUP(B725,'Overall Bean Summary'!A$2:B$36,2,FALSE),"")</f>
        <v>Good</v>
      </c>
      <c r="D725" s="6">
        <f t="shared" si="1"/>
        <v>1</v>
      </c>
      <c r="E725" s="6">
        <f t="shared" si="2"/>
        <v>0</v>
      </c>
      <c r="F725" s="5">
        <f t="shared" si="3"/>
        <v>1</v>
      </c>
      <c r="G725" s="5">
        <f t="shared" si="4"/>
        <v>6</v>
      </c>
      <c r="H725" s="5">
        <f t="shared" si="7"/>
        <v>6</v>
      </c>
      <c r="I725" s="6">
        <f t="shared" si="6"/>
        <v>86</v>
      </c>
    </row>
    <row r="726">
      <c r="A726" s="1">
        <v>45352.0</v>
      </c>
      <c r="B726" s="5" t="s">
        <v>44</v>
      </c>
      <c r="C726" s="5" t="str">
        <f>IFERROR(VLOOKUP(B726,'Overall Bean Summary'!A$2:B$36,2,FALSE),"")</f>
        <v>Good</v>
      </c>
      <c r="D726" s="6">
        <f t="shared" si="1"/>
        <v>2</v>
      </c>
      <c r="E726" s="6">
        <f t="shared" si="2"/>
        <v>0</v>
      </c>
      <c r="F726" s="5">
        <f t="shared" si="3"/>
        <v>1</v>
      </c>
      <c r="G726" s="5">
        <f t="shared" si="4"/>
        <v>7</v>
      </c>
      <c r="H726" s="5">
        <f t="shared" si="7"/>
        <v>7</v>
      </c>
      <c r="I726" s="6">
        <f t="shared" si="6"/>
        <v>87</v>
      </c>
    </row>
    <row r="727">
      <c r="A727" s="1">
        <v>45352.0</v>
      </c>
      <c r="B727" s="5" t="s">
        <v>72</v>
      </c>
      <c r="C727" s="5" t="str">
        <f>IFERROR(VLOOKUP(B727,'Overall Bean Summary'!A$2:B$36,2,FALSE),"")</f>
        <v>Bad</v>
      </c>
      <c r="D727" s="6">
        <f t="shared" si="1"/>
        <v>0</v>
      </c>
      <c r="E727" s="6">
        <f t="shared" si="2"/>
        <v>1</v>
      </c>
      <c r="F727" s="5">
        <f t="shared" si="3"/>
        <v>1</v>
      </c>
      <c r="G727" s="5">
        <f t="shared" si="4"/>
        <v>8</v>
      </c>
      <c r="H727" s="5">
        <f t="shared" si="7"/>
        <v>8</v>
      </c>
      <c r="I727" s="6">
        <f t="shared" si="6"/>
        <v>88</v>
      </c>
    </row>
    <row r="728">
      <c r="A728" s="1">
        <v>45355.0</v>
      </c>
      <c r="B728" s="5" t="s">
        <v>41</v>
      </c>
      <c r="C728" s="5" t="str">
        <f>IFERROR(VLOOKUP(B728,'Overall Bean Summary'!A$2:B$36,2,FALSE),"")</f>
        <v>Bad</v>
      </c>
      <c r="D728" s="6">
        <f t="shared" si="1"/>
        <v>0</v>
      </c>
      <c r="E728" s="6">
        <f t="shared" si="2"/>
        <v>2</v>
      </c>
      <c r="F728" s="5">
        <f t="shared" si="3"/>
        <v>1</v>
      </c>
      <c r="G728" s="5">
        <f t="shared" si="4"/>
        <v>1</v>
      </c>
      <c r="H728" s="5">
        <f t="shared" si="7"/>
        <v>9</v>
      </c>
      <c r="I728" s="6">
        <f t="shared" si="6"/>
        <v>89</v>
      </c>
      <c r="M728" s="5" t="s">
        <v>259</v>
      </c>
    </row>
    <row r="729">
      <c r="A729" s="1">
        <v>45356.0</v>
      </c>
      <c r="B729" s="5" t="s">
        <v>45</v>
      </c>
      <c r="C729" s="5" t="str">
        <f>IFERROR(VLOOKUP(B729,'Overall Bean Summary'!A$2:B$36,2,FALSE),"")</f>
        <v>Good</v>
      </c>
      <c r="D729" s="6">
        <f t="shared" si="1"/>
        <v>1</v>
      </c>
      <c r="E729" s="6">
        <f t="shared" si="2"/>
        <v>0</v>
      </c>
      <c r="F729" s="5">
        <f t="shared" si="3"/>
        <v>1</v>
      </c>
      <c r="G729" s="5">
        <f t="shared" si="4"/>
        <v>1</v>
      </c>
      <c r="H729" s="5">
        <f t="shared" si="7"/>
        <v>10</v>
      </c>
      <c r="I729" s="6">
        <f t="shared" si="6"/>
        <v>90</v>
      </c>
    </row>
    <row r="730">
      <c r="A730" s="1">
        <v>45357.0</v>
      </c>
      <c r="B730" s="5" t="s">
        <v>58</v>
      </c>
      <c r="C730" s="5" t="str">
        <f>IFERROR(VLOOKUP(B730,'Overall Bean Summary'!A$2:B$36,2,FALSE),"")</f>
        <v>Bad</v>
      </c>
      <c r="D730" s="6">
        <f t="shared" si="1"/>
        <v>0</v>
      </c>
      <c r="E730" s="6">
        <f t="shared" si="2"/>
        <v>1</v>
      </c>
      <c r="F730" s="5">
        <f t="shared" si="3"/>
        <v>1</v>
      </c>
      <c r="G730" s="5">
        <f t="shared" si="4"/>
        <v>1</v>
      </c>
      <c r="H730" s="5">
        <f t="shared" si="7"/>
        <v>11</v>
      </c>
      <c r="I730" s="6">
        <f t="shared" si="6"/>
        <v>91</v>
      </c>
    </row>
    <row r="731">
      <c r="A731" s="1">
        <v>45358.0</v>
      </c>
      <c r="B731" s="5" t="s">
        <v>80</v>
      </c>
      <c r="C731" s="5" t="str">
        <f>IFERROR(VLOOKUP(B731,'Overall Bean Summary'!A$2:B$36,2,FALSE),"")</f>
        <v>Bad</v>
      </c>
      <c r="D731" s="6">
        <f t="shared" si="1"/>
        <v>0</v>
      </c>
      <c r="E731" s="6">
        <f t="shared" si="2"/>
        <v>2</v>
      </c>
      <c r="F731" s="5">
        <f t="shared" si="3"/>
        <v>1</v>
      </c>
      <c r="G731" s="5">
        <f t="shared" si="4"/>
        <v>1</v>
      </c>
      <c r="H731" s="5">
        <f t="shared" si="7"/>
        <v>12</v>
      </c>
      <c r="I731" s="6">
        <f t="shared" si="6"/>
        <v>92</v>
      </c>
    </row>
    <row r="732">
      <c r="A732" s="1">
        <v>45359.0</v>
      </c>
      <c r="B732" s="5" t="s">
        <v>58</v>
      </c>
      <c r="C732" s="5" t="str">
        <f>IFERROR(VLOOKUP(B732,'Overall Bean Summary'!A$2:B$36,2,FALSE),"")</f>
        <v>Bad</v>
      </c>
      <c r="D732" s="6">
        <f t="shared" si="1"/>
        <v>0</v>
      </c>
      <c r="E732" s="6">
        <f t="shared" si="2"/>
        <v>3</v>
      </c>
      <c r="F732" s="5">
        <f t="shared" si="3"/>
        <v>1</v>
      </c>
      <c r="G732" s="5">
        <f t="shared" si="4"/>
        <v>1</v>
      </c>
      <c r="H732" s="5">
        <f t="shared" si="7"/>
        <v>13</v>
      </c>
      <c r="I732" s="6">
        <f t="shared" si="6"/>
        <v>93</v>
      </c>
    </row>
    <row r="733">
      <c r="A733" s="1">
        <v>45359.0</v>
      </c>
      <c r="B733" s="5" t="s">
        <v>72</v>
      </c>
      <c r="C733" s="5" t="str">
        <f>IFERROR(VLOOKUP(B733,'Overall Bean Summary'!A$2:B$36,2,FALSE),"")</f>
        <v>Bad</v>
      </c>
      <c r="D733" s="6">
        <f t="shared" si="1"/>
        <v>0</v>
      </c>
      <c r="E733" s="6">
        <f t="shared" si="2"/>
        <v>4</v>
      </c>
      <c r="F733" s="5">
        <f t="shared" si="3"/>
        <v>1</v>
      </c>
      <c r="G733" s="5">
        <f t="shared" si="4"/>
        <v>2</v>
      </c>
      <c r="H733" s="5">
        <f t="shared" si="7"/>
        <v>14</v>
      </c>
      <c r="I733" s="6">
        <f t="shared" si="6"/>
        <v>94</v>
      </c>
    </row>
    <row r="734">
      <c r="A734" s="1">
        <v>45359.0</v>
      </c>
      <c r="B734" s="5" t="s">
        <v>63</v>
      </c>
      <c r="C734" s="5" t="str">
        <f>IFERROR(VLOOKUP(B734,'Overall Bean Summary'!A$2:B$36,2,FALSE),"")</f>
        <v>Bad</v>
      </c>
      <c r="D734" s="6">
        <f t="shared" si="1"/>
        <v>0</v>
      </c>
      <c r="E734" s="6">
        <f t="shared" si="2"/>
        <v>5</v>
      </c>
      <c r="F734" s="5">
        <f t="shared" si="3"/>
        <v>1</v>
      </c>
      <c r="G734" s="5">
        <f t="shared" si="4"/>
        <v>3</v>
      </c>
      <c r="H734" s="5">
        <f t="shared" si="7"/>
        <v>15</v>
      </c>
      <c r="I734" s="6">
        <f t="shared" si="6"/>
        <v>95</v>
      </c>
    </row>
    <row r="735">
      <c r="A735" s="1">
        <v>45359.0</v>
      </c>
      <c r="B735" s="5" t="s">
        <v>80</v>
      </c>
      <c r="C735" s="5" t="str">
        <f>IFERROR(VLOOKUP(B735,'Overall Bean Summary'!A$2:B$36,2,FALSE),"")</f>
        <v>Bad</v>
      </c>
      <c r="D735" s="6">
        <f t="shared" si="1"/>
        <v>0</v>
      </c>
      <c r="E735" s="6">
        <f t="shared" si="2"/>
        <v>6</v>
      </c>
      <c r="F735" s="5">
        <f t="shared" si="3"/>
        <v>1</v>
      </c>
      <c r="G735" s="5">
        <f t="shared" si="4"/>
        <v>4</v>
      </c>
      <c r="H735" s="5">
        <f t="shared" si="7"/>
        <v>16</v>
      </c>
      <c r="I735" s="6">
        <f t="shared" si="6"/>
        <v>96</v>
      </c>
    </row>
    <row r="736">
      <c r="A736" s="1">
        <v>45359.0</v>
      </c>
      <c r="B736" s="5" t="s">
        <v>40</v>
      </c>
      <c r="C736" s="5" t="str">
        <f>IFERROR(VLOOKUP(B736,'Overall Bean Summary'!A$2:B$36,2,FALSE),"")</f>
        <v>Bad</v>
      </c>
      <c r="D736" s="6">
        <f t="shared" si="1"/>
        <v>0</v>
      </c>
      <c r="E736" s="6">
        <f t="shared" si="2"/>
        <v>7</v>
      </c>
      <c r="F736" s="5">
        <f t="shared" si="3"/>
        <v>1</v>
      </c>
      <c r="G736" s="5">
        <f t="shared" si="4"/>
        <v>5</v>
      </c>
      <c r="H736" s="5">
        <f t="shared" si="7"/>
        <v>17</v>
      </c>
      <c r="I736" s="6">
        <f t="shared" si="6"/>
        <v>97</v>
      </c>
    </row>
    <row r="737">
      <c r="A737" s="1">
        <v>45359.0</v>
      </c>
      <c r="B737" s="5" t="s">
        <v>48</v>
      </c>
      <c r="C737" s="5" t="str">
        <f>IFERROR(VLOOKUP(B737,'Overall Bean Summary'!A$2:B$36,2,FALSE),"")</f>
        <v>Bad</v>
      </c>
      <c r="D737" s="6">
        <f t="shared" si="1"/>
        <v>0</v>
      </c>
      <c r="E737" s="6">
        <f t="shared" si="2"/>
        <v>8</v>
      </c>
      <c r="F737" s="5">
        <f t="shared" si="3"/>
        <v>1</v>
      </c>
      <c r="G737" s="5">
        <f t="shared" si="4"/>
        <v>6</v>
      </c>
      <c r="H737" s="5">
        <f t="shared" si="7"/>
        <v>18</v>
      </c>
      <c r="I737" s="6">
        <f t="shared" si="6"/>
        <v>98</v>
      </c>
    </row>
    <row r="738">
      <c r="A738" s="1">
        <v>45359.0</v>
      </c>
      <c r="B738" s="5" t="s">
        <v>51</v>
      </c>
      <c r="C738" s="5" t="str">
        <f>IFERROR(VLOOKUP(B738,'Overall Bean Summary'!A$2:B$36,2,FALSE),"")</f>
        <v>Bad</v>
      </c>
      <c r="D738" s="6">
        <f t="shared" si="1"/>
        <v>0</v>
      </c>
      <c r="E738" s="6">
        <f t="shared" si="2"/>
        <v>9</v>
      </c>
      <c r="F738" s="5">
        <f t="shared" si="3"/>
        <v>1</v>
      </c>
      <c r="G738" s="5">
        <f t="shared" si="4"/>
        <v>7</v>
      </c>
      <c r="H738" s="5">
        <f t="shared" si="7"/>
        <v>19</v>
      </c>
      <c r="I738" s="6">
        <f t="shared" si="6"/>
        <v>99</v>
      </c>
    </row>
    <row r="739">
      <c r="A739" s="1">
        <v>45359.0</v>
      </c>
      <c r="B739" s="5" t="s">
        <v>40</v>
      </c>
      <c r="C739" s="5" t="str">
        <f>IFERROR(VLOOKUP(B739,'Overall Bean Summary'!A$2:B$36,2,FALSE),"")</f>
        <v>Bad</v>
      </c>
      <c r="D739" s="6">
        <f t="shared" si="1"/>
        <v>0</v>
      </c>
      <c r="E739" s="6">
        <f t="shared" si="2"/>
        <v>10</v>
      </c>
      <c r="F739" s="5">
        <f t="shared" si="3"/>
        <v>1</v>
      </c>
      <c r="G739" s="5">
        <f t="shared" si="4"/>
        <v>8</v>
      </c>
      <c r="H739" s="5">
        <f t="shared" si="7"/>
        <v>20</v>
      </c>
      <c r="I739" s="6">
        <f t="shared" si="6"/>
        <v>100</v>
      </c>
    </row>
    <row r="740">
      <c r="A740" s="1">
        <v>45359.0</v>
      </c>
      <c r="B740" s="5" t="s">
        <v>80</v>
      </c>
      <c r="C740" s="5" t="str">
        <f>IFERROR(VLOOKUP(B740,'Overall Bean Summary'!A$2:B$36,2,FALSE),"")</f>
        <v>Bad</v>
      </c>
      <c r="D740" s="6">
        <f t="shared" si="1"/>
        <v>0</v>
      </c>
      <c r="E740" s="6">
        <f t="shared" si="2"/>
        <v>11</v>
      </c>
      <c r="F740" s="5">
        <f t="shared" si="3"/>
        <v>1</v>
      </c>
      <c r="G740" s="5">
        <f t="shared" si="4"/>
        <v>9</v>
      </c>
      <c r="H740" s="5">
        <f t="shared" si="7"/>
        <v>21</v>
      </c>
      <c r="I740" s="6">
        <f t="shared" si="6"/>
        <v>101</v>
      </c>
    </row>
    <row r="741">
      <c r="A741" s="1">
        <v>45359.0</v>
      </c>
      <c r="B741" s="5" t="s">
        <v>95</v>
      </c>
      <c r="C741" s="5" t="str">
        <f>IFERROR(VLOOKUP(B741,'Overall Bean Summary'!A$2:B$36,2,FALSE),"")</f>
        <v>Good</v>
      </c>
      <c r="D741" s="6">
        <f t="shared" si="1"/>
        <v>1</v>
      </c>
      <c r="E741" s="6">
        <f t="shared" si="2"/>
        <v>0</v>
      </c>
      <c r="F741" s="5">
        <f t="shared" si="3"/>
        <v>1</v>
      </c>
      <c r="G741" s="5">
        <f t="shared" si="4"/>
        <v>10</v>
      </c>
      <c r="H741" s="5">
        <f t="shared" si="7"/>
        <v>22</v>
      </c>
      <c r="I741" s="6">
        <f t="shared" si="6"/>
        <v>102</v>
      </c>
    </row>
    <row r="742">
      <c r="A742" s="1">
        <v>45359.0</v>
      </c>
      <c r="B742" s="5" t="s">
        <v>14</v>
      </c>
      <c r="C742" s="5" t="str">
        <f>IFERROR(VLOOKUP(B742,'Overall Bean Summary'!A$2:B$36,2,FALSE),"")</f>
        <v>Bad</v>
      </c>
      <c r="D742" s="6">
        <f t="shared" si="1"/>
        <v>0</v>
      </c>
      <c r="E742" s="6">
        <f t="shared" si="2"/>
        <v>1</v>
      </c>
      <c r="F742" s="5">
        <f t="shared" si="3"/>
        <v>1</v>
      </c>
      <c r="G742" s="5">
        <f t="shared" si="4"/>
        <v>11</v>
      </c>
      <c r="H742" s="5">
        <f t="shared" si="7"/>
        <v>23</v>
      </c>
      <c r="I742" s="6">
        <f t="shared" si="6"/>
        <v>103</v>
      </c>
    </row>
    <row r="743">
      <c r="A743" s="1">
        <v>45359.0</v>
      </c>
      <c r="B743" s="5" t="s">
        <v>63</v>
      </c>
      <c r="C743" s="5" t="str">
        <f>IFERROR(VLOOKUP(B743,'Overall Bean Summary'!A$2:B$36,2,FALSE),"")</f>
        <v>Bad</v>
      </c>
      <c r="D743" s="6">
        <f t="shared" si="1"/>
        <v>0</v>
      </c>
      <c r="E743" s="6">
        <f t="shared" si="2"/>
        <v>2</v>
      </c>
      <c r="F743" s="5">
        <f t="shared" si="3"/>
        <v>1</v>
      </c>
      <c r="G743" s="5">
        <f t="shared" si="4"/>
        <v>12</v>
      </c>
      <c r="H743" s="5">
        <f t="shared" si="7"/>
        <v>24</v>
      </c>
      <c r="I743" s="6">
        <f t="shared" si="6"/>
        <v>104</v>
      </c>
    </row>
    <row r="744">
      <c r="A744" s="1">
        <v>45359.0</v>
      </c>
      <c r="B744" s="5" t="s">
        <v>67</v>
      </c>
      <c r="C744" s="5" t="str">
        <f>IFERROR(VLOOKUP(B744,'Overall Bean Summary'!A$2:B$36,2,FALSE),"")</f>
        <v>Good</v>
      </c>
      <c r="D744" s="6">
        <f t="shared" si="1"/>
        <v>1</v>
      </c>
      <c r="E744" s="6">
        <f t="shared" si="2"/>
        <v>0</v>
      </c>
      <c r="F744" s="5">
        <f t="shared" si="3"/>
        <v>1</v>
      </c>
      <c r="G744" s="5">
        <f t="shared" si="4"/>
        <v>13</v>
      </c>
      <c r="H744" s="5">
        <f t="shared" si="7"/>
        <v>25</v>
      </c>
      <c r="I744" s="6">
        <f t="shared" si="6"/>
        <v>105</v>
      </c>
    </row>
    <row r="745">
      <c r="A745" s="1">
        <v>45359.0</v>
      </c>
      <c r="B745" s="5" t="s">
        <v>51</v>
      </c>
      <c r="C745" s="5" t="str">
        <f>IFERROR(VLOOKUP(B745,'Overall Bean Summary'!A$2:B$36,2,FALSE),"")</f>
        <v>Bad</v>
      </c>
      <c r="D745" s="6">
        <f t="shared" si="1"/>
        <v>0</v>
      </c>
      <c r="E745" s="6">
        <f t="shared" si="2"/>
        <v>1</v>
      </c>
      <c r="F745" s="5">
        <f t="shared" si="3"/>
        <v>1</v>
      </c>
      <c r="G745" s="5">
        <f t="shared" si="4"/>
        <v>14</v>
      </c>
      <c r="H745" s="5">
        <f t="shared" si="7"/>
        <v>26</v>
      </c>
      <c r="I745" s="6">
        <f t="shared" si="6"/>
        <v>106</v>
      </c>
    </row>
    <row r="746">
      <c r="A746" s="1">
        <v>45359.0</v>
      </c>
      <c r="B746" s="5" t="s">
        <v>48</v>
      </c>
      <c r="C746" s="5" t="str">
        <f>IFERROR(VLOOKUP(B746,'Overall Bean Summary'!A$2:B$36,2,FALSE),"")</f>
        <v>Bad</v>
      </c>
      <c r="D746" s="6">
        <f t="shared" si="1"/>
        <v>0</v>
      </c>
      <c r="E746" s="6">
        <f t="shared" si="2"/>
        <v>2</v>
      </c>
      <c r="F746" s="5">
        <f t="shared" si="3"/>
        <v>1</v>
      </c>
      <c r="G746" s="5">
        <f t="shared" si="4"/>
        <v>15</v>
      </c>
      <c r="H746" s="5">
        <f t="shared" si="7"/>
        <v>27</v>
      </c>
      <c r="I746" s="6">
        <f t="shared" si="6"/>
        <v>107</v>
      </c>
    </row>
    <row r="747">
      <c r="A747" s="1">
        <v>45359.0</v>
      </c>
      <c r="B747" s="5" t="s">
        <v>40</v>
      </c>
      <c r="C747" s="5" t="str">
        <f>IFERROR(VLOOKUP(B747,'Overall Bean Summary'!A$2:B$36,2,FALSE),"")</f>
        <v>Bad</v>
      </c>
      <c r="D747" s="6">
        <f t="shared" si="1"/>
        <v>0</v>
      </c>
      <c r="E747" s="6">
        <f t="shared" si="2"/>
        <v>3</v>
      </c>
      <c r="F747" s="5">
        <f t="shared" si="3"/>
        <v>1</v>
      </c>
      <c r="G747" s="5">
        <f t="shared" si="4"/>
        <v>16</v>
      </c>
      <c r="H747" s="5">
        <f t="shared" si="7"/>
        <v>28</v>
      </c>
      <c r="I747" s="6">
        <f t="shared" si="6"/>
        <v>108</v>
      </c>
    </row>
    <row r="748">
      <c r="A748" s="1">
        <v>45359.0</v>
      </c>
      <c r="B748" s="5" t="s">
        <v>80</v>
      </c>
      <c r="C748" s="5" t="str">
        <f>IFERROR(VLOOKUP(B748,'Overall Bean Summary'!A$2:B$36,2,FALSE),"")</f>
        <v>Bad</v>
      </c>
      <c r="D748" s="6">
        <f t="shared" si="1"/>
        <v>0</v>
      </c>
      <c r="E748" s="6">
        <f t="shared" si="2"/>
        <v>4</v>
      </c>
      <c r="F748" s="5">
        <f t="shared" si="3"/>
        <v>1</v>
      </c>
      <c r="G748" s="5">
        <f t="shared" si="4"/>
        <v>17</v>
      </c>
      <c r="H748" s="5">
        <f t="shared" si="7"/>
        <v>29</v>
      </c>
      <c r="I748" s="6">
        <f t="shared" si="6"/>
        <v>109</v>
      </c>
    </row>
    <row r="749">
      <c r="A749" s="1">
        <v>45359.0</v>
      </c>
      <c r="B749" s="5" t="s">
        <v>58</v>
      </c>
      <c r="C749" s="5" t="str">
        <f>IFERROR(VLOOKUP(B749,'Overall Bean Summary'!A$2:B$36,2,FALSE),"")</f>
        <v>Bad</v>
      </c>
      <c r="D749" s="6">
        <f t="shared" si="1"/>
        <v>0</v>
      </c>
      <c r="E749" s="6">
        <f t="shared" si="2"/>
        <v>5</v>
      </c>
      <c r="F749" s="5">
        <f t="shared" si="3"/>
        <v>1</v>
      </c>
      <c r="G749" s="5">
        <f t="shared" si="4"/>
        <v>18</v>
      </c>
      <c r="H749" s="5">
        <f t="shared" si="7"/>
        <v>30</v>
      </c>
      <c r="I749" s="6">
        <f t="shared" si="6"/>
        <v>110</v>
      </c>
    </row>
    <row r="750">
      <c r="A750" s="1">
        <v>45359.0</v>
      </c>
      <c r="B750" s="5" t="s">
        <v>69</v>
      </c>
      <c r="C750" s="5" t="str">
        <f>IFERROR(VLOOKUP(B750,'Overall Bean Summary'!A$2:B$36,2,FALSE),"")</f>
        <v>Bad</v>
      </c>
      <c r="D750" s="6">
        <f t="shared" si="1"/>
        <v>0</v>
      </c>
      <c r="E750" s="6">
        <f t="shared" si="2"/>
        <v>6</v>
      </c>
      <c r="F750" s="5">
        <f t="shared" si="3"/>
        <v>1</v>
      </c>
      <c r="G750" s="5">
        <f t="shared" si="4"/>
        <v>19</v>
      </c>
      <c r="H750" s="5">
        <f t="shared" si="7"/>
        <v>31</v>
      </c>
      <c r="I750" s="6">
        <f t="shared" si="6"/>
        <v>111</v>
      </c>
    </row>
    <row r="751">
      <c r="A751" s="1">
        <v>45359.0</v>
      </c>
      <c r="B751" s="5" t="s">
        <v>29</v>
      </c>
      <c r="C751" s="5" t="str">
        <f>IFERROR(VLOOKUP(B751,'Overall Bean Summary'!A$2:B$36,2,FALSE),"")</f>
        <v>Good</v>
      </c>
      <c r="D751" s="6">
        <f t="shared" si="1"/>
        <v>1</v>
      </c>
      <c r="E751" s="6">
        <f t="shared" si="2"/>
        <v>0</v>
      </c>
      <c r="F751" s="5">
        <f t="shared" si="3"/>
        <v>1</v>
      </c>
      <c r="G751" s="5">
        <f t="shared" si="4"/>
        <v>20</v>
      </c>
      <c r="H751" s="5">
        <f t="shared" si="7"/>
        <v>32</v>
      </c>
      <c r="I751" s="6">
        <f t="shared" si="6"/>
        <v>112</v>
      </c>
    </row>
    <row r="752">
      <c r="A752" s="1">
        <v>45359.0</v>
      </c>
      <c r="B752" s="5" t="s">
        <v>51</v>
      </c>
      <c r="C752" s="5" t="str">
        <f>IFERROR(VLOOKUP(B752,'Overall Bean Summary'!A$2:B$36,2,FALSE),"")</f>
        <v>Bad</v>
      </c>
      <c r="D752" s="6">
        <f t="shared" si="1"/>
        <v>0</v>
      </c>
      <c r="E752" s="6">
        <f t="shared" si="2"/>
        <v>1</v>
      </c>
      <c r="F752" s="5">
        <f t="shared" si="3"/>
        <v>1</v>
      </c>
      <c r="G752" s="5">
        <f t="shared" si="4"/>
        <v>21</v>
      </c>
      <c r="H752" s="5">
        <f t="shared" si="7"/>
        <v>33</v>
      </c>
      <c r="I752" s="6">
        <f t="shared" si="6"/>
        <v>113</v>
      </c>
    </row>
    <row r="753">
      <c r="A753" s="1">
        <v>45359.0</v>
      </c>
      <c r="B753" s="5" t="s">
        <v>14</v>
      </c>
      <c r="C753" s="5" t="str">
        <f>IFERROR(VLOOKUP(B753,'Overall Bean Summary'!A$2:B$36,2,FALSE),"")</f>
        <v>Bad</v>
      </c>
      <c r="D753" s="6">
        <f t="shared" si="1"/>
        <v>0</v>
      </c>
      <c r="E753" s="6">
        <f t="shared" si="2"/>
        <v>2</v>
      </c>
      <c r="F753" s="5">
        <f t="shared" si="3"/>
        <v>1</v>
      </c>
      <c r="G753" s="5">
        <f t="shared" si="4"/>
        <v>22</v>
      </c>
      <c r="H753" s="5">
        <f t="shared" si="7"/>
        <v>34</v>
      </c>
      <c r="I753" s="6">
        <f t="shared" si="6"/>
        <v>114</v>
      </c>
    </row>
    <row r="754">
      <c r="A754" s="1">
        <v>45359.0</v>
      </c>
      <c r="B754" s="5" t="s">
        <v>44</v>
      </c>
      <c r="C754" s="5" t="str">
        <f>IFERROR(VLOOKUP(B754,'Overall Bean Summary'!A$2:B$36,2,FALSE),"")</f>
        <v>Good</v>
      </c>
      <c r="D754" s="6">
        <f t="shared" si="1"/>
        <v>1</v>
      </c>
      <c r="E754" s="6">
        <f t="shared" si="2"/>
        <v>0</v>
      </c>
      <c r="F754" s="5">
        <f t="shared" si="3"/>
        <v>1</v>
      </c>
      <c r="G754" s="5">
        <f t="shared" si="4"/>
        <v>23</v>
      </c>
      <c r="H754" s="5">
        <f t="shared" si="7"/>
        <v>35</v>
      </c>
      <c r="I754" s="6">
        <f t="shared" si="6"/>
        <v>115</v>
      </c>
      <c r="K754" s="41">
        <v>0.24444444444444444</v>
      </c>
    </row>
    <row r="755">
      <c r="A755" s="1">
        <v>45369.0</v>
      </c>
      <c r="B755" s="5" t="s">
        <v>40</v>
      </c>
      <c r="C755" s="5" t="str">
        <f>IFERROR(VLOOKUP(B755,'Overall Bean Summary'!A$2:B$36,2,FALSE),"")</f>
        <v>Bad</v>
      </c>
      <c r="D755" s="6">
        <f t="shared" si="1"/>
        <v>0</v>
      </c>
      <c r="E755" s="6">
        <f t="shared" si="2"/>
        <v>1</v>
      </c>
      <c r="F755" s="5">
        <f t="shared" si="3"/>
        <v>1</v>
      </c>
      <c r="G755" s="5">
        <f t="shared" si="4"/>
        <v>1</v>
      </c>
      <c r="H755" s="5">
        <f t="shared" si="7"/>
        <v>36</v>
      </c>
      <c r="I755" s="6">
        <f t="shared" si="6"/>
        <v>116</v>
      </c>
    </row>
    <row r="756">
      <c r="A756" s="1">
        <v>45373.0</v>
      </c>
      <c r="B756" s="5" t="s">
        <v>51</v>
      </c>
      <c r="C756" s="5" t="str">
        <f>IFERROR(VLOOKUP(B756,'Overall Bean Summary'!A$2:B$36,2,FALSE),"")</f>
        <v>Bad</v>
      </c>
      <c r="D756" s="6">
        <f t="shared" si="1"/>
        <v>0</v>
      </c>
      <c r="E756" s="6">
        <f t="shared" si="2"/>
        <v>2</v>
      </c>
      <c r="F756" s="5">
        <f t="shared" si="3"/>
        <v>1</v>
      </c>
      <c r="G756" s="5">
        <f t="shared" si="4"/>
        <v>1</v>
      </c>
      <c r="H756" s="5">
        <f t="shared" si="7"/>
        <v>37</v>
      </c>
      <c r="I756" s="6">
        <f t="shared" si="6"/>
        <v>117</v>
      </c>
    </row>
    <row r="757">
      <c r="A757" s="1">
        <v>45378.0</v>
      </c>
      <c r="B757" s="5" t="s">
        <v>29</v>
      </c>
      <c r="C757" s="5" t="str">
        <f>IFERROR(VLOOKUP(B757,'Overall Bean Summary'!A$2:B$36,2,FALSE),"")</f>
        <v>Good</v>
      </c>
      <c r="D757" s="6">
        <f t="shared" si="1"/>
        <v>1</v>
      </c>
      <c r="E757" s="6">
        <f t="shared" si="2"/>
        <v>0</v>
      </c>
      <c r="F757" s="5">
        <f t="shared" si="3"/>
        <v>1</v>
      </c>
      <c r="G757" s="5">
        <f t="shared" si="4"/>
        <v>1</v>
      </c>
      <c r="H757" s="5">
        <f t="shared" si="7"/>
        <v>38</v>
      </c>
      <c r="I757" s="6">
        <f t="shared" si="6"/>
        <v>118</v>
      </c>
      <c r="M757" s="5" t="s">
        <v>268</v>
      </c>
    </row>
    <row r="758">
      <c r="A758" s="1">
        <v>45379.0</v>
      </c>
      <c r="B758" s="5" t="s">
        <v>40</v>
      </c>
      <c r="C758" s="5" t="str">
        <f>IFERROR(VLOOKUP(B758,'Overall Bean Summary'!A$2:B$36,2,FALSE),"")</f>
        <v>Bad</v>
      </c>
      <c r="D758" s="6">
        <f t="shared" si="1"/>
        <v>0</v>
      </c>
      <c r="E758" s="6">
        <f t="shared" si="2"/>
        <v>1</v>
      </c>
      <c r="F758" s="5">
        <f t="shared" si="3"/>
        <v>1</v>
      </c>
      <c r="G758" s="5">
        <f t="shared" si="4"/>
        <v>1</v>
      </c>
      <c r="H758" s="5">
        <f t="shared" si="7"/>
        <v>39</v>
      </c>
      <c r="I758" s="6">
        <f t="shared" si="6"/>
        <v>119</v>
      </c>
      <c r="M758" s="5" t="s">
        <v>269</v>
      </c>
    </row>
    <row r="759">
      <c r="A759" s="1">
        <v>45380.0</v>
      </c>
      <c r="B759" s="5" t="s">
        <v>72</v>
      </c>
      <c r="C759" s="5" t="str">
        <f>IFERROR(VLOOKUP(B759,'Overall Bean Summary'!A$2:B$36,2,FALSE),"")</f>
        <v>Bad</v>
      </c>
      <c r="D759" s="6">
        <f t="shared" si="1"/>
        <v>0</v>
      </c>
      <c r="E759" s="6">
        <f t="shared" si="2"/>
        <v>2</v>
      </c>
      <c r="F759" s="5">
        <f t="shared" si="3"/>
        <v>1</v>
      </c>
      <c r="G759" s="5">
        <f t="shared" si="4"/>
        <v>1</v>
      </c>
      <c r="H759" s="5">
        <f t="shared" si="7"/>
        <v>40</v>
      </c>
      <c r="I759" s="6">
        <f t="shared" si="6"/>
        <v>120</v>
      </c>
    </row>
    <row r="760">
      <c r="A760" s="1">
        <v>45385.0</v>
      </c>
      <c r="B760" s="5" t="s">
        <v>40</v>
      </c>
      <c r="C760" s="5" t="str">
        <f>IFERROR(VLOOKUP(B760,'Overall Bean Summary'!A$2:B$36,2,FALSE),"")</f>
        <v>Bad</v>
      </c>
      <c r="D760" s="6">
        <f t="shared" si="1"/>
        <v>0</v>
      </c>
      <c r="E760" s="6">
        <f t="shared" si="2"/>
        <v>3</v>
      </c>
      <c r="F760" s="5">
        <f t="shared" si="3"/>
        <v>1</v>
      </c>
      <c r="G760" s="5">
        <f t="shared" si="4"/>
        <v>1</v>
      </c>
      <c r="H760" s="5">
        <f t="shared" si="7"/>
        <v>1</v>
      </c>
      <c r="I760" s="6">
        <f t="shared" si="6"/>
        <v>121</v>
      </c>
      <c r="M760" s="5" t="s">
        <v>16</v>
      </c>
      <c r="N760" s="5" t="s">
        <v>21</v>
      </c>
      <c r="O760" s="5" t="s">
        <v>16</v>
      </c>
      <c r="P760" s="5" t="s">
        <v>21</v>
      </c>
    </row>
    <row r="761">
      <c r="A761" s="1">
        <v>45385.0</v>
      </c>
      <c r="B761" s="5" t="s">
        <v>72</v>
      </c>
      <c r="C761" s="5" t="str">
        <f>IFERROR(VLOOKUP(B761,'Overall Bean Summary'!A$2:B$36,2,FALSE),"")</f>
        <v>Bad</v>
      </c>
      <c r="D761" s="6">
        <f t="shared" si="1"/>
        <v>0</v>
      </c>
      <c r="E761" s="6">
        <f t="shared" si="2"/>
        <v>4</v>
      </c>
      <c r="F761" s="5">
        <f t="shared" si="3"/>
        <v>1</v>
      </c>
      <c r="G761" s="5">
        <f t="shared" si="4"/>
        <v>2</v>
      </c>
      <c r="H761" s="5">
        <f t="shared" si="7"/>
        <v>2</v>
      </c>
      <c r="I761" s="6">
        <f t="shared" si="6"/>
        <v>122</v>
      </c>
      <c r="L761" s="5" t="s">
        <v>20</v>
      </c>
      <c r="M761" s="24">
        <f>COUNTIF(C761:C843, "Good")</f>
        <v>18</v>
      </c>
      <c r="N761" s="24">
        <f>COUNTIF(C761:C843, "Bad")</f>
        <v>65</v>
      </c>
      <c r="O761" s="25">
        <f>M761/(M761+N761)</f>
        <v>0.2168674699</v>
      </c>
      <c r="P761" s="25">
        <f>N761/(M761+N761)</f>
        <v>0.7831325301</v>
      </c>
    </row>
    <row r="762">
      <c r="A762" s="1">
        <v>45386.0</v>
      </c>
      <c r="B762" s="5" t="s">
        <v>48</v>
      </c>
      <c r="C762" s="5" t="str">
        <f>IFERROR(VLOOKUP(B762,'Overall Bean Summary'!A$2:B$36,2,FALSE),"")</f>
        <v>Bad</v>
      </c>
      <c r="D762" s="6">
        <f t="shared" si="1"/>
        <v>0</v>
      </c>
      <c r="E762" s="6">
        <f t="shared" si="2"/>
        <v>5</v>
      </c>
      <c r="F762" s="5">
        <f t="shared" si="3"/>
        <v>1</v>
      </c>
      <c r="G762" s="5">
        <f t="shared" si="4"/>
        <v>1</v>
      </c>
      <c r="H762" s="5">
        <f t="shared" si="7"/>
        <v>3</v>
      </c>
      <c r="I762" s="6">
        <f t="shared" si="6"/>
        <v>123</v>
      </c>
    </row>
    <row r="763">
      <c r="A763" s="1">
        <v>45387.0</v>
      </c>
      <c r="B763" s="5" t="s">
        <v>80</v>
      </c>
      <c r="C763" s="5" t="str">
        <f>IFERROR(VLOOKUP(B763,'Overall Bean Summary'!A$2:B$36,2,FALSE),"")</f>
        <v>Bad</v>
      </c>
      <c r="D763" s="6">
        <f t="shared" si="1"/>
        <v>0</v>
      </c>
      <c r="E763" s="6">
        <f t="shared" si="2"/>
        <v>6</v>
      </c>
      <c r="F763" s="5">
        <f t="shared" si="3"/>
        <v>1</v>
      </c>
      <c r="G763" s="5">
        <f t="shared" si="4"/>
        <v>1</v>
      </c>
      <c r="H763" s="5">
        <f t="shared" si="7"/>
        <v>4</v>
      </c>
      <c r="I763" s="6">
        <f t="shared" si="6"/>
        <v>124</v>
      </c>
    </row>
    <row r="764">
      <c r="A764" s="1">
        <v>45390.0</v>
      </c>
      <c r="B764" s="5" t="s">
        <v>67</v>
      </c>
      <c r="C764" s="5" t="str">
        <f>IFERROR(VLOOKUP(B764,'Overall Bean Summary'!A$2:B$36,2,FALSE),"")</f>
        <v>Good</v>
      </c>
      <c r="D764" s="6">
        <f t="shared" si="1"/>
        <v>1</v>
      </c>
      <c r="E764" s="6">
        <f t="shared" si="2"/>
        <v>0</v>
      </c>
      <c r="F764" s="5">
        <f t="shared" si="3"/>
        <v>1</v>
      </c>
      <c r="G764" s="5">
        <f t="shared" si="4"/>
        <v>1</v>
      </c>
      <c r="H764" s="5">
        <f t="shared" si="7"/>
        <v>5</v>
      </c>
      <c r="I764" s="6">
        <f t="shared" si="6"/>
        <v>125</v>
      </c>
    </row>
    <row r="765">
      <c r="A765" s="1">
        <v>45393.0</v>
      </c>
      <c r="B765" s="5" t="s">
        <v>72</v>
      </c>
      <c r="C765" s="5" t="str">
        <f>IFERROR(VLOOKUP(B765,'Overall Bean Summary'!A$2:B$36,2,FALSE),"")</f>
        <v>Bad</v>
      </c>
      <c r="D765" s="6">
        <f t="shared" si="1"/>
        <v>0</v>
      </c>
      <c r="E765" s="6">
        <f t="shared" si="2"/>
        <v>1</v>
      </c>
      <c r="F765" s="5">
        <f t="shared" si="3"/>
        <v>1</v>
      </c>
      <c r="G765" s="5">
        <f t="shared" si="4"/>
        <v>1</v>
      </c>
      <c r="H765" s="5">
        <f t="shared" si="7"/>
        <v>6</v>
      </c>
      <c r="I765" s="6">
        <f t="shared" si="6"/>
        <v>126</v>
      </c>
      <c r="M765" s="5" t="s">
        <v>271</v>
      </c>
    </row>
    <row r="766">
      <c r="A766" s="1">
        <v>45398.0</v>
      </c>
      <c r="B766" s="5" t="s">
        <v>72</v>
      </c>
      <c r="C766" s="5" t="str">
        <f>IFERROR(VLOOKUP(B766,'Overall Bean Summary'!A$2:B$36,2,FALSE),"")</f>
        <v>Bad</v>
      </c>
      <c r="D766" s="6">
        <f t="shared" si="1"/>
        <v>0</v>
      </c>
      <c r="E766" s="6">
        <f t="shared" si="2"/>
        <v>2</v>
      </c>
      <c r="F766" s="5">
        <f t="shared" si="3"/>
        <v>2</v>
      </c>
      <c r="G766" s="5">
        <f t="shared" si="4"/>
        <v>1</v>
      </c>
      <c r="H766" s="5">
        <f t="shared" si="7"/>
        <v>7</v>
      </c>
      <c r="I766" s="6">
        <f t="shared" si="6"/>
        <v>127</v>
      </c>
      <c r="M766" s="5" t="s">
        <v>272</v>
      </c>
    </row>
    <row r="767">
      <c r="A767" s="1">
        <v>45399.0</v>
      </c>
      <c r="B767" s="5" t="s">
        <v>69</v>
      </c>
      <c r="C767" s="5" t="str">
        <f>IFERROR(VLOOKUP(B767,'Overall Bean Summary'!A$2:B$36,2,FALSE),"")</f>
        <v>Bad</v>
      </c>
      <c r="D767" s="6">
        <f t="shared" si="1"/>
        <v>0</v>
      </c>
      <c r="E767" s="6">
        <f t="shared" si="2"/>
        <v>3</v>
      </c>
      <c r="F767" s="5">
        <f t="shared" si="3"/>
        <v>1</v>
      </c>
      <c r="G767" s="5">
        <f t="shared" si="4"/>
        <v>1</v>
      </c>
      <c r="H767" s="5">
        <f t="shared" si="7"/>
        <v>8</v>
      </c>
      <c r="I767" s="6">
        <f t="shared" si="6"/>
        <v>128</v>
      </c>
    </row>
    <row r="768">
      <c r="A768" s="1">
        <v>45400.0</v>
      </c>
      <c r="B768" s="5" t="s">
        <v>85</v>
      </c>
      <c r="C768" s="5" t="str">
        <f>IFERROR(VLOOKUP(B768,'Overall Bean Summary'!A$2:B$36,2,FALSE),"")</f>
        <v>Good</v>
      </c>
      <c r="D768" s="6">
        <f t="shared" si="1"/>
        <v>1</v>
      </c>
      <c r="E768" s="6">
        <f t="shared" si="2"/>
        <v>0</v>
      </c>
      <c r="F768" s="5">
        <f t="shared" si="3"/>
        <v>1</v>
      </c>
      <c r="G768" s="5">
        <f t="shared" si="4"/>
        <v>1</v>
      </c>
      <c r="H768" s="5">
        <f t="shared" si="7"/>
        <v>9</v>
      </c>
      <c r="I768" s="6">
        <f t="shared" si="6"/>
        <v>129</v>
      </c>
    </row>
    <row r="769">
      <c r="A769" s="1">
        <v>45400.0</v>
      </c>
      <c r="B769" s="5" t="s">
        <v>29</v>
      </c>
      <c r="C769" s="5" t="str">
        <f>IFERROR(VLOOKUP(B769,'Overall Bean Summary'!A$2:B$36,2,FALSE),"")</f>
        <v>Good</v>
      </c>
      <c r="D769" s="6">
        <f t="shared" si="1"/>
        <v>2</v>
      </c>
      <c r="E769" s="6">
        <f t="shared" si="2"/>
        <v>0</v>
      </c>
      <c r="F769" s="5">
        <f t="shared" si="3"/>
        <v>1</v>
      </c>
      <c r="G769" s="5">
        <f t="shared" si="4"/>
        <v>2</v>
      </c>
      <c r="H769" s="5">
        <f t="shared" si="7"/>
        <v>10</v>
      </c>
      <c r="I769" s="6">
        <f t="shared" si="6"/>
        <v>130</v>
      </c>
    </row>
    <row r="770">
      <c r="A770" s="1">
        <v>45400.0</v>
      </c>
      <c r="B770" s="5" t="s">
        <v>51</v>
      </c>
      <c r="C770" s="5" t="str">
        <f>IFERROR(VLOOKUP(B770,'Overall Bean Summary'!A$2:B$36,2,FALSE),"")</f>
        <v>Bad</v>
      </c>
      <c r="D770" s="6">
        <f t="shared" si="1"/>
        <v>0</v>
      </c>
      <c r="E770" s="6">
        <f t="shared" si="2"/>
        <v>1</v>
      </c>
      <c r="F770" s="5">
        <f t="shared" si="3"/>
        <v>1</v>
      </c>
      <c r="G770" s="5">
        <f t="shared" si="4"/>
        <v>3</v>
      </c>
      <c r="H770" s="5">
        <f t="shared" si="7"/>
        <v>11</v>
      </c>
      <c r="I770" s="6">
        <f t="shared" si="6"/>
        <v>131</v>
      </c>
    </row>
    <row r="771">
      <c r="A771" s="1">
        <v>45400.0</v>
      </c>
      <c r="B771" s="5" t="s">
        <v>48</v>
      </c>
      <c r="C771" s="5" t="str">
        <f>IFERROR(VLOOKUP(B771,'Overall Bean Summary'!A$2:B$36,2,FALSE),"")</f>
        <v>Bad</v>
      </c>
      <c r="D771" s="6">
        <f t="shared" si="1"/>
        <v>0</v>
      </c>
      <c r="E771" s="6">
        <f t="shared" si="2"/>
        <v>2</v>
      </c>
      <c r="F771" s="5">
        <f t="shared" si="3"/>
        <v>1</v>
      </c>
      <c r="G771" s="5">
        <f t="shared" si="4"/>
        <v>4</v>
      </c>
      <c r="H771" s="5">
        <f t="shared" si="7"/>
        <v>12</v>
      </c>
      <c r="I771" s="6">
        <f t="shared" si="6"/>
        <v>132</v>
      </c>
    </row>
    <row r="772">
      <c r="A772" s="1">
        <v>45400.0</v>
      </c>
      <c r="B772" s="5" t="s">
        <v>40</v>
      </c>
      <c r="C772" s="5" t="str">
        <f>IFERROR(VLOOKUP(B772,'Overall Bean Summary'!A$2:B$36,2,FALSE),"")</f>
        <v>Bad</v>
      </c>
      <c r="D772" s="6">
        <f t="shared" si="1"/>
        <v>0</v>
      </c>
      <c r="E772" s="6">
        <f t="shared" si="2"/>
        <v>3</v>
      </c>
      <c r="F772" s="5">
        <f t="shared" si="3"/>
        <v>1</v>
      </c>
      <c r="G772" s="5">
        <f t="shared" si="4"/>
        <v>5</v>
      </c>
      <c r="H772" s="5">
        <f t="shared" si="7"/>
        <v>13</v>
      </c>
      <c r="I772" s="6">
        <f t="shared" si="6"/>
        <v>133</v>
      </c>
    </row>
    <row r="773">
      <c r="A773" s="1">
        <v>45400.0</v>
      </c>
      <c r="B773" s="5" t="s">
        <v>53</v>
      </c>
      <c r="C773" s="5" t="str">
        <f>IFERROR(VLOOKUP(B773,'Overall Bean Summary'!A$2:B$36,2,FALSE),"")</f>
        <v>Good</v>
      </c>
      <c r="D773" s="6">
        <f t="shared" si="1"/>
        <v>1</v>
      </c>
      <c r="E773" s="6">
        <f t="shared" si="2"/>
        <v>0</v>
      </c>
      <c r="F773" s="5">
        <f t="shared" si="3"/>
        <v>1</v>
      </c>
      <c r="G773" s="5">
        <f t="shared" si="4"/>
        <v>6</v>
      </c>
      <c r="H773" s="5">
        <f t="shared" si="7"/>
        <v>14</v>
      </c>
      <c r="I773" s="6">
        <f t="shared" si="6"/>
        <v>134</v>
      </c>
    </row>
    <row r="774">
      <c r="A774" s="1">
        <v>45400.0</v>
      </c>
      <c r="B774" s="5" t="s">
        <v>69</v>
      </c>
      <c r="C774" s="5" t="str">
        <f>IFERROR(VLOOKUP(B774,'Overall Bean Summary'!A$2:B$36,2,FALSE),"")</f>
        <v>Bad</v>
      </c>
      <c r="D774" s="6">
        <f t="shared" si="1"/>
        <v>0</v>
      </c>
      <c r="E774" s="6">
        <f t="shared" si="2"/>
        <v>1</v>
      </c>
      <c r="F774" s="5">
        <f t="shared" si="3"/>
        <v>1</v>
      </c>
      <c r="G774" s="5">
        <f t="shared" si="4"/>
        <v>7</v>
      </c>
      <c r="H774" s="5">
        <f t="shared" si="7"/>
        <v>15</v>
      </c>
      <c r="I774" s="6">
        <f t="shared" si="6"/>
        <v>135</v>
      </c>
    </row>
    <row r="775">
      <c r="A775" s="1">
        <v>45400.0</v>
      </c>
      <c r="B775" s="5" t="s">
        <v>80</v>
      </c>
      <c r="C775" s="5" t="str">
        <f>IFERROR(VLOOKUP(B775,'Overall Bean Summary'!A$2:B$36,2,FALSE),"")</f>
        <v>Bad</v>
      </c>
      <c r="D775" s="6">
        <f t="shared" si="1"/>
        <v>0</v>
      </c>
      <c r="E775" s="6">
        <f t="shared" si="2"/>
        <v>2</v>
      </c>
      <c r="F775" s="5">
        <f t="shared" si="3"/>
        <v>1</v>
      </c>
      <c r="G775" s="5">
        <f t="shared" si="4"/>
        <v>8</v>
      </c>
      <c r="H775" s="5">
        <f t="shared" si="7"/>
        <v>16</v>
      </c>
      <c r="I775" s="6">
        <f t="shared" si="6"/>
        <v>136</v>
      </c>
    </row>
    <row r="776">
      <c r="A776" s="1">
        <v>45401.0</v>
      </c>
      <c r="B776" s="5" t="s">
        <v>58</v>
      </c>
      <c r="C776" s="5" t="str">
        <f>IFERROR(VLOOKUP(B776,'Overall Bean Summary'!A$2:B$36,2,FALSE),"")</f>
        <v>Bad</v>
      </c>
      <c r="D776" s="6">
        <f t="shared" si="1"/>
        <v>0</v>
      </c>
      <c r="E776" s="6">
        <f t="shared" si="2"/>
        <v>3</v>
      </c>
      <c r="F776" s="5">
        <f t="shared" si="3"/>
        <v>1</v>
      </c>
      <c r="G776" s="5">
        <f t="shared" si="4"/>
        <v>1</v>
      </c>
      <c r="H776" s="5">
        <f t="shared" si="7"/>
        <v>17</v>
      </c>
      <c r="I776" s="6">
        <f t="shared" si="6"/>
        <v>137</v>
      </c>
      <c r="K776" s="5" t="s">
        <v>273</v>
      </c>
    </row>
    <row r="777">
      <c r="A777" s="1">
        <v>45401.0</v>
      </c>
      <c r="B777" s="5" t="s">
        <v>69</v>
      </c>
      <c r="C777" s="5" t="str">
        <f>IFERROR(VLOOKUP(B777,'Overall Bean Summary'!A$2:B$36,2,FALSE),"")</f>
        <v>Bad</v>
      </c>
      <c r="D777" s="6">
        <f t="shared" si="1"/>
        <v>0</v>
      </c>
      <c r="E777" s="6">
        <f t="shared" si="2"/>
        <v>4</v>
      </c>
      <c r="F777" s="5">
        <f t="shared" si="3"/>
        <v>1</v>
      </c>
      <c r="G777" s="5">
        <f t="shared" si="4"/>
        <v>2</v>
      </c>
      <c r="H777" s="5">
        <f t="shared" si="7"/>
        <v>18</v>
      </c>
      <c r="I777" s="6">
        <f t="shared" si="6"/>
        <v>138</v>
      </c>
    </row>
    <row r="778">
      <c r="A778" s="1">
        <v>45401.0</v>
      </c>
      <c r="B778" s="5" t="s">
        <v>29</v>
      </c>
      <c r="C778" s="5" t="str">
        <f>IFERROR(VLOOKUP(B778,'Overall Bean Summary'!A$2:B$36,2,FALSE),"")</f>
        <v>Good</v>
      </c>
      <c r="D778" s="6">
        <f t="shared" si="1"/>
        <v>1</v>
      </c>
      <c r="E778" s="6">
        <f t="shared" si="2"/>
        <v>0</v>
      </c>
      <c r="F778" s="5">
        <f t="shared" si="3"/>
        <v>1</v>
      </c>
      <c r="G778" s="5">
        <f t="shared" si="4"/>
        <v>3</v>
      </c>
      <c r="H778" s="5">
        <f t="shared" si="7"/>
        <v>19</v>
      </c>
      <c r="I778" s="6">
        <f t="shared" si="6"/>
        <v>139</v>
      </c>
      <c r="M778" s="5" t="s">
        <v>274</v>
      </c>
    </row>
    <row r="779">
      <c r="A779" s="1">
        <v>45404.0</v>
      </c>
      <c r="B779" s="5" t="s">
        <v>48</v>
      </c>
      <c r="C779" s="5" t="str">
        <f>IFERROR(VLOOKUP(B779,'Overall Bean Summary'!A$2:B$36,2,FALSE),"")</f>
        <v>Bad</v>
      </c>
      <c r="D779" s="6">
        <f t="shared" si="1"/>
        <v>0</v>
      </c>
      <c r="E779" s="6">
        <f t="shared" si="2"/>
        <v>1</v>
      </c>
      <c r="F779" s="5">
        <f t="shared" si="3"/>
        <v>1</v>
      </c>
      <c r="G779" s="5">
        <f t="shared" si="4"/>
        <v>1</v>
      </c>
      <c r="H779" s="5">
        <f t="shared" si="7"/>
        <v>20</v>
      </c>
      <c r="I779" s="6">
        <f t="shared" si="6"/>
        <v>140</v>
      </c>
    </row>
    <row r="780">
      <c r="A780" s="1">
        <v>45404.0</v>
      </c>
      <c r="B780" s="5" t="s">
        <v>63</v>
      </c>
      <c r="C780" s="5" t="str">
        <f>IFERROR(VLOOKUP(B780,'Overall Bean Summary'!A$2:B$36,2,FALSE),"")</f>
        <v>Bad</v>
      </c>
      <c r="D780" s="6">
        <f t="shared" si="1"/>
        <v>0</v>
      </c>
      <c r="E780" s="6">
        <f t="shared" si="2"/>
        <v>2</v>
      </c>
      <c r="F780" s="5">
        <f t="shared" si="3"/>
        <v>1</v>
      </c>
      <c r="G780" s="5">
        <f t="shared" si="4"/>
        <v>2</v>
      </c>
      <c r="H780" s="5">
        <f t="shared" si="7"/>
        <v>21</v>
      </c>
      <c r="I780" s="6">
        <f t="shared" si="6"/>
        <v>141</v>
      </c>
    </row>
    <row r="781">
      <c r="A781" s="1">
        <v>45406.0</v>
      </c>
      <c r="B781" s="5" t="s">
        <v>69</v>
      </c>
      <c r="C781" s="5" t="str">
        <f>IFERROR(VLOOKUP(B781,'Overall Bean Summary'!A$2:B$36,2,FALSE),"")</f>
        <v>Bad</v>
      </c>
      <c r="D781" s="6">
        <f t="shared" si="1"/>
        <v>0</v>
      </c>
      <c r="E781" s="6">
        <f t="shared" si="2"/>
        <v>3</v>
      </c>
      <c r="F781" s="5">
        <f t="shared" si="3"/>
        <v>1</v>
      </c>
      <c r="G781" s="5">
        <f t="shared" si="4"/>
        <v>1</v>
      </c>
      <c r="H781" s="5">
        <f t="shared" si="7"/>
        <v>22</v>
      </c>
      <c r="I781" s="6">
        <f t="shared" si="6"/>
        <v>142</v>
      </c>
    </row>
    <row r="782">
      <c r="A782" s="1">
        <v>45407.0</v>
      </c>
      <c r="B782" s="5" t="s">
        <v>14</v>
      </c>
      <c r="C782" s="5" t="str">
        <f>IFERROR(VLOOKUP(B782,'Overall Bean Summary'!A$2:B$36,2,FALSE),"")</f>
        <v>Bad</v>
      </c>
      <c r="D782" s="6">
        <f t="shared" si="1"/>
        <v>0</v>
      </c>
      <c r="E782" s="6">
        <f t="shared" si="2"/>
        <v>4</v>
      </c>
      <c r="F782" s="5">
        <f t="shared" si="3"/>
        <v>1</v>
      </c>
      <c r="G782" s="5">
        <f t="shared" si="4"/>
        <v>1</v>
      </c>
      <c r="H782" s="5">
        <f t="shared" si="7"/>
        <v>23</v>
      </c>
      <c r="I782" s="6">
        <f t="shared" si="6"/>
        <v>143</v>
      </c>
      <c r="M782" s="5" t="s">
        <v>275</v>
      </c>
    </row>
    <row r="783">
      <c r="A783" s="1">
        <v>45407.0</v>
      </c>
      <c r="B783" s="5" t="s">
        <v>80</v>
      </c>
      <c r="C783" s="5" t="str">
        <f>IFERROR(VLOOKUP(B783,'Overall Bean Summary'!A$2:B$36,2,FALSE),"")</f>
        <v>Bad</v>
      </c>
      <c r="D783" s="6">
        <f t="shared" si="1"/>
        <v>0</v>
      </c>
      <c r="E783" s="6">
        <f t="shared" si="2"/>
        <v>5</v>
      </c>
      <c r="F783" s="5">
        <f t="shared" si="3"/>
        <v>1</v>
      </c>
      <c r="G783" s="5">
        <f t="shared" si="4"/>
        <v>2</v>
      </c>
      <c r="H783" s="5">
        <f t="shared" si="7"/>
        <v>24</v>
      </c>
      <c r="I783" s="6">
        <f t="shared" si="6"/>
        <v>144</v>
      </c>
    </row>
    <row r="784">
      <c r="A784" s="1">
        <v>45411.0</v>
      </c>
      <c r="B784" s="5" t="s">
        <v>48</v>
      </c>
      <c r="C784" s="5" t="str">
        <f>IFERROR(VLOOKUP(B784,'Overall Bean Summary'!A$2:B$36,2,FALSE),"")</f>
        <v>Bad</v>
      </c>
      <c r="D784" s="6">
        <f t="shared" si="1"/>
        <v>0</v>
      </c>
      <c r="E784" s="6">
        <f t="shared" si="2"/>
        <v>6</v>
      </c>
      <c r="F784" s="5">
        <f t="shared" si="3"/>
        <v>1</v>
      </c>
      <c r="G784" s="5">
        <f t="shared" si="4"/>
        <v>1</v>
      </c>
      <c r="H784" s="5">
        <f t="shared" si="7"/>
        <v>25</v>
      </c>
      <c r="I784" s="6">
        <f t="shared" si="6"/>
        <v>145</v>
      </c>
    </row>
    <row r="785">
      <c r="A785" s="1">
        <v>45411.0</v>
      </c>
      <c r="B785" s="5" t="s">
        <v>69</v>
      </c>
      <c r="C785" s="5" t="str">
        <f>IFERROR(VLOOKUP(B785,'Overall Bean Summary'!A$2:B$36,2,FALSE),"")</f>
        <v>Bad</v>
      </c>
      <c r="D785" s="6">
        <f t="shared" si="1"/>
        <v>0</v>
      </c>
      <c r="E785" s="6">
        <f t="shared" si="2"/>
        <v>7</v>
      </c>
      <c r="F785" s="5">
        <f t="shared" si="3"/>
        <v>1</v>
      </c>
      <c r="G785" s="5">
        <f t="shared" si="4"/>
        <v>2</v>
      </c>
      <c r="H785" s="5">
        <f t="shared" si="7"/>
        <v>26</v>
      </c>
      <c r="I785" s="6">
        <f t="shared" si="6"/>
        <v>146</v>
      </c>
    </row>
    <row r="786">
      <c r="A786" s="1">
        <v>45411.0</v>
      </c>
      <c r="B786" s="5" t="s">
        <v>80</v>
      </c>
      <c r="C786" s="5" t="str">
        <f>IFERROR(VLOOKUP(B786,'Overall Bean Summary'!A$2:B$36,2,FALSE),"")</f>
        <v>Bad</v>
      </c>
      <c r="D786" s="6">
        <f t="shared" si="1"/>
        <v>0</v>
      </c>
      <c r="E786" s="6">
        <f t="shared" si="2"/>
        <v>8</v>
      </c>
      <c r="F786" s="5">
        <f t="shared" si="3"/>
        <v>1</v>
      </c>
      <c r="G786" s="5">
        <f t="shared" si="4"/>
        <v>3</v>
      </c>
      <c r="H786" s="5">
        <f t="shared" si="7"/>
        <v>27</v>
      </c>
      <c r="I786" s="6">
        <f t="shared" si="6"/>
        <v>147</v>
      </c>
    </row>
    <row r="787">
      <c r="A787" s="1">
        <v>45413.0</v>
      </c>
      <c r="B787" s="5" t="s">
        <v>48</v>
      </c>
      <c r="C787" s="5" t="str">
        <f>IFERROR(VLOOKUP(B787,'Overall Bean Summary'!A$2:B$36,2,FALSE),"")</f>
        <v>Bad</v>
      </c>
      <c r="D787" s="6">
        <f t="shared" si="1"/>
        <v>0</v>
      </c>
      <c r="E787" s="6">
        <f t="shared" si="2"/>
        <v>9</v>
      </c>
      <c r="F787" s="5">
        <f t="shared" si="3"/>
        <v>1</v>
      </c>
      <c r="G787" s="5">
        <f t="shared" si="4"/>
        <v>1</v>
      </c>
      <c r="H787" s="5">
        <f t="shared" si="7"/>
        <v>1</v>
      </c>
      <c r="I787" s="6">
        <f t="shared" si="6"/>
        <v>148</v>
      </c>
    </row>
    <row r="788">
      <c r="A788" s="1">
        <v>45413.0</v>
      </c>
      <c r="B788" s="5" t="s">
        <v>69</v>
      </c>
      <c r="C788" s="5" t="str">
        <f>IFERROR(VLOOKUP(B788,'Overall Bean Summary'!A$2:B$36,2,FALSE),"")</f>
        <v>Bad</v>
      </c>
      <c r="D788" s="6">
        <f t="shared" si="1"/>
        <v>0</v>
      </c>
      <c r="E788" s="6">
        <f t="shared" si="2"/>
        <v>10</v>
      </c>
      <c r="F788" s="5">
        <f t="shared" si="3"/>
        <v>1</v>
      </c>
      <c r="G788" s="5">
        <f t="shared" si="4"/>
        <v>2</v>
      </c>
      <c r="H788" s="5">
        <f t="shared" si="7"/>
        <v>2</v>
      </c>
      <c r="I788" s="6">
        <f t="shared" si="6"/>
        <v>149</v>
      </c>
    </row>
    <row r="789">
      <c r="A789" s="1">
        <v>45413.0</v>
      </c>
      <c r="B789" s="5" t="s">
        <v>72</v>
      </c>
      <c r="C789" s="5" t="str">
        <f>IFERROR(VLOOKUP(B789,'Overall Bean Summary'!A$2:B$36,2,FALSE),"")</f>
        <v>Bad</v>
      </c>
      <c r="D789" s="6">
        <f t="shared" si="1"/>
        <v>0</v>
      </c>
      <c r="E789" s="6">
        <f t="shared" si="2"/>
        <v>11</v>
      </c>
      <c r="F789" s="5">
        <f t="shared" si="3"/>
        <v>1</v>
      </c>
      <c r="G789" s="5">
        <f t="shared" si="4"/>
        <v>3</v>
      </c>
      <c r="H789" s="5">
        <f t="shared" si="7"/>
        <v>3</v>
      </c>
      <c r="I789" s="6">
        <f t="shared" si="6"/>
        <v>150</v>
      </c>
    </row>
    <row r="790">
      <c r="A790" s="1">
        <v>45413.0</v>
      </c>
      <c r="B790" s="5" t="s">
        <v>40</v>
      </c>
      <c r="C790" s="5" t="str">
        <f>IFERROR(VLOOKUP(B790,'Overall Bean Summary'!A$2:B$36,2,FALSE),"")</f>
        <v>Bad</v>
      </c>
      <c r="D790" s="6">
        <f t="shared" si="1"/>
        <v>0</v>
      </c>
      <c r="E790" s="6">
        <f t="shared" si="2"/>
        <v>12</v>
      </c>
      <c r="F790" s="5">
        <f t="shared" si="3"/>
        <v>1</v>
      </c>
      <c r="G790" s="5">
        <f t="shared" si="4"/>
        <v>4</v>
      </c>
      <c r="H790" s="5">
        <f t="shared" si="7"/>
        <v>4</v>
      </c>
      <c r="I790" s="6">
        <f t="shared" si="6"/>
        <v>151</v>
      </c>
    </row>
    <row r="791">
      <c r="A791" s="1">
        <v>45413.0</v>
      </c>
      <c r="B791" s="5" t="s">
        <v>51</v>
      </c>
      <c r="C791" s="5" t="str">
        <f>IFERROR(VLOOKUP(B791,'Overall Bean Summary'!A$2:B$36,2,FALSE),"")</f>
        <v>Bad</v>
      </c>
      <c r="D791" s="6">
        <f t="shared" si="1"/>
        <v>0</v>
      </c>
      <c r="E791" s="6">
        <f t="shared" si="2"/>
        <v>13</v>
      </c>
      <c r="F791" s="5">
        <f t="shared" si="3"/>
        <v>1</v>
      </c>
      <c r="G791" s="5">
        <f t="shared" si="4"/>
        <v>5</v>
      </c>
      <c r="H791" s="5">
        <f t="shared" si="7"/>
        <v>5</v>
      </c>
      <c r="I791" s="6">
        <f t="shared" si="6"/>
        <v>152</v>
      </c>
    </row>
    <row r="792">
      <c r="A792" s="1">
        <v>45413.0</v>
      </c>
      <c r="B792" s="5" t="s">
        <v>40</v>
      </c>
      <c r="C792" s="5" t="str">
        <f>IFERROR(VLOOKUP(B792,'Overall Bean Summary'!A$2:B$36,2,FALSE),"")</f>
        <v>Bad</v>
      </c>
      <c r="D792" s="6">
        <f t="shared" si="1"/>
        <v>0</v>
      </c>
      <c r="E792" s="6">
        <f t="shared" si="2"/>
        <v>14</v>
      </c>
      <c r="F792" s="5">
        <f t="shared" si="3"/>
        <v>1</v>
      </c>
      <c r="G792" s="5">
        <f t="shared" si="4"/>
        <v>6</v>
      </c>
      <c r="H792" s="5">
        <f t="shared" si="7"/>
        <v>6</v>
      </c>
      <c r="I792" s="6">
        <f t="shared" si="6"/>
        <v>153</v>
      </c>
    </row>
    <row r="793">
      <c r="A793" s="1">
        <v>45413.0</v>
      </c>
      <c r="B793" s="5" t="s">
        <v>45</v>
      </c>
      <c r="C793" s="5" t="str">
        <f>IFERROR(VLOOKUP(B793,'Overall Bean Summary'!A$2:B$36,2,FALSE),"")</f>
        <v>Good</v>
      </c>
      <c r="D793" s="6">
        <f t="shared" si="1"/>
        <v>1</v>
      </c>
      <c r="E793" s="6">
        <f t="shared" si="2"/>
        <v>0</v>
      </c>
      <c r="F793" s="5">
        <f t="shared" si="3"/>
        <v>1</v>
      </c>
      <c r="G793" s="5">
        <f t="shared" si="4"/>
        <v>7</v>
      </c>
      <c r="H793" s="5">
        <f t="shared" si="7"/>
        <v>7</v>
      </c>
      <c r="I793" s="6">
        <f t="shared" si="6"/>
        <v>154</v>
      </c>
    </row>
    <row r="794">
      <c r="A794" s="1">
        <v>45414.0</v>
      </c>
      <c r="B794" s="5" t="s">
        <v>95</v>
      </c>
      <c r="C794" s="5" t="str">
        <f>IFERROR(VLOOKUP(B794,'Overall Bean Summary'!A$2:B$36,2,FALSE),"")</f>
        <v>Good</v>
      </c>
      <c r="D794" s="6">
        <f t="shared" si="1"/>
        <v>2</v>
      </c>
      <c r="E794" s="6">
        <f t="shared" si="2"/>
        <v>0</v>
      </c>
      <c r="F794" s="5">
        <f t="shared" si="3"/>
        <v>1</v>
      </c>
      <c r="G794" s="5">
        <f t="shared" si="4"/>
        <v>1</v>
      </c>
      <c r="H794" s="5">
        <f t="shared" si="7"/>
        <v>8</v>
      </c>
      <c r="I794" s="6">
        <f t="shared" si="6"/>
        <v>155</v>
      </c>
    </row>
    <row r="795">
      <c r="A795" s="1">
        <v>45415.0</v>
      </c>
      <c r="B795" s="5" t="s">
        <v>29</v>
      </c>
      <c r="C795" s="5" t="str">
        <f>IFERROR(VLOOKUP(B795,'Overall Bean Summary'!A$2:B$36,2,FALSE),"")</f>
        <v>Good</v>
      </c>
      <c r="D795" s="6">
        <f t="shared" si="1"/>
        <v>3</v>
      </c>
      <c r="E795" s="6">
        <f t="shared" si="2"/>
        <v>0</v>
      </c>
      <c r="F795" s="5">
        <f t="shared" si="3"/>
        <v>1</v>
      </c>
      <c r="G795" s="5">
        <f t="shared" si="4"/>
        <v>1</v>
      </c>
      <c r="H795" s="5">
        <f t="shared" si="7"/>
        <v>9</v>
      </c>
      <c r="I795" s="6">
        <f t="shared" si="6"/>
        <v>156</v>
      </c>
    </row>
    <row r="796">
      <c r="A796" s="1">
        <v>45415.0</v>
      </c>
      <c r="B796" s="5" t="s">
        <v>51</v>
      </c>
      <c r="C796" s="5" t="str">
        <f>IFERROR(VLOOKUP(B796,'Overall Bean Summary'!A$2:B$36,2,FALSE),"")</f>
        <v>Bad</v>
      </c>
      <c r="D796" s="6">
        <f t="shared" si="1"/>
        <v>0</v>
      </c>
      <c r="E796" s="6">
        <f t="shared" si="2"/>
        <v>1</v>
      </c>
      <c r="F796" s="5">
        <f t="shared" si="3"/>
        <v>1</v>
      </c>
      <c r="G796" s="5">
        <f t="shared" si="4"/>
        <v>2</v>
      </c>
      <c r="H796" s="5">
        <f t="shared" si="7"/>
        <v>10</v>
      </c>
      <c r="I796" s="6">
        <f t="shared" si="6"/>
        <v>157</v>
      </c>
    </row>
    <row r="797">
      <c r="A797" s="1">
        <v>45415.0</v>
      </c>
      <c r="B797" s="5" t="s">
        <v>40</v>
      </c>
      <c r="C797" s="5" t="str">
        <f>IFERROR(VLOOKUP(B797,'Overall Bean Summary'!A$2:B$36,2,FALSE),"")</f>
        <v>Bad</v>
      </c>
      <c r="D797" s="6">
        <f t="shared" si="1"/>
        <v>0</v>
      </c>
      <c r="E797" s="6">
        <f t="shared" si="2"/>
        <v>2</v>
      </c>
      <c r="F797" s="5">
        <f t="shared" si="3"/>
        <v>1</v>
      </c>
      <c r="G797" s="5">
        <f t="shared" si="4"/>
        <v>3</v>
      </c>
      <c r="H797" s="5">
        <f t="shared" si="7"/>
        <v>11</v>
      </c>
      <c r="I797" s="6">
        <f t="shared" si="6"/>
        <v>158</v>
      </c>
    </row>
    <row r="798">
      <c r="A798" s="1">
        <v>45415.0</v>
      </c>
      <c r="B798" s="5" t="s">
        <v>56</v>
      </c>
      <c r="C798" s="5" t="str">
        <f>IFERROR(VLOOKUP(B798,'Overall Bean Summary'!A$2:B$36,2,FALSE),"")</f>
        <v>Good</v>
      </c>
      <c r="D798" s="6">
        <f t="shared" si="1"/>
        <v>1</v>
      </c>
      <c r="E798" s="6">
        <f t="shared" si="2"/>
        <v>0</v>
      </c>
      <c r="F798" s="5">
        <f t="shared" si="3"/>
        <v>1</v>
      </c>
      <c r="G798" s="5">
        <f t="shared" si="4"/>
        <v>4</v>
      </c>
      <c r="H798" s="5">
        <f t="shared" si="7"/>
        <v>12</v>
      </c>
      <c r="I798" s="6">
        <f t="shared" si="6"/>
        <v>159</v>
      </c>
    </row>
    <row r="799">
      <c r="A799" s="22">
        <v>45419.0</v>
      </c>
      <c r="B799" s="5" t="s">
        <v>34</v>
      </c>
      <c r="C799" s="5" t="str">
        <f>IFERROR(VLOOKUP(B799,'Overall Bean Summary'!A$2:B$36,2,FALSE),"")</f>
        <v>Good</v>
      </c>
      <c r="D799" s="6">
        <f t="shared" si="1"/>
        <v>2</v>
      </c>
      <c r="E799" s="6">
        <f t="shared" si="2"/>
        <v>0</v>
      </c>
      <c r="F799" s="5">
        <f t="shared" si="3"/>
        <v>1</v>
      </c>
      <c r="G799" s="5">
        <f t="shared" si="4"/>
        <v>1</v>
      </c>
      <c r="H799" s="5">
        <f t="shared" si="7"/>
        <v>13</v>
      </c>
      <c r="I799" s="6">
        <f t="shared" si="6"/>
        <v>160</v>
      </c>
      <c r="L799" s="5"/>
      <c r="M799" s="5" t="s">
        <v>276</v>
      </c>
    </row>
    <row r="800">
      <c r="A800" s="1">
        <v>45420.0</v>
      </c>
      <c r="B800" s="5" t="s">
        <v>51</v>
      </c>
      <c r="C800" s="5" t="str">
        <f>IFERROR(VLOOKUP(B800,'Overall Bean Summary'!A$2:B$36,2,FALSE),"")</f>
        <v>Bad</v>
      </c>
      <c r="D800" s="6">
        <f t="shared" si="1"/>
        <v>0</v>
      </c>
      <c r="E800" s="6">
        <f t="shared" si="2"/>
        <v>1</v>
      </c>
      <c r="F800" s="5">
        <f t="shared" si="3"/>
        <v>1</v>
      </c>
      <c r="G800" s="5">
        <f t="shared" si="4"/>
        <v>1</v>
      </c>
      <c r="H800" s="5">
        <f t="shared" si="7"/>
        <v>14</v>
      </c>
      <c r="I800" s="6">
        <f t="shared" si="6"/>
        <v>161</v>
      </c>
      <c r="L800" s="5"/>
      <c r="M800" s="5" t="s">
        <v>277</v>
      </c>
    </row>
    <row r="801">
      <c r="A801" s="1">
        <v>45421.0</v>
      </c>
      <c r="B801" s="5" t="s">
        <v>40</v>
      </c>
      <c r="C801" s="5" t="str">
        <f>IFERROR(VLOOKUP(B801,'Overall Bean Summary'!A$2:B$36,2,FALSE),"")</f>
        <v>Bad</v>
      </c>
      <c r="D801" s="6">
        <f t="shared" ref="D801:D802" si="8">IF(A801 &lt;&gt; "", IF(C801 = "Spicy", D799, IF(C801 = "Good", D799+1, 0)), "")</f>
        <v>0</v>
      </c>
      <c r="E801" s="6">
        <f t="shared" ref="E801:E802" si="9">IF(A801 &lt;&gt; "", IF(C801 = "Spicy", E799, IF(C801 = "Bad", E799+1 , 0)), "")</f>
        <v>1</v>
      </c>
      <c r="F801" s="5">
        <f t="shared" ref="F801:F802" si="10">IF(B801 &lt;&gt; "", if(B801 = B799, F799+1, 1) ,"")</f>
        <v>1</v>
      </c>
      <c r="G801" s="5">
        <f t="shared" ref="G801:G802" si="11">IF(C801 &lt;&gt; "", IF(DAY(A799) = DAY(A801), G799+1, 1) ,"")</f>
        <v>1</v>
      </c>
      <c r="H801" s="5">
        <f t="shared" ref="H801:H802" si="12">IF(C801 &lt;&gt; "", IF(MONTH(A799) = MONTH(A801), H799+1, 1) ,"")</f>
        <v>14</v>
      </c>
      <c r="I801" s="6">
        <f t="shared" ref="I801:I802" si="13">IF(C801 &lt;&gt; "", IF(YEAR(A799) = YEAR(A801), I799+1, 1) ,"")</f>
        <v>161</v>
      </c>
    </row>
    <row r="802">
      <c r="A802" s="1">
        <v>45421.0</v>
      </c>
      <c r="B802" s="5" t="s">
        <v>14</v>
      </c>
      <c r="C802" s="5" t="str">
        <f>IFERROR(VLOOKUP(B802,'Overall Bean Summary'!A$2:B$36,2,FALSE),"")</f>
        <v>Bad</v>
      </c>
      <c r="D802" s="6">
        <f t="shared" si="8"/>
        <v>0</v>
      </c>
      <c r="E802" s="6">
        <f t="shared" si="9"/>
        <v>2</v>
      </c>
      <c r="F802" s="5">
        <f t="shared" si="10"/>
        <v>1</v>
      </c>
      <c r="G802" s="5">
        <f t="shared" si="11"/>
        <v>1</v>
      </c>
      <c r="H802" s="5">
        <f t="shared" si="12"/>
        <v>15</v>
      </c>
      <c r="I802" s="6">
        <f t="shared" si="13"/>
        <v>162</v>
      </c>
    </row>
    <row r="803">
      <c r="A803" s="22">
        <v>45422.0</v>
      </c>
      <c r="B803" s="5" t="s">
        <v>40</v>
      </c>
      <c r="C803" s="5" t="str">
        <f>IFERROR(VLOOKUP(B803,'Overall Bean Summary'!A$2:B$36,2,FALSE),"")</f>
        <v>Bad</v>
      </c>
      <c r="D803" s="6">
        <f t="shared" ref="D803:D1250" si="14">IF(A803 &lt;&gt; "", IF(C803 = "Spicy", D802, IF(C803 = "Good", D802+1, 0)), "")</f>
        <v>0</v>
      </c>
      <c r="E803" s="6">
        <f t="shared" ref="E803:E1250" si="15">IF(A803 &lt;&gt; "", IF(C803 = "Spicy", E802, IF(C803 = "Bad", E802+1 , 0)), "")</f>
        <v>3</v>
      </c>
      <c r="F803" s="5">
        <f t="shared" ref="F803:F1250" si="16">IF(B803 &lt;&gt; "", if(B803 = B802, F802+1, 1) ,"")</f>
        <v>1</v>
      </c>
      <c r="G803" s="5">
        <f t="shared" ref="G803:G1250" si="17">IF(C803 &lt;&gt; "", IF(DAY(A802) = DAY(A803), G802+1, 1) ,"")</f>
        <v>1</v>
      </c>
      <c r="H803" s="5">
        <f t="shared" ref="H803:H1250" si="18">IF(C803 &lt;&gt; "", IF(MONTH(A802) = MONTH(A803), H802+1, 1) ,"")</f>
        <v>16</v>
      </c>
      <c r="I803" s="6">
        <f t="shared" ref="I803:I1250" si="19">IF(C803 &lt;&gt; "", IF(YEAR(A802) = YEAR(A803), I802+1, 1) ,"")</f>
        <v>163</v>
      </c>
    </row>
    <row r="804">
      <c r="A804" s="22">
        <v>45422.0</v>
      </c>
      <c r="B804" s="5" t="s">
        <v>48</v>
      </c>
      <c r="C804" s="5" t="str">
        <f>IFERROR(VLOOKUP(B804,'Overall Bean Summary'!A$2:B$36,2,FALSE),"")</f>
        <v>Bad</v>
      </c>
      <c r="D804" s="6">
        <f t="shared" si="14"/>
        <v>0</v>
      </c>
      <c r="E804" s="6">
        <f t="shared" si="15"/>
        <v>4</v>
      </c>
      <c r="F804" s="5">
        <f t="shared" si="16"/>
        <v>1</v>
      </c>
      <c r="G804" s="5">
        <f t="shared" si="17"/>
        <v>2</v>
      </c>
      <c r="H804" s="5">
        <f t="shared" si="18"/>
        <v>17</v>
      </c>
      <c r="I804" s="6">
        <f t="shared" si="19"/>
        <v>164</v>
      </c>
    </row>
    <row r="805">
      <c r="A805" s="1">
        <v>45425.0</v>
      </c>
      <c r="B805" s="5" t="s">
        <v>14</v>
      </c>
      <c r="C805" s="5" t="str">
        <f>IFERROR(VLOOKUP(B805,'Overall Bean Summary'!A$2:B$36,2,FALSE),"")</f>
        <v>Bad</v>
      </c>
      <c r="D805" s="6">
        <f t="shared" si="14"/>
        <v>0</v>
      </c>
      <c r="E805" s="6">
        <f t="shared" si="15"/>
        <v>5</v>
      </c>
      <c r="F805" s="5">
        <f t="shared" si="16"/>
        <v>1</v>
      </c>
      <c r="G805" s="5">
        <f t="shared" si="17"/>
        <v>1</v>
      </c>
      <c r="H805" s="5">
        <f t="shared" si="18"/>
        <v>18</v>
      </c>
      <c r="I805" s="6">
        <f t="shared" si="19"/>
        <v>165</v>
      </c>
    </row>
    <row r="806">
      <c r="A806" s="1">
        <v>45427.0</v>
      </c>
      <c r="B806" s="5" t="s">
        <v>80</v>
      </c>
      <c r="C806" s="5" t="str">
        <f>IFERROR(VLOOKUP(B806,'Overall Bean Summary'!A$2:B$36,2,FALSE),"")</f>
        <v>Bad</v>
      </c>
      <c r="D806" s="6">
        <f t="shared" si="14"/>
        <v>0</v>
      </c>
      <c r="E806" s="6">
        <f t="shared" si="15"/>
        <v>6</v>
      </c>
      <c r="F806" s="5">
        <f t="shared" si="16"/>
        <v>1</v>
      </c>
      <c r="G806" s="5">
        <f t="shared" si="17"/>
        <v>1</v>
      </c>
      <c r="H806" s="5">
        <f t="shared" si="18"/>
        <v>19</v>
      </c>
      <c r="I806" s="6">
        <f t="shared" si="19"/>
        <v>166</v>
      </c>
    </row>
    <row r="807">
      <c r="A807" s="1">
        <v>45427.0</v>
      </c>
      <c r="B807" s="5" t="s">
        <v>69</v>
      </c>
      <c r="C807" s="5" t="str">
        <f>IFERROR(VLOOKUP(B807,'Overall Bean Summary'!A$2:B$36,2,FALSE),"")</f>
        <v>Bad</v>
      </c>
      <c r="D807" s="6">
        <f t="shared" si="14"/>
        <v>0</v>
      </c>
      <c r="E807" s="6">
        <f t="shared" si="15"/>
        <v>7</v>
      </c>
      <c r="F807" s="5">
        <f t="shared" si="16"/>
        <v>1</v>
      </c>
      <c r="G807" s="5">
        <f t="shared" si="17"/>
        <v>2</v>
      </c>
      <c r="H807" s="5">
        <f t="shared" si="18"/>
        <v>20</v>
      </c>
      <c r="I807" s="6">
        <f t="shared" si="19"/>
        <v>167</v>
      </c>
    </row>
    <row r="808">
      <c r="A808" s="1">
        <v>45427.0</v>
      </c>
      <c r="B808" s="5" t="s">
        <v>58</v>
      </c>
      <c r="C808" s="5" t="str">
        <f>IFERROR(VLOOKUP(B808,'Overall Bean Summary'!A$2:B$36,2,FALSE),"")</f>
        <v>Bad</v>
      </c>
      <c r="D808" s="6">
        <f t="shared" si="14"/>
        <v>0</v>
      </c>
      <c r="E808" s="6">
        <f t="shared" si="15"/>
        <v>8</v>
      </c>
      <c r="F808" s="5">
        <f t="shared" si="16"/>
        <v>1</v>
      </c>
      <c r="G808" s="5">
        <f t="shared" si="17"/>
        <v>3</v>
      </c>
      <c r="H808" s="5">
        <f t="shared" si="18"/>
        <v>21</v>
      </c>
      <c r="I808" s="6">
        <f t="shared" si="19"/>
        <v>168</v>
      </c>
    </row>
    <row r="809">
      <c r="A809" s="1">
        <v>45428.0</v>
      </c>
      <c r="B809" s="5" t="s">
        <v>69</v>
      </c>
      <c r="C809" s="5" t="str">
        <f>IFERROR(VLOOKUP(B809,'Overall Bean Summary'!A$2:B$36,2,FALSE),"")</f>
        <v>Bad</v>
      </c>
      <c r="D809" s="6">
        <f t="shared" si="14"/>
        <v>0</v>
      </c>
      <c r="E809" s="6">
        <f t="shared" si="15"/>
        <v>9</v>
      </c>
      <c r="F809" s="5">
        <f t="shared" si="16"/>
        <v>1</v>
      </c>
      <c r="G809" s="5">
        <f t="shared" si="17"/>
        <v>1</v>
      </c>
      <c r="H809" s="5">
        <f t="shared" si="18"/>
        <v>22</v>
      </c>
      <c r="I809" s="6">
        <f t="shared" si="19"/>
        <v>169</v>
      </c>
    </row>
    <row r="810">
      <c r="A810" s="1">
        <v>45428.0</v>
      </c>
      <c r="B810" s="5" t="s">
        <v>14</v>
      </c>
      <c r="C810" s="5" t="str">
        <f>IFERROR(VLOOKUP(B810,'Overall Bean Summary'!A$2:B$36,2,FALSE),"")</f>
        <v>Bad</v>
      </c>
      <c r="D810" s="6">
        <f t="shared" si="14"/>
        <v>0</v>
      </c>
      <c r="E810" s="6">
        <f t="shared" si="15"/>
        <v>10</v>
      </c>
      <c r="F810" s="5">
        <f t="shared" si="16"/>
        <v>1</v>
      </c>
      <c r="G810" s="5">
        <f t="shared" si="17"/>
        <v>2</v>
      </c>
      <c r="H810" s="5">
        <f t="shared" si="18"/>
        <v>23</v>
      </c>
      <c r="I810" s="6">
        <f t="shared" si="19"/>
        <v>170</v>
      </c>
      <c r="M810" s="5" t="s">
        <v>279</v>
      </c>
    </row>
    <row r="811">
      <c r="A811" s="1">
        <v>45429.0</v>
      </c>
      <c r="B811" s="5" t="s">
        <v>80</v>
      </c>
      <c r="C811" s="5" t="str">
        <f>IFERROR(VLOOKUP(B811,'Overall Bean Summary'!A$2:B$36,2,FALSE),"")</f>
        <v>Bad</v>
      </c>
      <c r="D811" s="6">
        <f t="shared" si="14"/>
        <v>0</v>
      </c>
      <c r="E811" s="6">
        <f t="shared" si="15"/>
        <v>11</v>
      </c>
      <c r="F811" s="5">
        <f t="shared" si="16"/>
        <v>1</v>
      </c>
      <c r="G811" s="5">
        <f t="shared" si="17"/>
        <v>1</v>
      </c>
      <c r="H811" s="5">
        <f t="shared" si="18"/>
        <v>24</v>
      </c>
      <c r="I811" s="6">
        <f t="shared" si="19"/>
        <v>171</v>
      </c>
    </row>
    <row r="812">
      <c r="A812" s="1">
        <v>45429.0</v>
      </c>
      <c r="B812" s="5" t="s">
        <v>48</v>
      </c>
      <c r="C812" s="5" t="str">
        <f>IFERROR(VLOOKUP(B812,'Overall Bean Summary'!A$2:B$36,2,FALSE),"")</f>
        <v>Bad</v>
      </c>
      <c r="D812" s="6">
        <f t="shared" si="14"/>
        <v>0</v>
      </c>
      <c r="E812" s="6">
        <f t="shared" si="15"/>
        <v>12</v>
      </c>
      <c r="F812" s="5">
        <f t="shared" si="16"/>
        <v>1</v>
      </c>
      <c r="G812" s="5">
        <f t="shared" si="17"/>
        <v>2</v>
      </c>
      <c r="H812" s="5">
        <f t="shared" si="18"/>
        <v>25</v>
      </c>
      <c r="I812" s="6">
        <f t="shared" si="19"/>
        <v>172</v>
      </c>
    </row>
    <row r="813">
      <c r="A813" s="1">
        <v>45432.0</v>
      </c>
      <c r="B813" s="5" t="s">
        <v>58</v>
      </c>
      <c r="C813" s="5" t="str">
        <f>IFERROR(VLOOKUP(B813,'Overall Bean Summary'!A$2:B$36,2,FALSE),"")</f>
        <v>Bad</v>
      </c>
      <c r="D813" s="6">
        <f t="shared" si="14"/>
        <v>0</v>
      </c>
      <c r="E813" s="6">
        <f t="shared" si="15"/>
        <v>13</v>
      </c>
      <c r="F813" s="5">
        <f t="shared" si="16"/>
        <v>1</v>
      </c>
      <c r="G813" s="5">
        <f t="shared" si="17"/>
        <v>1</v>
      </c>
      <c r="H813" s="5">
        <f t="shared" si="18"/>
        <v>26</v>
      </c>
      <c r="I813" s="6">
        <f t="shared" si="19"/>
        <v>173</v>
      </c>
      <c r="L813" s="5" t="s">
        <v>281</v>
      </c>
      <c r="N813" s="5" t="s">
        <v>282</v>
      </c>
    </row>
    <row r="814">
      <c r="A814" s="1">
        <v>45442.0</v>
      </c>
      <c r="B814" s="5" t="s">
        <v>95</v>
      </c>
      <c r="C814" s="5" t="str">
        <f>IFERROR(VLOOKUP(B814,'Overall Bean Summary'!A$2:B$36,2,FALSE),"")</f>
        <v>Good</v>
      </c>
      <c r="D814" s="6">
        <f t="shared" si="14"/>
        <v>1</v>
      </c>
      <c r="E814" s="6">
        <f t="shared" si="15"/>
        <v>0</v>
      </c>
      <c r="F814" s="5">
        <f t="shared" si="16"/>
        <v>1</v>
      </c>
      <c r="G814" s="5">
        <f t="shared" si="17"/>
        <v>1</v>
      </c>
      <c r="H814" s="5">
        <f t="shared" si="18"/>
        <v>27</v>
      </c>
      <c r="I814" s="6">
        <f t="shared" si="19"/>
        <v>174</v>
      </c>
      <c r="M814" s="5" t="s">
        <v>283</v>
      </c>
    </row>
    <row r="815">
      <c r="A815" s="1">
        <v>45442.0</v>
      </c>
      <c r="B815" s="5" t="s">
        <v>14</v>
      </c>
      <c r="C815" s="5" t="str">
        <f>IFERROR(VLOOKUP(B815,'Overall Bean Summary'!A$2:B$36,2,FALSE),"")</f>
        <v>Bad</v>
      </c>
      <c r="D815" s="6">
        <f t="shared" si="14"/>
        <v>0</v>
      </c>
      <c r="E815" s="6">
        <f t="shared" si="15"/>
        <v>1</v>
      </c>
      <c r="F815" s="5">
        <f t="shared" si="16"/>
        <v>1</v>
      </c>
      <c r="G815" s="5">
        <f t="shared" si="17"/>
        <v>2</v>
      </c>
      <c r="H815" s="5">
        <f t="shared" si="18"/>
        <v>28</v>
      </c>
      <c r="I815" s="6">
        <f t="shared" si="19"/>
        <v>175</v>
      </c>
    </row>
    <row r="816">
      <c r="A816" s="1">
        <v>45442.0</v>
      </c>
      <c r="B816" s="5" t="s">
        <v>63</v>
      </c>
      <c r="C816" s="5" t="str">
        <f>IFERROR(VLOOKUP(B816,'Overall Bean Summary'!A$2:B$36,2,FALSE),"")</f>
        <v>Bad</v>
      </c>
      <c r="D816" s="6">
        <f t="shared" si="14"/>
        <v>0</v>
      </c>
      <c r="E816" s="6">
        <f t="shared" si="15"/>
        <v>2</v>
      </c>
      <c r="F816" s="5">
        <f t="shared" si="16"/>
        <v>1</v>
      </c>
      <c r="G816" s="5">
        <f t="shared" si="17"/>
        <v>3</v>
      </c>
      <c r="H816" s="5">
        <f t="shared" si="18"/>
        <v>29</v>
      </c>
      <c r="I816" s="6">
        <f t="shared" si="19"/>
        <v>176</v>
      </c>
    </row>
    <row r="817">
      <c r="A817" s="1">
        <v>45442.0</v>
      </c>
      <c r="B817" s="5" t="s">
        <v>67</v>
      </c>
      <c r="C817" s="5" t="str">
        <f>IFERROR(VLOOKUP(B817,'Overall Bean Summary'!A$2:B$36,2,FALSE),"")</f>
        <v>Good</v>
      </c>
      <c r="D817" s="6">
        <f t="shared" si="14"/>
        <v>1</v>
      </c>
      <c r="E817" s="6">
        <f t="shared" si="15"/>
        <v>0</v>
      </c>
      <c r="F817" s="5">
        <f t="shared" si="16"/>
        <v>1</v>
      </c>
      <c r="G817" s="5">
        <f t="shared" si="17"/>
        <v>4</v>
      </c>
      <c r="H817" s="5">
        <f t="shared" si="18"/>
        <v>30</v>
      </c>
      <c r="I817" s="6">
        <f t="shared" si="19"/>
        <v>177</v>
      </c>
      <c r="M817" s="5" t="s">
        <v>284</v>
      </c>
    </row>
    <row r="818">
      <c r="A818" s="1">
        <v>45453.0</v>
      </c>
      <c r="B818" s="5" t="s">
        <v>72</v>
      </c>
      <c r="C818" s="5" t="str">
        <f>IFERROR(VLOOKUP(B818,'Overall Bean Summary'!A$2:B$36,2,FALSE),"")</f>
        <v>Bad</v>
      </c>
      <c r="D818" s="6">
        <f t="shared" si="14"/>
        <v>0</v>
      </c>
      <c r="E818" s="6">
        <f t="shared" si="15"/>
        <v>1</v>
      </c>
      <c r="F818" s="5">
        <f t="shared" si="16"/>
        <v>1</v>
      </c>
      <c r="G818" s="5">
        <f t="shared" si="17"/>
        <v>1</v>
      </c>
      <c r="H818" s="5">
        <f t="shared" si="18"/>
        <v>1</v>
      </c>
      <c r="I818" s="6">
        <f t="shared" si="19"/>
        <v>178</v>
      </c>
      <c r="M818" s="5" t="s">
        <v>285</v>
      </c>
    </row>
    <row r="819">
      <c r="A819" s="1">
        <v>45453.0</v>
      </c>
      <c r="B819" s="5" t="s">
        <v>58</v>
      </c>
      <c r="C819" s="5" t="str">
        <f>IFERROR(VLOOKUP(B819,'Overall Bean Summary'!A$2:B$36,2,FALSE),"")</f>
        <v>Bad</v>
      </c>
      <c r="D819" s="6">
        <f t="shared" si="14"/>
        <v>0</v>
      </c>
      <c r="E819" s="6">
        <f t="shared" si="15"/>
        <v>2</v>
      </c>
      <c r="F819" s="5">
        <f t="shared" si="16"/>
        <v>1</v>
      </c>
      <c r="G819" s="5">
        <f t="shared" si="17"/>
        <v>2</v>
      </c>
      <c r="H819" s="5">
        <f t="shared" si="18"/>
        <v>2</v>
      </c>
      <c r="I819" s="6">
        <f t="shared" si="19"/>
        <v>179</v>
      </c>
      <c r="M819" s="5" t="s">
        <v>286</v>
      </c>
    </row>
    <row r="820">
      <c r="A820" s="1">
        <v>45453.0</v>
      </c>
      <c r="B820" s="5" t="s">
        <v>95</v>
      </c>
      <c r="C820" s="5" t="str">
        <f>IFERROR(VLOOKUP(B820,'Overall Bean Summary'!A$2:B$36,2,FALSE),"")</f>
        <v>Good</v>
      </c>
      <c r="D820" s="6">
        <f t="shared" si="14"/>
        <v>1</v>
      </c>
      <c r="E820" s="6">
        <f t="shared" si="15"/>
        <v>0</v>
      </c>
      <c r="F820" s="5">
        <f t="shared" si="16"/>
        <v>1</v>
      </c>
      <c r="G820" s="5">
        <f t="shared" si="17"/>
        <v>3</v>
      </c>
      <c r="H820" s="5">
        <f t="shared" si="18"/>
        <v>3</v>
      </c>
      <c r="I820" s="6">
        <f t="shared" si="19"/>
        <v>180</v>
      </c>
      <c r="M820" s="5" t="s">
        <v>287</v>
      </c>
    </row>
    <row r="821">
      <c r="A821" s="1">
        <v>45455.0</v>
      </c>
      <c r="B821" s="5" t="s">
        <v>67</v>
      </c>
      <c r="C821" s="5" t="str">
        <f>IFERROR(VLOOKUP(B821,'Overall Bean Summary'!A$2:B$36,2,FALSE),"")</f>
        <v>Good</v>
      </c>
      <c r="D821" s="6">
        <f t="shared" si="14"/>
        <v>2</v>
      </c>
      <c r="E821" s="6">
        <f t="shared" si="15"/>
        <v>0</v>
      </c>
      <c r="F821" s="5">
        <f t="shared" si="16"/>
        <v>1</v>
      </c>
      <c r="G821" s="5">
        <f t="shared" si="17"/>
        <v>1</v>
      </c>
      <c r="H821" s="5">
        <f t="shared" si="18"/>
        <v>4</v>
      </c>
      <c r="I821" s="6">
        <f t="shared" si="19"/>
        <v>181</v>
      </c>
      <c r="M821" s="5" t="s">
        <v>288</v>
      </c>
    </row>
    <row r="822">
      <c r="A822" s="1">
        <v>45455.0</v>
      </c>
      <c r="B822" s="5" t="s">
        <v>40</v>
      </c>
      <c r="C822" s="5" t="str">
        <f>IFERROR(VLOOKUP(B822,'Overall Bean Summary'!A$2:B$36,2,FALSE),"")</f>
        <v>Bad</v>
      </c>
      <c r="D822" s="6">
        <f t="shared" si="14"/>
        <v>0</v>
      </c>
      <c r="E822" s="6">
        <f t="shared" si="15"/>
        <v>1</v>
      </c>
      <c r="F822" s="5">
        <f t="shared" si="16"/>
        <v>1</v>
      </c>
      <c r="G822" s="5">
        <f t="shared" si="17"/>
        <v>2</v>
      </c>
      <c r="H822" s="5">
        <f t="shared" si="18"/>
        <v>5</v>
      </c>
      <c r="I822" s="6">
        <f t="shared" si="19"/>
        <v>182</v>
      </c>
    </row>
    <row r="823">
      <c r="A823" s="1">
        <v>45456.0</v>
      </c>
      <c r="B823" s="5" t="s">
        <v>45</v>
      </c>
      <c r="C823" s="5" t="str">
        <f>IFERROR(VLOOKUP(B823,'Overall Bean Summary'!A$2:B$36,2,FALSE),"")</f>
        <v>Good</v>
      </c>
      <c r="D823" s="6">
        <f t="shared" si="14"/>
        <v>1</v>
      </c>
      <c r="E823" s="6">
        <f t="shared" si="15"/>
        <v>0</v>
      </c>
      <c r="F823" s="5">
        <f t="shared" si="16"/>
        <v>1</v>
      </c>
      <c r="G823" s="5">
        <f t="shared" si="17"/>
        <v>1</v>
      </c>
      <c r="H823" s="5">
        <f t="shared" si="18"/>
        <v>6</v>
      </c>
      <c r="I823" s="6">
        <f t="shared" si="19"/>
        <v>183</v>
      </c>
      <c r="M823" s="5" t="s">
        <v>289</v>
      </c>
    </row>
    <row r="824">
      <c r="A824" s="1">
        <v>45457.0</v>
      </c>
      <c r="B824" s="5" t="s">
        <v>44</v>
      </c>
      <c r="C824" s="5" t="str">
        <f>IFERROR(VLOOKUP(B824,'Overall Bean Summary'!A$2:B$36,2,FALSE),"")</f>
        <v>Good</v>
      </c>
      <c r="D824" s="6">
        <f t="shared" si="14"/>
        <v>2</v>
      </c>
      <c r="E824" s="6">
        <f t="shared" si="15"/>
        <v>0</v>
      </c>
      <c r="F824" s="5">
        <f t="shared" si="16"/>
        <v>1</v>
      </c>
      <c r="G824" s="5">
        <f t="shared" si="17"/>
        <v>1</v>
      </c>
      <c r="H824" s="5">
        <f t="shared" si="18"/>
        <v>7</v>
      </c>
      <c r="I824" s="6">
        <f t="shared" si="19"/>
        <v>184</v>
      </c>
    </row>
    <row r="825">
      <c r="A825" s="1">
        <v>45460.0</v>
      </c>
      <c r="B825" s="5" t="s">
        <v>69</v>
      </c>
      <c r="C825" s="5" t="str">
        <f>IFERROR(VLOOKUP(B825,'Overall Bean Summary'!A$2:B$36,2,FALSE),"")</f>
        <v>Bad</v>
      </c>
      <c r="D825" s="6">
        <f t="shared" si="14"/>
        <v>0</v>
      </c>
      <c r="E825" s="6">
        <f t="shared" si="15"/>
        <v>1</v>
      </c>
      <c r="F825" s="5">
        <f t="shared" si="16"/>
        <v>1</v>
      </c>
      <c r="G825" s="5">
        <f t="shared" si="17"/>
        <v>1</v>
      </c>
      <c r="H825" s="5">
        <f t="shared" si="18"/>
        <v>8</v>
      </c>
      <c r="I825" s="6">
        <f t="shared" si="19"/>
        <v>185</v>
      </c>
    </row>
    <row r="826">
      <c r="A826" s="22">
        <v>45460.0</v>
      </c>
      <c r="B826" s="5" t="s">
        <v>14</v>
      </c>
      <c r="C826" s="5" t="str">
        <f>IFERROR(VLOOKUP(B826,'Overall Bean Summary'!A$2:B$36,2,FALSE),"")</f>
        <v>Bad</v>
      </c>
      <c r="D826" s="6">
        <f t="shared" si="14"/>
        <v>0</v>
      </c>
      <c r="E826" s="6">
        <f t="shared" si="15"/>
        <v>2</v>
      </c>
      <c r="F826" s="5">
        <f t="shared" si="16"/>
        <v>1</v>
      </c>
      <c r="G826" s="5">
        <f t="shared" si="17"/>
        <v>2</v>
      </c>
      <c r="H826" s="5">
        <f t="shared" si="18"/>
        <v>9</v>
      </c>
      <c r="I826" s="6">
        <f t="shared" si="19"/>
        <v>186</v>
      </c>
    </row>
    <row r="827">
      <c r="A827" s="1">
        <v>45460.0</v>
      </c>
      <c r="B827" s="5" t="s">
        <v>44</v>
      </c>
      <c r="C827" s="5" t="str">
        <f>IFERROR(VLOOKUP(B827,'Overall Bean Summary'!A$2:B$36,2,FALSE),"")</f>
        <v>Good</v>
      </c>
      <c r="D827" s="6">
        <f t="shared" si="14"/>
        <v>1</v>
      </c>
      <c r="E827" s="6">
        <f t="shared" si="15"/>
        <v>0</v>
      </c>
      <c r="F827" s="5">
        <f t="shared" si="16"/>
        <v>1</v>
      </c>
      <c r="G827" s="5">
        <f t="shared" si="17"/>
        <v>3</v>
      </c>
      <c r="H827" s="5">
        <f t="shared" si="18"/>
        <v>10</v>
      </c>
      <c r="I827" s="6">
        <f t="shared" si="19"/>
        <v>187</v>
      </c>
    </row>
    <row r="828">
      <c r="A828" s="1">
        <v>45460.0</v>
      </c>
      <c r="B828" s="5" t="s">
        <v>14</v>
      </c>
      <c r="C828" s="5" t="str">
        <f>IFERROR(VLOOKUP(B828,'Overall Bean Summary'!A$2:B$36,2,FALSE),"")</f>
        <v>Bad</v>
      </c>
      <c r="D828" s="6">
        <f t="shared" si="14"/>
        <v>0</v>
      </c>
      <c r="E828" s="6">
        <f t="shared" si="15"/>
        <v>1</v>
      </c>
      <c r="F828" s="5">
        <f t="shared" si="16"/>
        <v>1</v>
      </c>
      <c r="G828" s="5">
        <f t="shared" si="17"/>
        <v>4</v>
      </c>
      <c r="H828" s="5">
        <f t="shared" si="18"/>
        <v>11</v>
      </c>
      <c r="I828" s="6">
        <f t="shared" si="19"/>
        <v>188</v>
      </c>
    </row>
    <row r="829">
      <c r="A829" s="1">
        <v>45463.0</v>
      </c>
      <c r="B829" s="5" t="s">
        <v>69</v>
      </c>
      <c r="C829" s="5" t="str">
        <f>IFERROR(VLOOKUP(B829,'Overall Bean Summary'!A$2:B$36,2,FALSE),"")</f>
        <v>Bad</v>
      </c>
      <c r="D829" s="6">
        <f t="shared" si="14"/>
        <v>0</v>
      </c>
      <c r="E829" s="6">
        <f t="shared" si="15"/>
        <v>2</v>
      </c>
      <c r="F829" s="5">
        <f t="shared" si="16"/>
        <v>1</v>
      </c>
      <c r="G829" s="5">
        <f t="shared" si="17"/>
        <v>1</v>
      </c>
      <c r="H829" s="5">
        <f t="shared" si="18"/>
        <v>12</v>
      </c>
      <c r="I829" s="6">
        <f t="shared" si="19"/>
        <v>189</v>
      </c>
    </row>
    <row r="830">
      <c r="A830" s="1">
        <v>45464.0</v>
      </c>
      <c r="B830" s="5" t="s">
        <v>48</v>
      </c>
      <c r="C830" s="5" t="str">
        <f>IFERROR(VLOOKUP(B830,'Overall Bean Summary'!A$2:B$36,2,FALSE),"")</f>
        <v>Bad</v>
      </c>
      <c r="D830" s="6">
        <f t="shared" si="14"/>
        <v>0</v>
      </c>
      <c r="E830" s="6">
        <f t="shared" si="15"/>
        <v>3</v>
      </c>
      <c r="F830" s="5">
        <f t="shared" si="16"/>
        <v>1</v>
      </c>
      <c r="G830" s="5">
        <f t="shared" si="17"/>
        <v>1</v>
      </c>
      <c r="H830" s="5">
        <f t="shared" si="18"/>
        <v>13</v>
      </c>
      <c r="I830" s="6">
        <f t="shared" si="19"/>
        <v>190</v>
      </c>
    </row>
    <row r="831">
      <c r="A831" s="1">
        <v>45470.0</v>
      </c>
      <c r="B831" s="5" t="s">
        <v>48</v>
      </c>
      <c r="C831" s="5" t="str">
        <f>IFERROR(VLOOKUP(B831,'Overall Bean Summary'!A$2:B$36,2,FALSE),"")</f>
        <v>Bad</v>
      </c>
      <c r="D831" s="6">
        <f t="shared" si="14"/>
        <v>0</v>
      </c>
      <c r="E831" s="6">
        <f t="shared" si="15"/>
        <v>4</v>
      </c>
      <c r="F831" s="5">
        <f t="shared" si="16"/>
        <v>2</v>
      </c>
      <c r="G831" s="5">
        <f t="shared" si="17"/>
        <v>1</v>
      </c>
      <c r="H831" s="5">
        <f t="shared" si="18"/>
        <v>14</v>
      </c>
      <c r="I831" s="6">
        <f t="shared" si="19"/>
        <v>191</v>
      </c>
    </row>
    <row r="832">
      <c r="A832" s="1">
        <v>45476.0</v>
      </c>
      <c r="B832" s="5" t="s">
        <v>40</v>
      </c>
      <c r="C832" s="5" t="str">
        <f>IFERROR(VLOOKUP(B832,'Overall Bean Summary'!A$2:B$36,2,FALSE),"")</f>
        <v>Bad</v>
      </c>
      <c r="D832" s="6">
        <f t="shared" si="14"/>
        <v>0</v>
      </c>
      <c r="E832" s="6">
        <f t="shared" si="15"/>
        <v>5</v>
      </c>
      <c r="F832" s="5">
        <f t="shared" si="16"/>
        <v>1</v>
      </c>
      <c r="G832" s="5">
        <f t="shared" si="17"/>
        <v>1</v>
      </c>
      <c r="H832" s="5">
        <f t="shared" si="18"/>
        <v>1</v>
      </c>
      <c r="I832" s="6">
        <f t="shared" si="19"/>
        <v>192</v>
      </c>
      <c r="M832" s="5" t="s">
        <v>290</v>
      </c>
    </row>
    <row r="833">
      <c r="A833" s="1">
        <v>45476.0</v>
      </c>
      <c r="B833" s="5" t="s">
        <v>63</v>
      </c>
      <c r="C833" s="5" t="str">
        <f>IFERROR(VLOOKUP(B833,'Overall Bean Summary'!A$2:B$36,2,FALSE),"")</f>
        <v>Bad</v>
      </c>
      <c r="D833" s="6">
        <f t="shared" si="14"/>
        <v>0</v>
      </c>
      <c r="E833" s="6">
        <f t="shared" si="15"/>
        <v>6</v>
      </c>
      <c r="F833" s="5">
        <f t="shared" si="16"/>
        <v>1</v>
      </c>
      <c r="G833" s="5">
        <f t="shared" si="17"/>
        <v>2</v>
      </c>
      <c r="H833" s="5">
        <f t="shared" si="18"/>
        <v>2</v>
      </c>
      <c r="I833" s="6">
        <f t="shared" si="19"/>
        <v>193</v>
      </c>
    </row>
    <row r="834">
      <c r="A834" s="1">
        <v>45477.0</v>
      </c>
      <c r="B834" s="5" t="s">
        <v>51</v>
      </c>
      <c r="C834" s="5" t="str">
        <f>IFERROR(VLOOKUP(B834,'Overall Bean Summary'!A$2:B$36,2,FALSE),"")</f>
        <v>Bad</v>
      </c>
      <c r="D834" s="6">
        <f t="shared" si="14"/>
        <v>0</v>
      </c>
      <c r="E834" s="6">
        <f t="shared" si="15"/>
        <v>7</v>
      </c>
      <c r="F834" s="5">
        <f t="shared" si="16"/>
        <v>1</v>
      </c>
      <c r="G834" s="5">
        <f t="shared" si="17"/>
        <v>1</v>
      </c>
      <c r="H834" s="5">
        <f t="shared" si="18"/>
        <v>3</v>
      </c>
      <c r="I834" s="6">
        <f t="shared" si="19"/>
        <v>194</v>
      </c>
    </row>
    <row r="835">
      <c r="A835" s="1">
        <v>45478.0</v>
      </c>
      <c r="B835" s="5" t="s">
        <v>48</v>
      </c>
      <c r="C835" s="5" t="str">
        <f>IFERROR(VLOOKUP(B835,'Overall Bean Summary'!A$2:B$36,2,FALSE),"")</f>
        <v>Bad</v>
      </c>
      <c r="D835" s="6">
        <f t="shared" si="14"/>
        <v>0</v>
      </c>
      <c r="E835" s="6">
        <f t="shared" si="15"/>
        <v>8</v>
      </c>
      <c r="F835" s="5">
        <f t="shared" si="16"/>
        <v>1</v>
      </c>
      <c r="G835" s="5">
        <f t="shared" si="17"/>
        <v>1</v>
      </c>
      <c r="H835" s="5">
        <f t="shared" si="18"/>
        <v>4</v>
      </c>
      <c r="I835" s="6">
        <f t="shared" si="19"/>
        <v>195</v>
      </c>
    </row>
    <row r="836">
      <c r="A836" s="1">
        <v>45481.0</v>
      </c>
      <c r="B836" s="5" t="s">
        <v>63</v>
      </c>
      <c r="C836" s="5" t="str">
        <f>IFERROR(VLOOKUP(B836,'Overall Bean Summary'!A$2:B$36,2,FALSE),"")</f>
        <v>Bad</v>
      </c>
      <c r="D836" s="6">
        <f t="shared" si="14"/>
        <v>0</v>
      </c>
      <c r="E836" s="6">
        <f t="shared" si="15"/>
        <v>9</v>
      </c>
      <c r="F836" s="5">
        <f t="shared" si="16"/>
        <v>1</v>
      </c>
      <c r="G836" s="5">
        <f t="shared" si="17"/>
        <v>1</v>
      </c>
      <c r="H836" s="5">
        <f t="shared" si="18"/>
        <v>5</v>
      </c>
      <c r="I836" s="6">
        <f t="shared" si="19"/>
        <v>196</v>
      </c>
    </row>
    <row r="837">
      <c r="A837" s="1">
        <v>45483.0</v>
      </c>
      <c r="B837" s="5" t="s">
        <v>72</v>
      </c>
      <c r="C837" s="5" t="str">
        <f>IFERROR(VLOOKUP(B837,'Overall Bean Summary'!A$2:B$36,2,FALSE),"")</f>
        <v>Bad</v>
      </c>
      <c r="D837" s="6">
        <f t="shared" si="14"/>
        <v>0</v>
      </c>
      <c r="E837" s="6">
        <f t="shared" si="15"/>
        <v>10</v>
      </c>
      <c r="F837" s="5">
        <f t="shared" si="16"/>
        <v>1</v>
      </c>
      <c r="G837" s="5">
        <f t="shared" si="17"/>
        <v>1</v>
      </c>
      <c r="H837" s="5">
        <f t="shared" si="18"/>
        <v>6</v>
      </c>
      <c r="I837" s="6">
        <f t="shared" si="19"/>
        <v>197</v>
      </c>
      <c r="M837" s="5" t="s">
        <v>291</v>
      </c>
      <c r="O837" s="5" t="s">
        <v>292</v>
      </c>
    </row>
    <row r="838">
      <c r="A838" s="1">
        <v>45483.0</v>
      </c>
      <c r="B838" s="5" t="s">
        <v>72</v>
      </c>
      <c r="C838" s="5" t="str">
        <f>IFERROR(VLOOKUP(B838,'Overall Bean Summary'!A$2:B$36,2,FALSE),"")</f>
        <v>Bad</v>
      </c>
      <c r="D838" s="6">
        <f t="shared" si="14"/>
        <v>0</v>
      </c>
      <c r="E838" s="6">
        <f t="shared" si="15"/>
        <v>11</v>
      </c>
      <c r="F838" s="5">
        <f t="shared" si="16"/>
        <v>2</v>
      </c>
      <c r="G838" s="5">
        <f t="shared" si="17"/>
        <v>2</v>
      </c>
      <c r="H838" s="5">
        <f t="shared" si="18"/>
        <v>7</v>
      </c>
      <c r="I838" s="6">
        <f t="shared" si="19"/>
        <v>198</v>
      </c>
      <c r="M838" s="5" t="s">
        <v>291</v>
      </c>
    </row>
    <row r="839">
      <c r="A839" s="1">
        <v>45483.0</v>
      </c>
      <c r="B839" s="5" t="s">
        <v>72</v>
      </c>
      <c r="C839" s="5" t="str">
        <f>IFERROR(VLOOKUP(B839,'Overall Bean Summary'!A$2:B$36,2,FALSE),"")</f>
        <v>Bad</v>
      </c>
      <c r="D839" s="6">
        <f t="shared" si="14"/>
        <v>0</v>
      </c>
      <c r="E839" s="6">
        <f t="shared" si="15"/>
        <v>12</v>
      </c>
      <c r="F839" s="5">
        <f t="shared" si="16"/>
        <v>3</v>
      </c>
      <c r="G839" s="5">
        <f t="shared" si="17"/>
        <v>3</v>
      </c>
      <c r="H839" s="5">
        <f t="shared" si="18"/>
        <v>8</v>
      </c>
      <c r="I839" s="6">
        <f t="shared" si="19"/>
        <v>199</v>
      </c>
    </row>
    <row r="840">
      <c r="A840" s="1">
        <v>45484.0</v>
      </c>
      <c r="B840" s="5" t="s">
        <v>59</v>
      </c>
      <c r="C840" s="5" t="str">
        <f>IFERROR(VLOOKUP(B840,'Overall Bean Summary'!A$2:B$36,2,FALSE),"")</f>
        <v>Good</v>
      </c>
      <c r="D840" s="6">
        <f t="shared" si="14"/>
        <v>1</v>
      </c>
      <c r="E840" s="6">
        <f t="shared" si="15"/>
        <v>0</v>
      </c>
      <c r="F840" s="5">
        <f t="shared" si="16"/>
        <v>1</v>
      </c>
      <c r="G840" s="5">
        <f t="shared" si="17"/>
        <v>1</v>
      </c>
      <c r="H840" s="5">
        <f t="shared" si="18"/>
        <v>9</v>
      </c>
      <c r="I840" s="6">
        <f t="shared" si="19"/>
        <v>200</v>
      </c>
    </row>
    <row r="841">
      <c r="A841" s="1">
        <v>45484.0</v>
      </c>
      <c r="B841" s="5" t="s">
        <v>40</v>
      </c>
      <c r="C841" s="5" t="str">
        <f>IFERROR(VLOOKUP(B841,'Overall Bean Summary'!A$2:B$36,2,FALSE),"")</f>
        <v>Bad</v>
      </c>
      <c r="D841" s="6">
        <f t="shared" si="14"/>
        <v>0</v>
      </c>
      <c r="E841" s="6">
        <f t="shared" si="15"/>
        <v>1</v>
      </c>
      <c r="F841" s="5">
        <f t="shared" si="16"/>
        <v>1</v>
      </c>
      <c r="G841" s="5">
        <f t="shared" si="17"/>
        <v>2</v>
      </c>
      <c r="H841" s="5">
        <f t="shared" si="18"/>
        <v>10</v>
      </c>
      <c r="I841" s="6">
        <f t="shared" si="19"/>
        <v>201</v>
      </c>
      <c r="M841" s="5" t="s">
        <v>293</v>
      </c>
    </row>
    <row r="842">
      <c r="A842" s="1">
        <v>45484.0</v>
      </c>
      <c r="B842" s="5" t="s">
        <v>69</v>
      </c>
      <c r="C842" s="5" t="str">
        <f>IFERROR(VLOOKUP(B842,'Overall Bean Summary'!A$2:B$36,2,FALSE),"")</f>
        <v>Bad</v>
      </c>
      <c r="D842" s="6">
        <f t="shared" si="14"/>
        <v>0</v>
      </c>
      <c r="E842" s="6">
        <f t="shared" si="15"/>
        <v>2</v>
      </c>
      <c r="F842" s="5">
        <f t="shared" si="16"/>
        <v>1</v>
      </c>
      <c r="G842" s="5">
        <f t="shared" si="17"/>
        <v>3</v>
      </c>
      <c r="H842" s="5">
        <f t="shared" si="18"/>
        <v>11</v>
      </c>
      <c r="I842" s="6">
        <f t="shared" si="19"/>
        <v>202</v>
      </c>
    </row>
    <row r="843">
      <c r="A843" s="1">
        <v>45490.0</v>
      </c>
      <c r="B843" s="5" t="s">
        <v>14</v>
      </c>
      <c r="C843" s="5" t="str">
        <f>IFERROR(VLOOKUP(B843,'Overall Bean Summary'!A$2:B$36,2,FALSE),"")</f>
        <v>Bad</v>
      </c>
      <c r="D843" s="6">
        <f t="shared" si="14"/>
        <v>0</v>
      </c>
      <c r="E843" s="6">
        <f t="shared" si="15"/>
        <v>3</v>
      </c>
      <c r="F843" s="5">
        <f t="shared" si="16"/>
        <v>1</v>
      </c>
      <c r="G843" s="5">
        <f t="shared" si="17"/>
        <v>1</v>
      </c>
      <c r="H843" s="5">
        <f t="shared" si="18"/>
        <v>12</v>
      </c>
      <c r="I843" s="6">
        <f t="shared" si="19"/>
        <v>203</v>
      </c>
      <c r="L843" s="5" t="s">
        <v>294</v>
      </c>
    </row>
    <row r="844">
      <c r="A844" s="1">
        <v>45518.0</v>
      </c>
      <c r="B844" s="5" t="s">
        <v>48</v>
      </c>
      <c r="C844" s="5" t="str">
        <f>IFERROR(VLOOKUP(B844,'Overall Bean Summary'!A$2:B$36,2,FALSE),"")</f>
        <v>Bad</v>
      </c>
      <c r="D844" s="6">
        <f t="shared" si="14"/>
        <v>0</v>
      </c>
      <c r="E844" s="6">
        <f t="shared" si="15"/>
        <v>4</v>
      </c>
      <c r="F844" s="5">
        <f t="shared" si="16"/>
        <v>1</v>
      </c>
      <c r="G844" s="5">
        <f t="shared" si="17"/>
        <v>1</v>
      </c>
      <c r="H844" s="5">
        <f t="shared" si="18"/>
        <v>1</v>
      </c>
      <c r="I844" s="6">
        <f t="shared" si="19"/>
        <v>204</v>
      </c>
      <c r="L844" s="1">
        <v>45491.0</v>
      </c>
      <c r="M844" s="5" t="s">
        <v>295</v>
      </c>
      <c r="Q844" s="5" t="s">
        <v>16</v>
      </c>
      <c r="R844" s="5" t="s">
        <v>21</v>
      </c>
      <c r="S844" s="5" t="s">
        <v>16</v>
      </c>
      <c r="T844" s="5" t="s">
        <v>21</v>
      </c>
    </row>
    <row r="845">
      <c r="A845" s="1">
        <v>45518.0</v>
      </c>
      <c r="B845" s="5" t="s">
        <v>53</v>
      </c>
      <c r="C845" s="5" t="str">
        <f>IFERROR(VLOOKUP(B845,'Overall Bean Summary'!A$2:B$36,2,FALSE),"")</f>
        <v>Good</v>
      </c>
      <c r="D845" s="6">
        <f t="shared" si="14"/>
        <v>1</v>
      </c>
      <c r="E845" s="6">
        <f t="shared" si="15"/>
        <v>0</v>
      </c>
      <c r="F845" s="5">
        <f t="shared" si="16"/>
        <v>1</v>
      </c>
      <c r="G845" s="5">
        <f t="shared" si="17"/>
        <v>2</v>
      </c>
      <c r="H845" s="5">
        <f t="shared" si="18"/>
        <v>2</v>
      </c>
      <c r="I845" s="6">
        <f t="shared" si="19"/>
        <v>205</v>
      </c>
      <c r="L845" s="1">
        <v>45491.0</v>
      </c>
      <c r="P845" s="5" t="s">
        <v>173</v>
      </c>
      <c r="Q845" s="24">
        <f>COUNTIF(C844:C937, "Good")</f>
        <v>17</v>
      </c>
      <c r="R845" s="24">
        <f>COUNTIF(C844:C937, "Bad")</f>
        <v>77</v>
      </c>
      <c r="S845" s="25">
        <f>Q845/(Q845+R845)</f>
        <v>0.1808510638</v>
      </c>
      <c r="T845" s="25">
        <f>R845/(Q845+R845)</f>
        <v>0.8191489362</v>
      </c>
    </row>
    <row r="846">
      <c r="A846" s="1">
        <v>45518.0</v>
      </c>
      <c r="B846" s="5" t="s">
        <v>51</v>
      </c>
      <c r="C846" s="5" t="str">
        <f>IFERROR(VLOOKUP(B846,'Overall Bean Summary'!A$2:B$36,2,FALSE),"")</f>
        <v>Bad</v>
      </c>
      <c r="D846" s="6">
        <f t="shared" si="14"/>
        <v>0</v>
      </c>
      <c r="E846" s="6">
        <f t="shared" si="15"/>
        <v>1</v>
      </c>
      <c r="F846" s="5">
        <f t="shared" si="16"/>
        <v>1</v>
      </c>
      <c r="G846" s="5">
        <f t="shared" si="17"/>
        <v>3</v>
      </c>
      <c r="H846" s="5">
        <f t="shared" si="18"/>
        <v>3</v>
      </c>
      <c r="I846" s="6">
        <f t="shared" si="19"/>
        <v>206</v>
      </c>
      <c r="L846" s="1">
        <v>45492.0</v>
      </c>
      <c r="M846" s="5" t="s">
        <v>296</v>
      </c>
    </row>
    <row r="847">
      <c r="A847" s="1">
        <v>45518.0</v>
      </c>
      <c r="B847" s="5" t="s">
        <v>58</v>
      </c>
      <c r="C847" s="5" t="str">
        <f>IFERROR(VLOOKUP(B847,'Overall Bean Summary'!A$2:B$36,2,FALSE),"")</f>
        <v>Bad</v>
      </c>
      <c r="D847" s="6">
        <f t="shared" si="14"/>
        <v>0</v>
      </c>
      <c r="E847" s="6">
        <f t="shared" si="15"/>
        <v>2</v>
      </c>
      <c r="F847" s="5">
        <f t="shared" si="16"/>
        <v>1</v>
      </c>
      <c r="G847" s="5">
        <f t="shared" si="17"/>
        <v>4</v>
      </c>
      <c r="H847" s="5">
        <f t="shared" si="18"/>
        <v>4</v>
      </c>
      <c r="I847" s="6">
        <f t="shared" si="19"/>
        <v>207</v>
      </c>
      <c r="L847" s="1">
        <v>45492.0</v>
      </c>
      <c r="M847" s="5" t="s">
        <v>297</v>
      </c>
    </row>
    <row r="848">
      <c r="A848" s="1">
        <v>45518.0</v>
      </c>
      <c r="B848" s="5" t="s">
        <v>14</v>
      </c>
      <c r="C848" s="5" t="str">
        <f>IFERROR(VLOOKUP(B848,'Overall Bean Summary'!A$2:B$36,2,FALSE),"")</f>
        <v>Bad</v>
      </c>
      <c r="D848" s="6">
        <f t="shared" si="14"/>
        <v>0</v>
      </c>
      <c r="E848" s="6">
        <f t="shared" si="15"/>
        <v>3</v>
      </c>
      <c r="F848" s="5">
        <f t="shared" si="16"/>
        <v>1</v>
      </c>
      <c r="G848" s="5">
        <f t="shared" si="17"/>
        <v>5</v>
      </c>
      <c r="H848" s="5">
        <f t="shared" si="18"/>
        <v>5</v>
      </c>
      <c r="I848" s="6">
        <f t="shared" si="19"/>
        <v>208</v>
      </c>
      <c r="L848" s="1">
        <v>45492.0</v>
      </c>
    </row>
    <row r="849">
      <c r="A849" s="1">
        <v>45518.0</v>
      </c>
      <c r="B849" s="5" t="s">
        <v>40</v>
      </c>
      <c r="C849" s="5" t="str">
        <f>IFERROR(VLOOKUP(B849,'Overall Bean Summary'!A$2:B$36,2,FALSE),"")</f>
        <v>Bad</v>
      </c>
      <c r="D849" s="6">
        <f t="shared" si="14"/>
        <v>0</v>
      </c>
      <c r="E849" s="6">
        <f t="shared" si="15"/>
        <v>4</v>
      </c>
      <c r="F849" s="5">
        <f t="shared" si="16"/>
        <v>1</v>
      </c>
      <c r="G849" s="5">
        <f t="shared" si="17"/>
        <v>6</v>
      </c>
      <c r="H849" s="5">
        <f t="shared" si="18"/>
        <v>6</v>
      </c>
      <c r="I849" s="6">
        <f t="shared" si="19"/>
        <v>209</v>
      </c>
      <c r="L849" s="1">
        <v>45492.0</v>
      </c>
    </row>
    <row r="850">
      <c r="A850" s="1">
        <v>45518.0</v>
      </c>
      <c r="B850" s="5" t="s">
        <v>72</v>
      </c>
      <c r="C850" s="5" t="str">
        <f>IFERROR(VLOOKUP(B850,'Overall Bean Summary'!A$2:B$36,2,FALSE),"")</f>
        <v>Bad</v>
      </c>
      <c r="D850" s="6">
        <f t="shared" si="14"/>
        <v>0</v>
      </c>
      <c r="E850" s="6">
        <f t="shared" si="15"/>
        <v>5</v>
      </c>
      <c r="F850" s="5">
        <f t="shared" si="16"/>
        <v>1</v>
      </c>
      <c r="G850" s="5">
        <f t="shared" si="17"/>
        <v>7</v>
      </c>
      <c r="H850" s="5">
        <f t="shared" si="18"/>
        <v>7</v>
      </c>
      <c r="I850" s="6">
        <f t="shared" si="19"/>
        <v>210</v>
      </c>
      <c r="L850" s="1">
        <v>45492.0</v>
      </c>
    </row>
    <row r="851">
      <c r="A851" s="1">
        <v>45518.0</v>
      </c>
      <c r="B851" s="5" t="s">
        <v>48</v>
      </c>
      <c r="C851" s="5" t="str">
        <f>IFERROR(VLOOKUP(B851,'Overall Bean Summary'!A$2:B$36,2,FALSE),"")</f>
        <v>Bad</v>
      </c>
      <c r="D851" s="6">
        <f t="shared" si="14"/>
        <v>0</v>
      </c>
      <c r="E851" s="6">
        <f t="shared" si="15"/>
        <v>6</v>
      </c>
      <c r="F851" s="5">
        <f t="shared" si="16"/>
        <v>1</v>
      </c>
      <c r="G851" s="5">
        <f t="shared" si="17"/>
        <v>8</v>
      </c>
      <c r="H851" s="5">
        <f t="shared" si="18"/>
        <v>8</v>
      </c>
      <c r="I851" s="6">
        <f t="shared" si="19"/>
        <v>211</v>
      </c>
      <c r="L851" s="1">
        <v>45492.0</v>
      </c>
    </row>
    <row r="852">
      <c r="A852" s="1">
        <v>45518.0</v>
      </c>
      <c r="B852" s="5" t="s">
        <v>63</v>
      </c>
      <c r="C852" s="5" t="str">
        <f>IFERROR(VLOOKUP(B852,'Overall Bean Summary'!A$2:B$36,2,FALSE),"")</f>
        <v>Bad</v>
      </c>
      <c r="D852" s="6">
        <f t="shared" si="14"/>
        <v>0</v>
      </c>
      <c r="E852" s="6">
        <f t="shared" si="15"/>
        <v>7</v>
      </c>
      <c r="F852" s="5">
        <f t="shared" si="16"/>
        <v>1</v>
      </c>
      <c r="G852" s="5">
        <f t="shared" si="17"/>
        <v>9</v>
      </c>
      <c r="H852" s="5">
        <f t="shared" si="18"/>
        <v>9</v>
      </c>
      <c r="I852" s="6">
        <f t="shared" si="19"/>
        <v>212</v>
      </c>
      <c r="L852" s="1">
        <v>45492.0</v>
      </c>
    </row>
    <row r="853">
      <c r="A853" s="1">
        <v>45518.0</v>
      </c>
      <c r="B853" s="5" t="s">
        <v>58</v>
      </c>
      <c r="C853" s="5" t="str">
        <f>IFERROR(VLOOKUP(B853,'Overall Bean Summary'!A$2:B$36,2,FALSE),"")</f>
        <v>Bad</v>
      </c>
      <c r="D853" s="6">
        <f t="shared" si="14"/>
        <v>0</v>
      </c>
      <c r="E853" s="6">
        <f t="shared" si="15"/>
        <v>8</v>
      </c>
      <c r="F853" s="5">
        <f t="shared" si="16"/>
        <v>1</v>
      </c>
      <c r="G853" s="5">
        <f t="shared" si="17"/>
        <v>10</v>
      </c>
      <c r="H853" s="5">
        <f t="shared" si="18"/>
        <v>10</v>
      </c>
      <c r="I853" s="6">
        <f t="shared" si="19"/>
        <v>213</v>
      </c>
      <c r="L853" s="1">
        <v>45492.0</v>
      </c>
    </row>
    <row r="854">
      <c r="A854" s="1">
        <v>45518.0</v>
      </c>
      <c r="B854" s="5" t="s">
        <v>56</v>
      </c>
      <c r="C854" s="5" t="str">
        <f>IFERROR(VLOOKUP(B854,'Overall Bean Summary'!A$2:B$36,2,FALSE),"")</f>
        <v>Good</v>
      </c>
      <c r="D854" s="6">
        <f t="shared" si="14"/>
        <v>1</v>
      </c>
      <c r="E854" s="6">
        <f t="shared" si="15"/>
        <v>0</v>
      </c>
      <c r="F854" s="5">
        <f t="shared" si="16"/>
        <v>1</v>
      </c>
      <c r="G854" s="5">
        <f t="shared" si="17"/>
        <v>11</v>
      </c>
      <c r="H854" s="5">
        <f t="shared" si="18"/>
        <v>11</v>
      </c>
      <c r="I854" s="6">
        <f t="shared" si="19"/>
        <v>214</v>
      </c>
      <c r="L854" s="1">
        <v>45492.0</v>
      </c>
    </row>
    <row r="855">
      <c r="A855" s="1">
        <v>45518.0</v>
      </c>
      <c r="B855" s="5" t="s">
        <v>72</v>
      </c>
      <c r="C855" s="5" t="str">
        <f>IFERROR(VLOOKUP(B855,'Overall Bean Summary'!A$2:B$36,2,FALSE),"")</f>
        <v>Bad</v>
      </c>
      <c r="D855" s="6">
        <f t="shared" si="14"/>
        <v>0</v>
      </c>
      <c r="E855" s="6">
        <f t="shared" si="15"/>
        <v>1</v>
      </c>
      <c r="F855" s="5">
        <f t="shared" si="16"/>
        <v>1</v>
      </c>
      <c r="G855" s="5">
        <f t="shared" si="17"/>
        <v>12</v>
      </c>
      <c r="H855" s="5">
        <f t="shared" si="18"/>
        <v>12</v>
      </c>
      <c r="I855" s="6">
        <f t="shared" si="19"/>
        <v>215</v>
      </c>
      <c r="L855" s="1">
        <v>45492.0</v>
      </c>
    </row>
    <row r="856">
      <c r="A856" s="1">
        <v>45518.0</v>
      </c>
      <c r="B856" s="5" t="s">
        <v>69</v>
      </c>
      <c r="C856" s="5" t="str">
        <f>IFERROR(VLOOKUP(B856,'Overall Bean Summary'!A$2:B$36,2,FALSE),"")</f>
        <v>Bad</v>
      </c>
      <c r="D856" s="6">
        <f t="shared" si="14"/>
        <v>0</v>
      </c>
      <c r="E856" s="6">
        <f t="shared" si="15"/>
        <v>2</v>
      </c>
      <c r="F856" s="5">
        <f t="shared" si="16"/>
        <v>1</v>
      </c>
      <c r="G856" s="5">
        <f t="shared" si="17"/>
        <v>13</v>
      </c>
      <c r="H856" s="5">
        <f t="shared" si="18"/>
        <v>13</v>
      </c>
      <c r="I856" s="6">
        <f t="shared" si="19"/>
        <v>216</v>
      </c>
      <c r="L856" s="1">
        <v>45492.0</v>
      </c>
    </row>
    <row r="857">
      <c r="A857" s="1">
        <v>45518.0</v>
      </c>
      <c r="B857" s="5" t="s">
        <v>58</v>
      </c>
      <c r="C857" s="5" t="str">
        <f>IFERROR(VLOOKUP(B857,'Overall Bean Summary'!A$2:B$36,2,FALSE),"")</f>
        <v>Bad</v>
      </c>
      <c r="D857" s="6">
        <f t="shared" si="14"/>
        <v>0</v>
      </c>
      <c r="E857" s="6">
        <f t="shared" si="15"/>
        <v>3</v>
      </c>
      <c r="F857" s="5">
        <f t="shared" si="16"/>
        <v>1</v>
      </c>
      <c r="G857" s="5">
        <f t="shared" si="17"/>
        <v>14</v>
      </c>
      <c r="H857" s="5">
        <f t="shared" si="18"/>
        <v>14</v>
      </c>
      <c r="I857" s="6">
        <f t="shared" si="19"/>
        <v>217</v>
      </c>
      <c r="L857" s="1">
        <v>45492.0</v>
      </c>
    </row>
    <row r="858">
      <c r="A858" s="1">
        <v>45518.0</v>
      </c>
      <c r="B858" s="5" t="s">
        <v>48</v>
      </c>
      <c r="C858" s="5" t="str">
        <f>IFERROR(VLOOKUP(B858,'Overall Bean Summary'!A$2:B$36,2,FALSE),"")</f>
        <v>Bad</v>
      </c>
      <c r="D858" s="6">
        <f t="shared" si="14"/>
        <v>0</v>
      </c>
      <c r="E858" s="6">
        <f t="shared" si="15"/>
        <v>4</v>
      </c>
      <c r="F858" s="5">
        <f t="shared" si="16"/>
        <v>1</v>
      </c>
      <c r="G858" s="5">
        <f t="shared" si="17"/>
        <v>15</v>
      </c>
      <c r="H858" s="5">
        <f t="shared" si="18"/>
        <v>15</v>
      </c>
      <c r="I858" s="6">
        <f t="shared" si="19"/>
        <v>218</v>
      </c>
      <c r="L858" s="1">
        <v>45492.0</v>
      </c>
    </row>
    <row r="859">
      <c r="A859" s="1">
        <v>45518.0</v>
      </c>
      <c r="B859" s="5" t="s">
        <v>58</v>
      </c>
      <c r="C859" s="5" t="str">
        <f>IFERROR(VLOOKUP(B859,'Overall Bean Summary'!A$2:B$36,2,FALSE),"")</f>
        <v>Bad</v>
      </c>
      <c r="D859" s="6">
        <f t="shared" si="14"/>
        <v>0</v>
      </c>
      <c r="E859" s="6">
        <f t="shared" si="15"/>
        <v>5</v>
      </c>
      <c r="F859" s="5">
        <f t="shared" si="16"/>
        <v>1</v>
      </c>
      <c r="G859" s="5">
        <f t="shared" si="17"/>
        <v>16</v>
      </c>
      <c r="H859" s="5">
        <f t="shared" si="18"/>
        <v>16</v>
      </c>
      <c r="I859" s="6">
        <f t="shared" si="19"/>
        <v>219</v>
      </c>
      <c r="L859" s="1">
        <v>45492.0</v>
      </c>
    </row>
    <row r="860">
      <c r="A860" s="1">
        <v>45518.0</v>
      </c>
      <c r="B860" s="5" t="s">
        <v>69</v>
      </c>
      <c r="C860" s="5" t="str">
        <f>IFERROR(VLOOKUP(B860,'Overall Bean Summary'!A$2:B$36,2,FALSE),"")</f>
        <v>Bad</v>
      </c>
      <c r="D860" s="6">
        <f t="shared" si="14"/>
        <v>0</v>
      </c>
      <c r="E860" s="6">
        <f t="shared" si="15"/>
        <v>6</v>
      </c>
      <c r="F860" s="5">
        <f t="shared" si="16"/>
        <v>1</v>
      </c>
      <c r="G860" s="5">
        <f t="shared" si="17"/>
        <v>17</v>
      </c>
      <c r="H860" s="5">
        <f t="shared" si="18"/>
        <v>17</v>
      </c>
      <c r="I860" s="6">
        <f t="shared" si="19"/>
        <v>220</v>
      </c>
      <c r="L860" s="1">
        <v>45497.0</v>
      </c>
    </row>
    <row r="861">
      <c r="A861" s="1">
        <v>45518.0</v>
      </c>
      <c r="B861" s="5" t="s">
        <v>44</v>
      </c>
      <c r="C861" s="5" t="str">
        <f>IFERROR(VLOOKUP(B861,'Overall Bean Summary'!A$2:B$36,2,FALSE),"")</f>
        <v>Good</v>
      </c>
      <c r="D861" s="6">
        <f t="shared" si="14"/>
        <v>1</v>
      </c>
      <c r="E861" s="6">
        <f t="shared" si="15"/>
        <v>0</v>
      </c>
      <c r="F861" s="5">
        <f t="shared" si="16"/>
        <v>1</v>
      </c>
      <c r="G861" s="5">
        <f t="shared" si="17"/>
        <v>18</v>
      </c>
      <c r="H861" s="5">
        <f t="shared" si="18"/>
        <v>18</v>
      </c>
      <c r="I861" s="6">
        <f t="shared" si="19"/>
        <v>221</v>
      </c>
      <c r="L861" s="1">
        <v>45497.0</v>
      </c>
    </row>
    <row r="862">
      <c r="A862" s="1">
        <v>45518.0</v>
      </c>
      <c r="B862" s="5" t="s">
        <v>80</v>
      </c>
      <c r="C862" s="5" t="str">
        <f>IFERROR(VLOOKUP(B862,'Overall Bean Summary'!A$2:B$36,2,FALSE),"")</f>
        <v>Bad</v>
      </c>
      <c r="D862" s="6">
        <f t="shared" si="14"/>
        <v>0</v>
      </c>
      <c r="E862" s="6">
        <f t="shared" si="15"/>
        <v>1</v>
      </c>
      <c r="F862" s="5">
        <f t="shared" si="16"/>
        <v>1</v>
      </c>
      <c r="G862" s="5">
        <f t="shared" si="17"/>
        <v>19</v>
      </c>
      <c r="H862" s="5">
        <f t="shared" si="18"/>
        <v>19</v>
      </c>
      <c r="I862" s="6">
        <f t="shared" si="19"/>
        <v>222</v>
      </c>
      <c r="L862" s="1">
        <v>45502.0</v>
      </c>
    </row>
    <row r="863">
      <c r="A863" s="1">
        <v>45518.0</v>
      </c>
      <c r="B863" s="5" t="s">
        <v>51</v>
      </c>
      <c r="C863" s="5" t="str">
        <f>IFERROR(VLOOKUP(B863,'Overall Bean Summary'!A$2:B$36,2,FALSE),"")</f>
        <v>Bad</v>
      </c>
      <c r="D863" s="6">
        <f t="shared" si="14"/>
        <v>0</v>
      </c>
      <c r="E863" s="6">
        <f t="shared" si="15"/>
        <v>2</v>
      </c>
      <c r="F863" s="5">
        <f t="shared" si="16"/>
        <v>1</v>
      </c>
      <c r="G863" s="5">
        <f t="shared" si="17"/>
        <v>20</v>
      </c>
      <c r="H863" s="5">
        <f t="shared" si="18"/>
        <v>20</v>
      </c>
      <c r="I863" s="6">
        <f t="shared" si="19"/>
        <v>223</v>
      </c>
      <c r="L863" s="1">
        <v>45502.0</v>
      </c>
    </row>
    <row r="864">
      <c r="A864" s="1">
        <v>45518.0</v>
      </c>
      <c r="B864" s="5" t="s">
        <v>69</v>
      </c>
      <c r="C864" s="5" t="str">
        <f>IFERROR(VLOOKUP(B864,'Overall Bean Summary'!A$2:B$36,2,FALSE),"")</f>
        <v>Bad</v>
      </c>
      <c r="D864" s="6">
        <f t="shared" si="14"/>
        <v>0</v>
      </c>
      <c r="E864" s="6">
        <f t="shared" si="15"/>
        <v>3</v>
      </c>
      <c r="F864" s="5">
        <f t="shared" si="16"/>
        <v>1</v>
      </c>
      <c r="G864" s="5">
        <f t="shared" si="17"/>
        <v>21</v>
      </c>
      <c r="H864" s="5">
        <f t="shared" si="18"/>
        <v>21</v>
      </c>
      <c r="I864" s="6">
        <f t="shared" si="19"/>
        <v>224</v>
      </c>
      <c r="L864" s="1">
        <v>45502.0</v>
      </c>
    </row>
    <row r="865">
      <c r="A865" s="1">
        <v>45518.0</v>
      </c>
      <c r="B865" s="5" t="s">
        <v>63</v>
      </c>
      <c r="C865" s="5" t="str">
        <f>IFERROR(VLOOKUP(B865,'Overall Bean Summary'!A$2:B$36,2,FALSE),"")</f>
        <v>Bad</v>
      </c>
      <c r="D865" s="6">
        <f t="shared" si="14"/>
        <v>0</v>
      </c>
      <c r="E865" s="6">
        <f t="shared" si="15"/>
        <v>4</v>
      </c>
      <c r="F865" s="5">
        <f t="shared" si="16"/>
        <v>1</v>
      </c>
      <c r="G865" s="5">
        <f t="shared" si="17"/>
        <v>22</v>
      </c>
      <c r="H865" s="5">
        <f t="shared" si="18"/>
        <v>22</v>
      </c>
      <c r="I865" s="6">
        <f t="shared" si="19"/>
        <v>225</v>
      </c>
      <c r="L865" s="1">
        <v>45502.0</v>
      </c>
    </row>
    <row r="866">
      <c r="A866" s="1">
        <v>45518.0</v>
      </c>
      <c r="B866" s="5" t="s">
        <v>63</v>
      </c>
      <c r="C866" s="5" t="str">
        <f>IFERROR(VLOOKUP(B866,'Overall Bean Summary'!A$2:B$36,2,FALSE),"")</f>
        <v>Bad</v>
      </c>
      <c r="D866" s="6">
        <f t="shared" si="14"/>
        <v>0</v>
      </c>
      <c r="E866" s="6">
        <f t="shared" si="15"/>
        <v>5</v>
      </c>
      <c r="F866" s="5">
        <f t="shared" si="16"/>
        <v>2</v>
      </c>
      <c r="G866" s="5">
        <f t="shared" si="17"/>
        <v>23</v>
      </c>
      <c r="H866" s="5">
        <f t="shared" si="18"/>
        <v>23</v>
      </c>
      <c r="I866" s="6">
        <f t="shared" si="19"/>
        <v>226</v>
      </c>
      <c r="L866" s="1">
        <v>45502.0</v>
      </c>
      <c r="M866" s="5" t="s">
        <v>298</v>
      </c>
    </row>
    <row r="867">
      <c r="A867" s="1">
        <v>45518.0</v>
      </c>
      <c r="B867" s="5" t="s">
        <v>85</v>
      </c>
      <c r="C867" s="5" t="str">
        <f>IFERROR(VLOOKUP(B867,'Overall Bean Summary'!A$2:B$36,2,FALSE),"")</f>
        <v>Good</v>
      </c>
      <c r="D867" s="6">
        <f t="shared" si="14"/>
        <v>1</v>
      </c>
      <c r="E867" s="6">
        <f t="shared" si="15"/>
        <v>0</v>
      </c>
      <c r="F867" s="5">
        <f t="shared" si="16"/>
        <v>1</v>
      </c>
      <c r="G867" s="5">
        <f t="shared" si="17"/>
        <v>24</v>
      </c>
      <c r="H867" s="5">
        <f t="shared" si="18"/>
        <v>24</v>
      </c>
      <c r="I867" s="6">
        <f t="shared" si="19"/>
        <v>227</v>
      </c>
      <c r="L867" s="1">
        <v>45502.0</v>
      </c>
    </row>
    <row r="868">
      <c r="A868" s="1">
        <v>45518.0</v>
      </c>
      <c r="B868" s="5" t="s">
        <v>72</v>
      </c>
      <c r="C868" s="5" t="str">
        <f>IFERROR(VLOOKUP(B868,'Overall Bean Summary'!A$2:B$36,2,FALSE),"")</f>
        <v>Bad</v>
      </c>
      <c r="D868" s="6">
        <f t="shared" si="14"/>
        <v>0</v>
      </c>
      <c r="E868" s="6">
        <f t="shared" si="15"/>
        <v>1</v>
      </c>
      <c r="F868" s="5">
        <f t="shared" si="16"/>
        <v>1</v>
      </c>
      <c r="G868" s="5">
        <f t="shared" si="17"/>
        <v>25</v>
      </c>
      <c r="H868" s="5">
        <f t="shared" si="18"/>
        <v>25</v>
      </c>
      <c r="I868" s="6">
        <f t="shared" si="19"/>
        <v>228</v>
      </c>
      <c r="L868" s="1">
        <v>45502.0</v>
      </c>
      <c r="M868" s="5" t="s">
        <v>299</v>
      </c>
    </row>
    <row r="869">
      <c r="A869" s="1">
        <v>45518.0</v>
      </c>
      <c r="B869" s="5" t="s">
        <v>56</v>
      </c>
      <c r="C869" s="5" t="str">
        <f>IFERROR(VLOOKUP(B869,'Overall Bean Summary'!A$2:B$36,2,FALSE),"")</f>
        <v>Good</v>
      </c>
      <c r="D869" s="6">
        <f t="shared" si="14"/>
        <v>1</v>
      </c>
      <c r="E869" s="6">
        <f t="shared" si="15"/>
        <v>0</v>
      </c>
      <c r="F869" s="5">
        <f t="shared" si="16"/>
        <v>1</v>
      </c>
      <c r="G869" s="5">
        <f t="shared" si="17"/>
        <v>26</v>
      </c>
      <c r="H869" s="5">
        <f t="shared" si="18"/>
        <v>26</v>
      </c>
      <c r="I869" s="6">
        <f t="shared" si="19"/>
        <v>229</v>
      </c>
      <c r="L869" s="1">
        <v>45505.0</v>
      </c>
      <c r="M869" s="5" t="s">
        <v>300</v>
      </c>
    </row>
    <row r="870">
      <c r="A870" s="1">
        <v>45518.0</v>
      </c>
      <c r="B870" s="5" t="s">
        <v>45</v>
      </c>
      <c r="C870" s="5" t="str">
        <f>IFERROR(VLOOKUP(B870,'Overall Bean Summary'!A$2:B$36,2,FALSE),"")</f>
        <v>Good</v>
      </c>
      <c r="D870" s="6">
        <f t="shared" si="14"/>
        <v>2</v>
      </c>
      <c r="E870" s="6">
        <f t="shared" si="15"/>
        <v>0</v>
      </c>
      <c r="F870" s="5">
        <f t="shared" si="16"/>
        <v>1</v>
      </c>
      <c r="G870" s="5">
        <f t="shared" si="17"/>
        <v>27</v>
      </c>
      <c r="H870" s="5">
        <f t="shared" si="18"/>
        <v>27</v>
      </c>
      <c r="I870" s="6">
        <f t="shared" si="19"/>
        <v>230</v>
      </c>
      <c r="L870" s="1">
        <v>45505.0</v>
      </c>
      <c r="M870" s="5" t="s">
        <v>301</v>
      </c>
    </row>
    <row r="871">
      <c r="A871" s="1">
        <v>45518.0</v>
      </c>
      <c r="B871" s="5" t="s">
        <v>80</v>
      </c>
      <c r="C871" s="5" t="str">
        <f>IFERROR(VLOOKUP(B871,'Overall Bean Summary'!A$2:B$36,2,FALSE),"")</f>
        <v>Bad</v>
      </c>
      <c r="D871" s="6">
        <f t="shared" si="14"/>
        <v>0</v>
      </c>
      <c r="E871" s="6">
        <f t="shared" si="15"/>
        <v>1</v>
      </c>
      <c r="F871" s="5">
        <f t="shared" si="16"/>
        <v>1</v>
      </c>
      <c r="G871" s="5">
        <f t="shared" si="17"/>
        <v>28</v>
      </c>
      <c r="H871" s="5">
        <f t="shared" si="18"/>
        <v>28</v>
      </c>
      <c r="I871" s="6">
        <f t="shared" si="19"/>
        <v>231</v>
      </c>
      <c r="L871" s="1">
        <v>45510.0</v>
      </c>
      <c r="M871" s="5" t="s">
        <v>302</v>
      </c>
    </row>
    <row r="872">
      <c r="A872" s="1">
        <v>45518.0</v>
      </c>
      <c r="B872" s="5" t="s">
        <v>51</v>
      </c>
      <c r="C872" s="5" t="str">
        <f>IFERROR(VLOOKUP(B872,'Overall Bean Summary'!A$2:B$36,2,FALSE),"")</f>
        <v>Bad</v>
      </c>
      <c r="D872" s="6">
        <f t="shared" si="14"/>
        <v>0</v>
      </c>
      <c r="E872" s="6">
        <f t="shared" si="15"/>
        <v>2</v>
      </c>
      <c r="F872" s="5">
        <f t="shared" si="16"/>
        <v>1</v>
      </c>
      <c r="G872" s="5">
        <f t="shared" si="17"/>
        <v>29</v>
      </c>
      <c r="H872" s="5">
        <f t="shared" si="18"/>
        <v>29</v>
      </c>
      <c r="I872" s="6">
        <f t="shared" si="19"/>
        <v>232</v>
      </c>
      <c r="L872" s="1">
        <v>45510.0</v>
      </c>
      <c r="M872" s="5" t="s">
        <v>303</v>
      </c>
    </row>
    <row r="873">
      <c r="A873" s="1">
        <v>45518.0</v>
      </c>
      <c r="B873" s="5" t="s">
        <v>63</v>
      </c>
      <c r="C873" s="5" t="str">
        <f>IFERROR(VLOOKUP(B873,'Overall Bean Summary'!A$2:B$36,2,FALSE),"")</f>
        <v>Bad</v>
      </c>
      <c r="D873" s="6">
        <f t="shared" si="14"/>
        <v>0</v>
      </c>
      <c r="E873" s="6">
        <f t="shared" si="15"/>
        <v>3</v>
      </c>
      <c r="F873" s="5">
        <f t="shared" si="16"/>
        <v>1</v>
      </c>
      <c r="G873" s="5">
        <f t="shared" si="17"/>
        <v>30</v>
      </c>
      <c r="H873" s="5">
        <f t="shared" si="18"/>
        <v>30</v>
      </c>
      <c r="I873" s="6">
        <f t="shared" si="19"/>
        <v>233</v>
      </c>
      <c r="L873" s="1">
        <v>45516.0</v>
      </c>
    </row>
    <row r="874">
      <c r="A874" s="1">
        <v>45518.0</v>
      </c>
      <c r="B874" s="5" t="s">
        <v>80</v>
      </c>
      <c r="C874" s="5" t="str">
        <f>IFERROR(VLOOKUP(B874,'Overall Bean Summary'!A$2:B$36,2,FALSE),"")</f>
        <v>Bad</v>
      </c>
      <c r="D874" s="6">
        <f t="shared" si="14"/>
        <v>0</v>
      </c>
      <c r="E874" s="6">
        <f t="shared" si="15"/>
        <v>4</v>
      </c>
      <c r="F874" s="5">
        <f t="shared" si="16"/>
        <v>1</v>
      </c>
      <c r="G874" s="5">
        <f t="shared" si="17"/>
        <v>31</v>
      </c>
      <c r="H874" s="5">
        <f t="shared" si="18"/>
        <v>31</v>
      </c>
      <c r="I874" s="6">
        <f t="shared" si="19"/>
        <v>234</v>
      </c>
      <c r="L874" s="1">
        <v>45516.0</v>
      </c>
    </row>
    <row r="875">
      <c r="A875" s="1">
        <v>45518.0</v>
      </c>
      <c r="B875" s="5" t="s">
        <v>51</v>
      </c>
      <c r="C875" s="5" t="str">
        <f>IFERROR(VLOOKUP(B875,'Overall Bean Summary'!A$2:B$36,2,FALSE),"")</f>
        <v>Bad</v>
      </c>
      <c r="D875" s="6">
        <f t="shared" si="14"/>
        <v>0</v>
      </c>
      <c r="E875" s="6">
        <f t="shared" si="15"/>
        <v>5</v>
      </c>
      <c r="F875" s="5">
        <f t="shared" si="16"/>
        <v>1</v>
      </c>
      <c r="G875" s="5">
        <f t="shared" si="17"/>
        <v>32</v>
      </c>
      <c r="H875" s="5">
        <f t="shared" si="18"/>
        <v>32</v>
      </c>
      <c r="I875" s="6">
        <f t="shared" si="19"/>
        <v>235</v>
      </c>
      <c r="L875" s="5" t="s">
        <v>146</v>
      </c>
    </row>
    <row r="876">
      <c r="A876" s="1">
        <v>45518.0</v>
      </c>
      <c r="B876" s="5" t="s">
        <v>48</v>
      </c>
      <c r="C876" s="5" t="str">
        <f>IFERROR(VLOOKUP(B876,'Overall Bean Summary'!A$2:B$36,2,FALSE),"")</f>
        <v>Bad</v>
      </c>
      <c r="D876" s="6">
        <f t="shared" si="14"/>
        <v>0</v>
      </c>
      <c r="E876" s="6">
        <f t="shared" si="15"/>
        <v>6</v>
      </c>
      <c r="F876" s="5">
        <f t="shared" si="16"/>
        <v>1</v>
      </c>
      <c r="G876" s="5">
        <f t="shared" si="17"/>
        <v>33</v>
      </c>
      <c r="H876" s="5">
        <f t="shared" si="18"/>
        <v>33</v>
      </c>
      <c r="I876" s="6">
        <f t="shared" si="19"/>
        <v>236</v>
      </c>
      <c r="L876" s="22">
        <v>45518.0</v>
      </c>
      <c r="M876" s="5" t="s">
        <v>304</v>
      </c>
    </row>
    <row r="877">
      <c r="A877" s="1">
        <v>45519.0</v>
      </c>
      <c r="B877" s="5" t="s">
        <v>72</v>
      </c>
      <c r="C877" s="5" t="str">
        <f>IFERROR(VLOOKUP(B877,'Overall Bean Summary'!A$2:B$36,2,FALSE),"")</f>
        <v>Bad</v>
      </c>
      <c r="D877" s="6">
        <f t="shared" si="14"/>
        <v>0</v>
      </c>
      <c r="E877" s="6">
        <f t="shared" si="15"/>
        <v>7</v>
      </c>
      <c r="F877" s="5">
        <f t="shared" si="16"/>
        <v>1</v>
      </c>
      <c r="G877" s="5">
        <f t="shared" si="17"/>
        <v>1</v>
      </c>
      <c r="H877" s="5">
        <f t="shared" si="18"/>
        <v>34</v>
      </c>
      <c r="I877" s="6">
        <f t="shared" si="19"/>
        <v>237</v>
      </c>
    </row>
    <row r="878">
      <c r="A878" s="1">
        <v>45520.0</v>
      </c>
      <c r="B878" s="5" t="s">
        <v>44</v>
      </c>
      <c r="C878" s="5" t="str">
        <f>IFERROR(VLOOKUP(B878,'Overall Bean Summary'!A$2:B$36,2,FALSE),"")</f>
        <v>Good</v>
      </c>
      <c r="D878" s="6">
        <f t="shared" si="14"/>
        <v>1</v>
      </c>
      <c r="E878" s="6">
        <f t="shared" si="15"/>
        <v>0</v>
      </c>
      <c r="F878" s="5">
        <f t="shared" si="16"/>
        <v>1</v>
      </c>
      <c r="G878" s="5">
        <f t="shared" si="17"/>
        <v>1</v>
      </c>
      <c r="H878" s="5">
        <f t="shared" si="18"/>
        <v>35</v>
      </c>
      <c r="I878" s="6">
        <f t="shared" si="19"/>
        <v>238</v>
      </c>
    </row>
    <row r="879">
      <c r="A879" s="1">
        <v>45520.0</v>
      </c>
      <c r="B879" s="5" t="s">
        <v>14</v>
      </c>
      <c r="C879" s="5" t="str">
        <f>IFERROR(VLOOKUP(B879,'Overall Bean Summary'!A$2:B$36,2,FALSE),"")</f>
        <v>Bad</v>
      </c>
      <c r="D879" s="6">
        <f t="shared" si="14"/>
        <v>0</v>
      </c>
      <c r="E879" s="6">
        <f t="shared" si="15"/>
        <v>1</v>
      </c>
      <c r="F879" s="5">
        <f t="shared" si="16"/>
        <v>1</v>
      </c>
      <c r="G879" s="5">
        <f t="shared" si="17"/>
        <v>2</v>
      </c>
      <c r="H879" s="5">
        <f t="shared" si="18"/>
        <v>36</v>
      </c>
      <c r="I879" s="6">
        <f t="shared" si="19"/>
        <v>239</v>
      </c>
    </row>
    <row r="880">
      <c r="A880" s="1">
        <v>45523.0</v>
      </c>
      <c r="B880" s="5" t="s">
        <v>51</v>
      </c>
      <c r="C880" s="5" t="str">
        <f>IFERROR(VLOOKUP(B880,'Overall Bean Summary'!A$2:B$36,2,FALSE),"")</f>
        <v>Bad</v>
      </c>
      <c r="D880" s="6">
        <f t="shared" si="14"/>
        <v>0</v>
      </c>
      <c r="E880" s="6">
        <f t="shared" si="15"/>
        <v>2</v>
      </c>
      <c r="F880" s="5">
        <f t="shared" si="16"/>
        <v>1</v>
      </c>
      <c r="G880" s="5">
        <f t="shared" si="17"/>
        <v>1</v>
      </c>
      <c r="H880" s="5">
        <f t="shared" si="18"/>
        <v>37</v>
      </c>
      <c r="I880" s="6">
        <f t="shared" si="19"/>
        <v>240</v>
      </c>
      <c r="M880" s="5" t="s">
        <v>305</v>
      </c>
    </row>
    <row r="881">
      <c r="A881" s="1">
        <v>45523.0</v>
      </c>
      <c r="B881" s="5" t="s">
        <v>14</v>
      </c>
      <c r="C881" s="5" t="str">
        <f>IFERROR(VLOOKUP(B881,'Overall Bean Summary'!A$2:B$36,2,FALSE),"")</f>
        <v>Bad</v>
      </c>
      <c r="D881" s="6">
        <f t="shared" si="14"/>
        <v>0</v>
      </c>
      <c r="E881" s="6">
        <f t="shared" si="15"/>
        <v>3</v>
      </c>
      <c r="F881" s="5">
        <f t="shared" si="16"/>
        <v>1</v>
      </c>
      <c r="G881" s="5">
        <f t="shared" si="17"/>
        <v>2</v>
      </c>
      <c r="H881" s="5">
        <f t="shared" si="18"/>
        <v>38</v>
      </c>
      <c r="I881" s="6">
        <f t="shared" si="19"/>
        <v>241</v>
      </c>
    </row>
    <row r="882">
      <c r="A882" s="1">
        <v>45526.0</v>
      </c>
      <c r="B882" s="5" t="s">
        <v>58</v>
      </c>
      <c r="C882" s="5" t="str">
        <f>IFERROR(VLOOKUP(B882,'Overall Bean Summary'!A$2:B$36,2,FALSE),"")</f>
        <v>Bad</v>
      </c>
      <c r="D882" s="6">
        <f t="shared" si="14"/>
        <v>0</v>
      </c>
      <c r="E882" s="6">
        <f t="shared" si="15"/>
        <v>4</v>
      </c>
      <c r="F882" s="5">
        <f t="shared" si="16"/>
        <v>1</v>
      </c>
      <c r="G882" s="5">
        <f t="shared" si="17"/>
        <v>1</v>
      </c>
      <c r="H882" s="5">
        <f t="shared" si="18"/>
        <v>39</v>
      </c>
      <c r="I882" s="6">
        <f t="shared" si="19"/>
        <v>242</v>
      </c>
      <c r="L882" s="5" t="s">
        <v>306</v>
      </c>
    </row>
    <row r="883">
      <c r="A883" s="1">
        <v>45526.0</v>
      </c>
      <c r="B883" s="5" t="s">
        <v>48</v>
      </c>
      <c r="C883" s="5" t="str">
        <f>IFERROR(VLOOKUP(B883,'Overall Bean Summary'!A$2:B$36,2,FALSE),"")</f>
        <v>Bad</v>
      </c>
      <c r="D883" s="6">
        <f t="shared" si="14"/>
        <v>0</v>
      </c>
      <c r="E883" s="6">
        <f t="shared" si="15"/>
        <v>5</v>
      </c>
      <c r="F883" s="5">
        <f t="shared" si="16"/>
        <v>1</v>
      </c>
      <c r="G883" s="5">
        <f t="shared" si="17"/>
        <v>2</v>
      </c>
      <c r="H883" s="5">
        <f t="shared" si="18"/>
        <v>40</v>
      </c>
      <c r="I883" s="6">
        <f t="shared" si="19"/>
        <v>243</v>
      </c>
    </row>
    <row r="884">
      <c r="A884" s="1">
        <v>45527.0</v>
      </c>
      <c r="B884" s="5" t="s">
        <v>80</v>
      </c>
      <c r="C884" s="5" t="str">
        <f>IFERROR(VLOOKUP(B884,'Overall Bean Summary'!A$2:B$36,2,FALSE),"")</f>
        <v>Bad</v>
      </c>
      <c r="D884" s="6">
        <f t="shared" si="14"/>
        <v>0</v>
      </c>
      <c r="E884" s="6">
        <f t="shared" si="15"/>
        <v>6</v>
      </c>
      <c r="F884" s="5">
        <f t="shared" si="16"/>
        <v>1</v>
      </c>
      <c r="G884" s="5">
        <f t="shared" si="17"/>
        <v>1</v>
      </c>
      <c r="H884" s="5">
        <f t="shared" si="18"/>
        <v>41</v>
      </c>
      <c r="I884" s="6">
        <f t="shared" si="19"/>
        <v>244</v>
      </c>
      <c r="M884" s="5" t="s">
        <v>307</v>
      </c>
    </row>
    <row r="885">
      <c r="A885" s="1">
        <v>45530.0</v>
      </c>
      <c r="B885" s="5" t="s">
        <v>72</v>
      </c>
      <c r="C885" s="5" t="str">
        <f>IFERROR(VLOOKUP(B885,'Overall Bean Summary'!A$2:B$36,2,FALSE),"")</f>
        <v>Bad</v>
      </c>
      <c r="D885" s="6">
        <f t="shared" si="14"/>
        <v>0</v>
      </c>
      <c r="E885" s="6">
        <f t="shared" si="15"/>
        <v>7</v>
      </c>
      <c r="F885" s="5">
        <f t="shared" si="16"/>
        <v>1</v>
      </c>
      <c r="G885" s="5">
        <f t="shared" si="17"/>
        <v>1</v>
      </c>
      <c r="H885" s="5">
        <f t="shared" si="18"/>
        <v>42</v>
      </c>
      <c r="I885" s="6">
        <f t="shared" si="19"/>
        <v>245</v>
      </c>
      <c r="M885" s="5" t="s">
        <v>308</v>
      </c>
    </row>
    <row r="886">
      <c r="A886" s="1">
        <v>45530.0</v>
      </c>
      <c r="B886" s="5" t="s">
        <v>80</v>
      </c>
      <c r="C886" s="5" t="str">
        <f>IFERROR(VLOOKUP(B886,'Overall Bean Summary'!A$2:B$36,2,FALSE),"")</f>
        <v>Bad</v>
      </c>
      <c r="D886" s="6">
        <f t="shared" si="14"/>
        <v>0</v>
      </c>
      <c r="E886" s="6">
        <f t="shared" si="15"/>
        <v>8</v>
      </c>
      <c r="F886" s="5">
        <f t="shared" si="16"/>
        <v>1</v>
      </c>
      <c r="G886" s="5">
        <f t="shared" si="17"/>
        <v>2</v>
      </c>
      <c r="H886" s="5">
        <f t="shared" si="18"/>
        <v>43</v>
      </c>
      <c r="I886" s="6">
        <f t="shared" si="19"/>
        <v>246</v>
      </c>
    </row>
    <row r="887">
      <c r="A887" s="1">
        <v>45532.0</v>
      </c>
      <c r="B887" s="5" t="s">
        <v>63</v>
      </c>
      <c r="C887" s="5" t="str">
        <f>IFERROR(VLOOKUP(B887,'Overall Bean Summary'!A$2:B$36,2,FALSE),"")</f>
        <v>Bad</v>
      </c>
      <c r="D887" s="6">
        <f t="shared" si="14"/>
        <v>0</v>
      </c>
      <c r="E887" s="6">
        <f t="shared" si="15"/>
        <v>9</v>
      </c>
      <c r="F887" s="5">
        <f t="shared" si="16"/>
        <v>1</v>
      </c>
      <c r="G887" s="5">
        <f t="shared" si="17"/>
        <v>1</v>
      </c>
      <c r="H887" s="5">
        <f t="shared" si="18"/>
        <v>44</v>
      </c>
      <c r="I887" s="6">
        <f t="shared" si="19"/>
        <v>247</v>
      </c>
    </row>
    <row r="888">
      <c r="A888" s="1">
        <v>45533.0</v>
      </c>
      <c r="B888" s="5" t="s">
        <v>80</v>
      </c>
      <c r="C888" s="5" t="str">
        <f>IFERROR(VLOOKUP(B888,'Overall Bean Summary'!A$2:B$36,2,FALSE),"")</f>
        <v>Bad</v>
      </c>
      <c r="D888" s="6">
        <f t="shared" si="14"/>
        <v>0</v>
      </c>
      <c r="E888" s="6">
        <f t="shared" si="15"/>
        <v>10</v>
      </c>
      <c r="F888" s="5">
        <f t="shared" si="16"/>
        <v>1</v>
      </c>
      <c r="G888" s="5">
        <f t="shared" si="17"/>
        <v>1</v>
      </c>
      <c r="H888" s="5">
        <f t="shared" si="18"/>
        <v>45</v>
      </c>
      <c r="I888" s="6">
        <f t="shared" si="19"/>
        <v>248</v>
      </c>
    </row>
    <row r="889">
      <c r="A889" s="1">
        <v>45533.0</v>
      </c>
      <c r="B889" s="5" t="s">
        <v>80</v>
      </c>
      <c r="C889" s="5" t="str">
        <f>IFERROR(VLOOKUP(B889,'Overall Bean Summary'!A$2:B$36,2,FALSE),"")</f>
        <v>Bad</v>
      </c>
      <c r="D889" s="6">
        <f t="shared" si="14"/>
        <v>0</v>
      </c>
      <c r="E889" s="6">
        <f t="shared" si="15"/>
        <v>11</v>
      </c>
      <c r="F889" s="5">
        <f t="shared" si="16"/>
        <v>2</v>
      </c>
      <c r="G889" s="5">
        <f t="shared" si="17"/>
        <v>2</v>
      </c>
      <c r="H889" s="5">
        <f t="shared" si="18"/>
        <v>46</v>
      </c>
      <c r="I889" s="6">
        <f t="shared" si="19"/>
        <v>249</v>
      </c>
      <c r="M889" s="5" t="s">
        <v>309</v>
      </c>
    </row>
    <row r="890">
      <c r="A890" s="1">
        <v>45533.0</v>
      </c>
      <c r="B890" s="5" t="s">
        <v>14</v>
      </c>
      <c r="C890" s="5" t="str">
        <f>IFERROR(VLOOKUP(B890,'Overall Bean Summary'!A$2:B$36,2,FALSE),"")</f>
        <v>Bad</v>
      </c>
      <c r="D890" s="6">
        <f t="shared" si="14"/>
        <v>0</v>
      </c>
      <c r="E890" s="6">
        <f t="shared" si="15"/>
        <v>12</v>
      </c>
      <c r="F890" s="5">
        <f t="shared" si="16"/>
        <v>1</v>
      </c>
      <c r="G890" s="5">
        <f t="shared" si="17"/>
        <v>3</v>
      </c>
      <c r="H890" s="5">
        <f t="shared" si="18"/>
        <v>47</v>
      </c>
      <c r="I890" s="6">
        <f t="shared" si="19"/>
        <v>250</v>
      </c>
    </row>
    <row r="891">
      <c r="A891" s="1">
        <v>45533.0</v>
      </c>
      <c r="B891" s="5" t="s">
        <v>72</v>
      </c>
      <c r="C891" s="5" t="str">
        <f>IFERROR(VLOOKUP(B891,'Overall Bean Summary'!A$2:B$36,2,FALSE),"")</f>
        <v>Bad</v>
      </c>
      <c r="D891" s="6">
        <f t="shared" si="14"/>
        <v>0</v>
      </c>
      <c r="E891" s="6">
        <f t="shared" si="15"/>
        <v>13</v>
      </c>
      <c r="F891" s="5">
        <f t="shared" si="16"/>
        <v>1</v>
      </c>
      <c r="G891" s="5">
        <f t="shared" si="17"/>
        <v>4</v>
      </c>
      <c r="H891" s="5">
        <f t="shared" si="18"/>
        <v>48</v>
      </c>
      <c r="I891" s="6">
        <f t="shared" si="19"/>
        <v>251</v>
      </c>
    </row>
    <row r="892">
      <c r="A892" s="1">
        <v>45534.0</v>
      </c>
      <c r="B892" s="5" t="s">
        <v>58</v>
      </c>
      <c r="C892" s="5" t="str">
        <f>IFERROR(VLOOKUP(B892,'Overall Bean Summary'!A$2:B$36,2,FALSE),"")</f>
        <v>Bad</v>
      </c>
      <c r="D892" s="6">
        <f t="shared" si="14"/>
        <v>0</v>
      </c>
      <c r="E892" s="6">
        <f t="shared" si="15"/>
        <v>14</v>
      </c>
      <c r="F892" s="5">
        <f t="shared" si="16"/>
        <v>1</v>
      </c>
      <c r="G892" s="5">
        <f t="shared" si="17"/>
        <v>1</v>
      </c>
      <c r="H892" s="5">
        <f t="shared" si="18"/>
        <v>49</v>
      </c>
      <c r="I892" s="6">
        <f t="shared" si="19"/>
        <v>252</v>
      </c>
    </row>
    <row r="893">
      <c r="A893" s="1">
        <v>45534.0</v>
      </c>
      <c r="B893" s="5" t="s">
        <v>40</v>
      </c>
      <c r="C893" s="5" t="str">
        <f>IFERROR(VLOOKUP(B893,'Overall Bean Summary'!A$2:B$36,2,FALSE),"")</f>
        <v>Bad</v>
      </c>
      <c r="D893" s="6">
        <f t="shared" si="14"/>
        <v>0</v>
      </c>
      <c r="E893" s="6">
        <f t="shared" si="15"/>
        <v>15</v>
      </c>
      <c r="F893" s="5">
        <f t="shared" si="16"/>
        <v>1</v>
      </c>
      <c r="G893" s="5">
        <f t="shared" si="17"/>
        <v>2</v>
      </c>
      <c r="H893" s="5">
        <f t="shared" si="18"/>
        <v>50</v>
      </c>
      <c r="I893" s="6">
        <f t="shared" si="19"/>
        <v>253</v>
      </c>
    </row>
    <row r="894">
      <c r="A894" s="1">
        <v>45534.0</v>
      </c>
      <c r="B894" s="5" t="s">
        <v>69</v>
      </c>
      <c r="C894" s="5" t="str">
        <f>IFERROR(VLOOKUP(B894,'Overall Bean Summary'!A$2:B$36,2,FALSE),"")</f>
        <v>Bad</v>
      </c>
      <c r="D894" s="6">
        <f t="shared" si="14"/>
        <v>0</v>
      </c>
      <c r="E894" s="6">
        <f t="shared" si="15"/>
        <v>16</v>
      </c>
      <c r="F894" s="5">
        <f t="shared" si="16"/>
        <v>1</v>
      </c>
      <c r="G894" s="5">
        <f t="shared" si="17"/>
        <v>3</v>
      </c>
      <c r="H894" s="5">
        <f t="shared" si="18"/>
        <v>51</v>
      </c>
      <c r="I894" s="6">
        <f t="shared" si="19"/>
        <v>254</v>
      </c>
    </row>
    <row r="895">
      <c r="A895" s="1">
        <v>45534.0</v>
      </c>
      <c r="B895" s="5" t="s">
        <v>72</v>
      </c>
      <c r="C895" s="5" t="str">
        <f>IFERROR(VLOOKUP(B895,'Overall Bean Summary'!A$2:B$36,2,FALSE),"")</f>
        <v>Bad</v>
      </c>
      <c r="D895" s="6">
        <f t="shared" si="14"/>
        <v>0</v>
      </c>
      <c r="E895" s="6">
        <f t="shared" si="15"/>
        <v>17</v>
      </c>
      <c r="F895" s="5">
        <f t="shared" si="16"/>
        <v>1</v>
      </c>
      <c r="G895" s="5">
        <f t="shared" si="17"/>
        <v>4</v>
      </c>
      <c r="H895" s="5">
        <f t="shared" si="18"/>
        <v>52</v>
      </c>
      <c r="I895" s="6">
        <f t="shared" si="19"/>
        <v>255</v>
      </c>
    </row>
    <row r="896">
      <c r="A896" s="1">
        <v>45539.0</v>
      </c>
      <c r="B896" s="5" t="s">
        <v>58</v>
      </c>
      <c r="C896" s="5" t="str">
        <f>IFERROR(VLOOKUP(B896,'Overall Bean Summary'!A$2:B$36,2,FALSE),"")</f>
        <v>Bad</v>
      </c>
      <c r="D896" s="6">
        <f t="shared" si="14"/>
        <v>0</v>
      </c>
      <c r="E896" s="6">
        <f t="shared" si="15"/>
        <v>18</v>
      </c>
      <c r="F896" s="5">
        <f t="shared" si="16"/>
        <v>1</v>
      </c>
      <c r="G896" s="5">
        <f t="shared" si="17"/>
        <v>1</v>
      </c>
      <c r="H896" s="5">
        <f t="shared" si="18"/>
        <v>1</v>
      </c>
      <c r="I896" s="6">
        <f t="shared" si="19"/>
        <v>256</v>
      </c>
      <c r="L896" s="5" t="s">
        <v>310</v>
      </c>
    </row>
    <row r="897">
      <c r="A897" s="1">
        <v>45539.0</v>
      </c>
      <c r="B897" s="5" t="s">
        <v>58</v>
      </c>
      <c r="C897" s="5" t="str">
        <f>IFERROR(VLOOKUP(B897,'Overall Bean Summary'!A$2:B$36,2,FALSE),"")</f>
        <v>Bad</v>
      </c>
      <c r="D897" s="6">
        <f t="shared" si="14"/>
        <v>0</v>
      </c>
      <c r="E897" s="6">
        <f t="shared" si="15"/>
        <v>19</v>
      </c>
      <c r="F897" s="5">
        <f t="shared" si="16"/>
        <v>2</v>
      </c>
      <c r="G897" s="5">
        <f t="shared" si="17"/>
        <v>2</v>
      </c>
      <c r="H897" s="5">
        <f t="shared" si="18"/>
        <v>2</v>
      </c>
      <c r="I897" s="6">
        <f t="shared" si="19"/>
        <v>257</v>
      </c>
    </row>
    <row r="898">
      <c r="A898" s="1">
        <v>45540.0</v>
      </c>
      <c r="B898" s="5" t="s">
        <v>72</v>
      </c>
      <c r="C898" s="5" t="str">
        <f>IFERROR(VLOOKUP(B898,'Overall Bean Summary'!A$2:B$36,2,FALSE),"")</f>
        <v>Bad</v>
      </c>
      <c r="D898" s="6">
        <f t="shared" si="14"/>
        <v>0</v>
      </c>
      <c r="E898" s="6">
        <f t="shared" si="15"/>
        <v>20</v>
      </c>
      <c r="F898" s="5">
        <f t="shared" si="16"/>
        <v>1</v>
      </c>
      <c r="G898" s="5">
        <f t="shared" si="17"/>
        <v>1</v>
      </c>
      <c r="H898" s="5">
        <f t="shared" si="18"/>
        <v>3</v>
      </c>
      <c r="I898" s="6">
        <f t="shared" si="19"/>
        <v>258</v>
      </c>
    </row>
    <row r="899">
      <c r="A899" s="1">
        <v>45540.0</v>
      </c>
      <c r="B899" s="5" t="s">
        <v>85</v>
      </c>
      <c r="C899" s="5" t="str">
        <f>IFERROR(VLOOKUP(B899,'Overall Bean Summary'!A$2:B$36,2,FALSE),"")</f>
        <v>Good</v>
      </c>
      <c r="D899" s="6">
        <f t="shared" si="14"/>
        <v>1</v>
      </c>
      <c r="E899" s="6">
        <f t="shared" si="15"/>
        <v>0</v>
      </c>
      <c r="F899" s="5">
        <f t="shared" si="16"/>
        <v>1</v>
      </c>
      <c r="G899" s="5">
        <f t="shared" si="17"/>
        <v>2</v>
      </c>
      <c r="H899" s="5">
        <f t="shared" si="18"/>
        <v>4</v>
      </c>
      <c r="I899" s="6">
        <f t="shared" si="19"/>
        <v>259</v>
      </c>
    </row>
    <row r="900">
      <c r="A900" s="1">
        <v>45541.0</v>
      </c>
      <c r="B900" s="5" t="s">
        <v>63</v>
      </c>
      <c r="C900" s="5" t="str">
        <f>IFERROR(VLOOKUP(B900,'Overall Bean Summary'!A$2:B$36,2,FALSE),"")</f>
        <v>Bad</v>
      </c>
      <c r="D900" s="6">
        <f t="shared" si="14"/>
        <v>0</v>
      </c>
      <c r="E900" s="6">
        <f t="shared" si="15"/>
        <v>1</v>
      </c>
      <c r="F900" s="5">
        <f t="shared" si="16"/>
        <v>1</v>
      </c>
      <c r="G900" s="5">
        <f t="shared" si="17"/>
        <v>1</v>
      </c>
      <c r="H900" s="5">
        <f t="shared" si="18"/>
        <v>5</v>
      </c>
      <c r="I900" s="6">
        <f t="shared" si="19"/>
        <v>260</v>
      </c>
    </row>
    <row r="901">
      <c r="A901" s="1">
        <v>45544.0</v>
      </c>
      <c r="B901" s="5" t="s">
        <v>56</v>
      </c>
      <c r="C901" s="5" t="str">
        <f>IFERROR(VLOOKUP(B901,'Overall Bean Summary'!A$2:B$36,2,FALSE),"")</f>
        <v>Good</v>
      </c>
      <c r="D901" s="6">
        <f t="shared" si="14"/>
        <v>1</v>
      </c>
      <c r="E901" s="6">
        <f t="shared" si="15"/>
        <v>0</v>
      </c>
      <c r="F901" s="5">
        <f t="shared" si="16"/>
        <v>1</v>
      </c>
      <c r="G901" s="5">
        <f t="shared" si="17"/>
        <v>1</v>
      </c>
      <c r="H901" s="5">
        <f t="shared" si="18"/>
        <v>6</v>
      </c>
      <c r="I901" s="6">
        <f t="shared" si="19"/>
        <v>261</v>
      </c>
    </row>
    <row r="902">
      <c r="A902" s="1">
        <v>45546.0</v>
      </c>
      <c r="B902" s="5" t="s">
        <v>14</v>
      </c>
      <c r="C902" s="5" t="str">
        <f>IFERROR(VLOOKUP(B902,'Overall Bean Summary'!A$2:B$36,2,FALSE),"")</f>
        <v>Bad</v>
      </c>
      <c r="D902" s="6">
        <f t="shared" si="14"/>
        <v>0</v>
      </c>
      <c r="E902" s="6">
        <f t="shared" si="15"/>
        <v>1</v>
      </c>
      <c r="F902" s="5">
        <f t="shared" si="16"/>
        <v>1</v>
      </c>
      <c r="G902" s="5">
        <f t="shared" si="17"/>
        <v>1</v>
      </c>
      <c r="H902" s="5">
        <f t="shared" si="18"/>
        <v>7</v>
      </c>
      <c r="I902" s="6">
        <f t="shared" si="19"/>
        <v>262</v>
      </c>
      <c r="L902" s="5" t="s">
        <v>311</v>
      </c>
    </row>
    <row r="903">
      <c r="A903" s="1">
        <v>45547.0</v>
      </c>
      <c r="B903" s="5" t="s">
        <v>95</v>
      </c>
      <c r="C903" s="5" t="str">
        <f>IFERROR(VLOOKUP(B903,'Overall Bean Summary'!A$2:B$36,2,FALSE),"")</f>
        <v>Good</v>
      </c>
      <c r="D903" s="6">
        <f t="shared" si="14"/>
        <v>1</v>
      </c>
      <c r="E903" s="6">
        <f t="shared" si="15"/>
        <v>0</v>
      </c>
      <c r="F903" s="5">
        <f t="shared" si="16"/>
        <v>1</v>
      </c>
      <c r="G903" s="5">
        <f t="shared" si="17"/>
        <v>1</v>
      </c>
      <c r="H903" s="5">
        <f t="shared" si="18"/>
        <v>8</v>
      </c>
      <c r="I903" s="6">
        <f t="shared" si="19"/>
        <v>263</v>
      </c>
    </row>
    <row r="904">
      <c r="A904" s="1">
        <v>45547.0</v>
      </c>
      <c r="B904" s="5" t="s">
        <v>34</v>
      </c>
      <c r="C904" s="5" t="str">
        <f>IFERROR(VLOOKUP(B904,'Overall Bean Summary'!A$2:B$36,2,FALSE),"")</f>
        <v>Good</v>
      </c>
      <c r="D904" s="6">
        <f t="shared" si="14"/>
        <v>2</v>
      </c>
      <c r="E904" s="6">
        <f t="shared" si="15"/>
        <v>0</v>
      </c>
      <c r="F904" s="5">
        <f t="shared" si="16"/>
        <v>1</v>
      </c>
      <c r="G904" s="5">
        <f t="shared" si="17"/>
        <v>2</v>
      </c>
      <c r="H904" s="5">
        <f t="shared" si="18"/>
        <v>9</v>
      </c>
      <c r="I904" s="6">
        <f t="shared" si="19"/>
        <v>264</v>
      </c>
      <c r="M904" s="5" t="s">
        <v>312</v>
      </c>
    </row>
    <row r="905">
      <c r="A905" s="1">
        <v>45547.0</v>
      </c>
      <c r="B905" s="5" t="s">
        <v>44</v>
      </c>
      <c r="C905" s="5" t="str">
        <f>IFERROR(VLOOKUP(B905,'Overall Bean Summary'!A$2:B$36,2,FALSE),"")</f>
        <v>Good</v>
      </c>
      <c r="D905" s="6">
        <f t="shared" si="14"/>
        <v>3</v>
      </c>
      <c r="E905" s="6">
        <f t="shared" si="15"/>
        <v>0</v>
      </c>
      <c r="F905" s="5">
        <f t="shared" si="16"/>
        <v>1</v>
      </c>
      <c r="G905" s="5">
        <f t="shared" si="17"/>
        <v>3</v>
      </c>
      <c r="H905" s="5">
        <f t="shared" si="18"/>
        <v>10</v>
      </c>
      <c r="I905" s="6">
        <f t="shared" si="19"/>
        <v>265</v>
      </c>
      <c r="M905" s="5" t="s">
        <v>313</v>
      </c>
    </row>
    <row r="906">
      <c r="A906" s="1">
        <v>45548.0</v>
      </c>
      <c r="B906" s="5" t="s">
        <v>58</v>
      </c>
      <c r="C906" s="5" t="str">
        <f>IFERROR(VLOOKUP(B906,'Overall Bean Summary'!A$2:B$36,2,FALSE),"")</f>
        <v>Bad</v>
      </c>
      <c r="D906" s="6">
        <f t="shared" si="14"/>
        <v>0</v>
      </c>
      <c r="E906" s="6">
        <f t="shared" si="15"/>
        <v>1</v>
      </c>
      <c r="F906" s="5">
        <f t="shared" si="16"/>
        <v>1</v>
      </c>
      <c r="G906" s="5">
        <f t="shared" si="17"/>
        <v>1</v>
      </c>
      <c r="H906" s="5">
        <f t="shared" si="18"/>
        <v>11</v>
      </c>
      <c r="I906" s="6">
        <f t="shared" si="19"/>
        <v>266</v>
      </c>
    </row>
    <row r="907">
      <c r="A907" s="1">
        <v>45548.0</v>
      </c>
      <c r="B907" s="5" t="s">
        <v>44</v>
      </c>
      <c r="C907" s="5" t="str">
        <f>IFERROR(VLOOKUP(B907,'Overall Bean Summary'!A$2:B$36,2,FALSE),"")</f>
        <v>Good</v>
      </c>
      <c r="D907" s="6">
        <f t="shared" si="14"/>
        <v>1</v>
      </c>
      <c r="E907" s="6">
        <f t="shared" si="15"/>
        <v>0</v>
      </c>
      <c r="F907" s="5">
        <f t="shared" si="16"/>
        <v>1</v>
      </c>
      <c r="G907" s="5">
        <f t="shared" si="17"/>
        <v>2</v>
      </c>
      <c r="H907" s="5">
        <f t="shared" si="18"/>
        <v>12</v>
      </c>
      <c r="I907" s="6">
        <f t="shared" si="19"/>
        <v>267</v>
      </c>
    </row>
    <row r="908">
      <c r="A908" s="1">
        <v>45548.0</v>
      </c>
      <c r="B908" s="5" t="s">
        <v>69</v>
      </c>
      <c r="C908" s="5" t="str">
        <f>IFERROR(VLOOKUP(B908,'Overall Bean Summary'!A$2:B$36,2,FALSE),"")</f>
        <v>Bad</v>
      </c>
      <c r="D908" s="6">
        <f t="shared" si="14"/>
        <v>0</v>
      </c>
      <c r="E908" s="6">
        <f t="shared" si="15"/>
        <v>1</v>
      </c>
      <c r="F908" s="5">
        <f t="shared" si="16"/>
        <v>1</v>
      </c>
      <c r="G908" s="5">
        <f t="shared" si="17"/>
        <v>3</v>
      </c>
      <c r="H908" s="5">
        <f t="shared" si="18"/>
        <v>13</v>
      </c>
      <c r="I908" s="6">
        <f t="shared" si="19"/>
        <v>268</v>
      </c>
    </row>
    <row r="909">
      <c r="A909" s="1">
        <v>45551.0</v>
      </c>
      <c r="B909" s="5" t="s">
        <v>80</v>
      </c>
      <c r="C909" s="5" t="str">
        <f>IFERROR(VLOOKUP(B909,'Overall Bean Summary'!A$2:B$36,2,FALSE),"")</f>
        <v>Bad</v>
      </c>
      <c r="D909" s="6">
        <f t="shared" si="14"/>
        <v>0</v>
      </c>
      <c r="E909" s="6">
        <f t="shared" si="15"/>
        <v>2</v>
      </c>
      <c r="F909" s="5">
        <f t="shared" si="16"/>
        <v>1</v>
      </c>
      <c r="G909" s="5">
        <f t="shared" si="17"/>
        <v>1</v>
      </c>
      <c r="H909" s="5">
        <f t="shared" si="18"/>
        <v>14</v>
      </c>
      <c r="I909" s="6">
        <f t="shared" si="19"/>
        <v>269</v>
      </c>
      <c r="L909" s="5"/>
    </row>
    <row r="910">
      <c r="A910" s="1">
        <v>45551.0</v>
      </c>
      <c r="B910" s="5" t="s">
        <v>40</v>
      </c>
      <c r="C910" s="5" t="str">
        <f>IFERROR(VLOOKUP(B910,'Overall Bean Summary'!A$2:B$36,2,FALSE),"")</f>
        <v>Bad</v>
      </c>
      <c r="D910" s="6">
        <f t="shared" si="14"/>
        <v>0</v>
      </c>
      <c r="E910" s="6">
        <f t="shared" si="15"/>
        <v>3</v>
      </c>
      <c r="F910" s="5">
        <f t="shared" si="16"/>
        <v>1</v>
      </c>
      <c r="G910" s="5">
        <f t="shared" si="17"/>
        <v>2</v>
      </c>
      <c r="H910" s="5">
        <f t="shared" si="18"/>
        <v>15</v>
      </c>
      <c r="I910" s="6">
        <f t="shared" si="19"/>
        <v>270</v>
      </c>
    </row>
    <row r="911">
      <c r="A911" s="1">
        <v>45553.0</v>
      </c>
      <c r="B911" s="5" t="s">
        <v>58</v>
      </c>
      <c r="C911" s="5" t="str">
        <f>IFERROR(VLOOKUP(B911,'Overall Bean Summary'!A$2:B$36,2,FALSE),"")</f>
        <v>Bad</v>
      </c>
      <c r="D911" s="6">
        <f t="shared" si="14"/>
        <v>0</v>
      </c>
      <c r="E911" s="6">
        <f t="shared" si="15"/>
        <v>4</v>
      </c>
      <c r="F911" s="5">
        <f t="shared" si="16"/>
        <v>1</v>
      </c>
      <c r="G911" s="5">
        <f t="shared" si="17"/>
        <v>1</v>
      </c>
      <c r="H911" s="5">
        <f t="shared" si="18"/>
        <v>16</v>
      </c>
      <c r="I911" s="6">
        <f t="shared" si="19"/>
        <v>271</v>
      </c>
      <c r="L911" s="5" t="s">
        <v>314</v>
      </c>
    </row>
    <row r="912">
      <c r="A912" s="1">
        <v>45553.0</v>
      </c>
      <c r="B912" s="5" t="s">
        <v>72</v>
      </c>
      <c r="C912" s="5" t="str">
        <f>IFERROR(VLOOKUP(B912,'Overall Bean Summary'!A$2:B$36,2,FALSE),"")</f>
        <v>Bad</v>
      </c>
      <c r="D912" s="6">
        <f t="shared" si="14"/>
        <v>0</v>
      </c>
      <c r="E912" s="6">
        <f t="shared" si="15"/>
        <v>5</v>
      </c>
      <c r="F912" s="5">
        <f t="shared" si="16"/>
        <v>1</v>
      </c>
      <c r="G912" s="5">
        <f t="shared" si="17"/>
        <v>2</v>
      </c>
      <c r="H912" s="5">
        <f t="shared" si="18"/>
        <v>17</v>
      </c>
      <c r="I912" s="6">
        <f t="shared" si="19"/>
        <v>272</v>
      </c>
    </row>
    <row r="913">
      <c r="A913" s="1">
        <v>45553.0</v>
      </c>
      <c r="B913" s="5" t="s">
        <v>56</v>
      </c>
      <c r="C913" s="5" t="str">
        <f>IFERROR(VLOOKUP(B913,'Overall Bean Summary'!A$2:B$36,2,FALSE),"")</f>
        <v>Good</v>
      </c>
      <c r="D913" s="6">
        <f t="shared" si="14"/>
        <v>1</v>
      </c>
      <c r="E913" s="6">
        <f t="shared" si="15"/>
        <v>0</v>
      </c>
      <c r="F913" s="5">
        <f t="shared" si="16"/>
        <v>1</v>
      </c>
      <c r="G913" s="5">
        <f t="shared" si="17"/>
        <v>3</v>
      </c>
      <c r="H913" s="5">
        <f t="shared" si="18"/>
        <v>18</v>
      </c>
      <c r="I913" s="6">
        <f t="shared" si="19"/>
        <v>273</v>
      </c>
    </row>
    <row r="914">
      <c r="A914" s="1">
        <v>45553.0</v>
      </c>
      <c r="B914" s="5" t="s">
        <v>56</v>
      </c>
      <c r="C914" s="5" t="str">
        <f>IFERROR(VLOOKUP(B914,'Overall Bean Summary'!A$2:B$36,2,FALSE),"")</f>
        <v>Good</v>
      </c>
      <c r="D914" s="6">
        <f t="shared" si="14"/>
        <v>2</v>
      </c>
      <c r="E914" s="6">
        <f t="shared" si="15"/>
        <v>0</v>
      </c>
      <c r="F914" s="5">
        <f t="shared" si="16"/>
        <v>2</v>
      </c>
      <c r="G914" s="5">
        <f t="shared" si="17"/>
        <v>4</v>
      </c>
      <c r="H914" s="5">
        <f t="shared" si="18"/>
        <v>19</v>
      </c>
      <c r="I914" s="6">
        <f t="shared" si="19"/>
        <v>274</v>
      </c>
    </row>
    <row r="915">
      <c r="A915" s="1">
        <v>45553.0</v>
      </c>
      <c r="B915" s="5" t="s">
        <v>80</v>
      </c>
      <c r="C915" s="5" t="str">
        <f>IFERROR(VLOOKUP(B915,'Overall Bean Summary'!A$2:B$36,2,FALSE),"")</f>
        <v>Bad</v>
      </c>
      <c r="D915" s="6">
        <f t="shared" si="14"/>
        <v>0</v>
      </c>
      <c r="E915" s="6">
        <f t="shared" si="15"/>
        <v>1</v>
      </c>
      <c r="F915" s="5">
        <f t="shared" si="16"/>
        <v>1</v>
      </c>
      <c r="G915" s="5">
        <f t="shared" si="17"/>
        <v>5</v>
      </c>
      <c r="H915" s="5">
        <f t="shared" si="18"/>
        <v>20</v>
      </c>
      <c r="I915" s="6">
        <f t="shared" si="19"/>
        <v>275</v>
      </c>
    </row>
    <row r="916">
      <c r="A916" s="1">
        <v>45553.0</v>
      </c>
      <c r="B916" s="5" t="s">
        <v>85</v>
      </c>
      <c r="C916" s="5" t="str">
        <f>IFERROR(VLOOKUP(B916,'Overall Bean Summary'!A$2:B$36,2,FALSE),"")</f>
        <v>Good</v>
      </c>
      <c r="D916" s="6">
        <f t="shared" si="14"/>
        <v>1</v>
      </c>
      <c r="E916" s="6">
        <f t="shared" si="15"/>
        <v>0</v>
      </c>
      <c r="F916" s="5">
        <f t="shared" si="16"/>
        <v>1</v>
      </c>
      <c r="G916" s="5">
        <f t="shared" si="17"/>
        <v>6</v>
      </c>
      <c r="H916" s="5">
        <f t="shared" si="18"/>
        <v>21</v>
      </c>
      <c r="I916" s="6">
        <f t="shared" si="19"/>
        <v>276</v>
      </c>
    </row>
    <row r="917">
      <c r="A917" s="1">
        <v>45554.0</v>
      </c>
      <c r="B917" s="5" t="s">
        <v>72</v>
      </c>
      <c r="C917" s="5" t="str">
        <f>IFERROR(VLOOKUP(B917,'Overall Bean Summary'!A$2:B$36,2,FALSE),"")</f>
        <v>Bad</v>
      </c>
      <c r="D917" s="6">
        <f t="shared" si="14"/>
        <v>0</v>
      </c>
      <c r="E917" s="6">
        <f t="shared" si="15"/>
        <v>1</v>
      </c>
      <c r="F917" s="5">
        <f t="shared" si="16"/>
        <v>1</v>
      </c>
      <c r="G917" s="5">
        <f t="shared" si="17"/>
        <v>1</v>
      </c>
      <c r="H917" s="5">
        <f t="shared" si="18"/>
        <v>22</v>
      </c>
      <c r="I917" s="6">
        <f t="shared" si="19"/>
        <v>277</v>
      </c>
    </row>
    <row r="918">
      <c r="A918" s="1">
        <v>45554.0</v>
      </c>
      <c r="B918" s="5" t="s">
        <v>80</v>
      </c>
      <c r="C918" s="5" t="str">
        <f>IFERROR(VLOOKUP(B918,'Overall Bean Summary'!A$2:B$36,2,FALSE),"")</f>
        <v>Bad</v>
      </c>
      <c r="D918" s="6">
        <f t="shared" si="14"/>
        <v>0</v>
      </c>
      <c r="E918" s="6">
        <f t="shared" si="15"/>
        <v>2</v>
      </c>
      <c r="F918" s="5">
        <f t="shared" si="16"/>
        <v>1</v>
      </c>
      <c r="G918" s="5">
        <f t="shared" si="17"/>
        <v>2</v>
      </c>
      <c r="H918" s="5">
        <f t="shared" si="18"/>
        <v>23</v>
      </c>
      <c r="I918" s="6">
        <f t="shared" si="19"/>
        <v>278</v>
      </c>
    </row>
    <row r="919">
      <c r="A919" s="1">
        <v>45555.0</v>
      </c>
      <c r="B919" s="5" t="s">
        <v>63</v>
      </c>
      <c r="C919" s="5" t="str">
        <f>IFERROR(VLOOKUP(B919,'Overall Bean Summary'!A$2:B$36,2,FALSE),"")</f>
        <v>Bad</v>
      </c>
      <c r="D919" s="6">
        <f t="shared" si="14"/>
        <v>0</v>
      </c>
      <c r="E919" s="6">
        <f t="shared" si="15"/>
        <v>3</v>
      </c>
      <c r="F919" s="5">
        <f t="shared" si="16"/>
        <v>1</v>
      </c>
      <c r="G919" s="5">
        <f t="shared" si="17"/>
        <v>1</v>
      </c>
      <c r="H919" s="5">
        <f t="shared" si="18"/>
        <v>24</v>
      </c>
      <c r="I919" s="6">
        <f t="shared" si="19"/>
        <v>279</v>
      </c>
    </row>
    <row r="920">
      <c r="A920" s="1">
        <v>45555.0</v>
      </c>
      <c r="B920" s="5" t="s">
        <v>14</v>
      </c>
      <c r="C920" s="5" t="str">
        <f>IFERROR(VLOOKUP(B920,'Overall Bean Summary'!A$2:B$36,2,FALSE),"")</f>
        <v>Bad</v>
      </c>
      <c r="D920" s="6">
        <f t="shared" si="14"/>
        <v>0</v>
      </c>
      <c r="E920" s="6">
        <f t="shared" si="15"/>
        <v>4</v>
      </c>
      <c r="F920" s="5">
        <f t="shared" si="16"/>
        <v>1</v>
      </c>
      <c r="G920" s="5">
        <f t="shared" si="17"/>
        <v>2</v>
      </c>
      <c r="H920" s="5">
        <f t="shared" si="18"/>
        <v>25</v>
      </c>
      <c r="I920" s="6">
        <f t="shared" si="19"/>
        <v>280</v>
      </c>
    </row>
    <row r="921">
      <c r="A921" s="1">
        <v>45555.0</v>
      </c>
      <c r="B921" s="5" t="s">
        <v>51</v>
      </c>
      <c r="C921" s="5" t="str">
        <f>IFERROR(VLOOKUP(B921,'Overall Bean Summary'!A$2:B$36,2,FALSE),"")</f>
        <v>Bad</v>
      </c>
      <c r="D921" s="6">
        <f t="shared" si="14"/>
        <v>0</v>
      </c>
      <c r="E921" s="6">
        <f t="shared" si="15"/>
        <v>5</v>
      </c>
      <c r="F921" s="5">
        <f t="shared" si="16"/>
        <v>1</v>
      </c>
      <c r="G921" s="5">
        <f t="shared" si="17"/>
        <v>3</v>
      </c>
      <c r="H921" s="5">
        <f t="shared" si="18"/>
        <v>26</v>
      </c>
      <c r="I921" s="6">
        <f t="shared" si="19"/>
        <v>281</v>
      </c>
    </row>
    <row r="922">
      <c r="A922" s="1">
        <v>45555.0</v>
      </c>
      <c r="B922" s="5" t="s">
        <v>80</v>
      </c>
      <c r="C922" s="5" t="str">
        <f>IFERROR(VLOOKUP(B922,'Overall Bean Summary'!A$2:B$36,2,FALSE),"")</f>
        <v>Bad</v>
      </c>
      <c r="D922" s="6">
        <f t="shared" si="14"/>
        <v>0</v>
      </c>
      <c r="E922" s="6">
        <f t="shared" si="15"/>
        <v>6</v>
      </c>
      <c r="F922" s="5">
        <f t="shared" si="16"/>
        <v>1</v>
      </c>
      <c r="G922" s="5">
        <f t="shared" si="17"/>
        <v>4</v>
      </c>
      <c r="H922" s="5">
        <f t="shared" si="18"/>
        <v>27</v>
      </c>
      <c r="I922" s="6">
        <f t="shared" si="19"/>
        <v>282</v>
      </c>
    </row>
    <row r="923">
      <c r="A923" s="1">
        <v>45572.0</v>
      </c>
      <c r="B923" s="5" t="s">
        <v>72</v>
      </c>
      <c r="C923" s="5" t="str">
        <f>IFERROR(VLOOKUP(B923,'Overall Bean Summary'!A$2:B$36,2,FALSE),"")</f>
        <v>Bad</v>
      </c>
      <c r="D923" s="6">
        <f t="shared" si="14"/>
        <v>0</v>
      </c>
      <c r="E923" s="6">
        <f t="shared" si="15"/>
        <v>7</v>
      </c>
      <c r="F923" s="5">
        <f t="shared" si="16"/>
        <v>1</v>
      </c>
      <c r="G923" s="5">
        <f t="shared" si="17"/>
        <v>1</v>
      </c>
      <c r="H923" s="5">
        <f t="shared" si="18"/>
        <v>1</v>
      </c>
      <c r="I923" s="6">
        <f t="shared" si="19"/>
        <v>283</v>
      </c>
      <c r="L923" s="5" t="s">
        <v>315</v>
      </c>
    </row>
    <row r="924">
      <c r="A924" s="1">
        <v>45573.0</v>
      </c>
      <c r="B924" s="5" t="s">
        <v>48</v>
      </c>
      <c r="C924" s="5" t="str">
        <f>IFERROR(VLOOKUP(B924,'Overall Bean Summary'!A$2:B$36,2,FALSE),"")</f>
        <v>Bad</v>
      </c>
      <c r="D924" s="6">
        <f t="shared" si="14"/>
        <v>0</v>
      </c>
      <c r="E924" s="6">
        <f t="shared" si="15"/>
        <v>8</v>
      </c>
      <c r="F924" s="5">
        <f t="shared" si="16"/>
        <v>1</v>
      </c>
      <c r="G924" s="5">
        <f t="shared" si="17"/>
        <v>1</v>
      </c>
      <c r="H924" s="5">
        <f t="shared" si="18"/>
        <v>2</v>
      </c>
      <c r="I924" s="6">
        <f t="shared" si="19"/>
        <v>284</v>
      </c>
    </row>
    <row r="925">
      <c r="A925" s="1">
        <v>45581.0</v>
      </c>
      <c r="B925" s="5" t="s">
        <v>58</v>
      </c>
      <c r="C925" s="5" t="str">
        <f>IFERROR(VLOOKUP(B925,'Overall Bean Summary'!A$2:B$36,2,FALSE),"")</f>
        <v>Bad</v>
      </c>
      <c r="D925" s="6">
        <f t="shared" si="14"/>
        <v>0</v>
      </c>
      <c r="E925" s="6">
        <f t="shared" si="15"/>
        <v>9</v>
      </c>
      <c r="F925" s="5">
        <f t="shared" si="16"/>
        <v>1</v>
      </c>
      <c r="G925" s="5">
        <f t="shared" si="17"/>
        <v>1</v>
      </c>
      <c r="H925" s="5">
        <f t="shared" si="18"/>
        <v>3</v>
      </c>
      <c r="I925" s="6">
        <f t="shared" si="19"/>
        <v>285</v>
      </c>
    </row>
    <row r="926">
      <c r="A926" s="1">
        <v>45583.0</v>
      </c>
      <c r="B926" s="5" t="s">
        <v>63</v>
      </c>
      <c r="C926" s="5" t="str">
        <f>IFERROR(VLOOKUP(B926,'Overall Bean Summary'!A$2:B$36,2,FALSE),"")</f>
        <v>Bad</v>
      </c>
      <c r="D926" s="6">
        <f t="shared" si="14"/>
        <v>0</v>
      </c>
      <c r="E926" s="6">
        <f t="shared" si="15"/>
        <v>10</v>
      </c>
      <c r="F926" s="5">
        <f t="shared" si="16"/>
        <v>1</v>
      </c>
      <c r="G926" s="5">
        <f t="shared" si="17"/>
        <v>1</v>
      </c>
      <c r="H926" s="5">
        <f t="shared" si="18"/>
        <v>4</v>
      </c>
      <c r="I926" s="6">
        <f t="shared" si="19"/>
        <v>286</v>
      </c>
    </row>
    <row r="927">
      <c r="A927" s="1">
        <v>45583.0</v>
      </c>
      <c r="B927" s="5" t="s">
        <v>69</v>
      </c>
      <c r="C927" s="5" t="str">
        <f>IFERROR(VLOOKUP(B927,'Overall Bean Summary'!A$2:B$36,2,FALSE),"")</f>
        <v>Bad</v>
      </c>
      <c r="D927" s="6">
        <f t="shared" si="14"/>
        <v>0</v>
      </c>
      <c r="E927" s="6">
        <f t="shared" si="15"/>
        <v>11</v>
      </c>
      <c r="F927" s="5">
        <f t="shared" si="16"/>
        <v>1</v>
      </c>
      <c r="G927" s="5">
        <f t="shared" si="17"/>
        <v>2</v>
      </c>
      <c r="H927" s="5">
        <f t="shared" si="18"/>
        <v>5</v>
      </c>
      <c r="I927" s="6">
        <f t="shared" si="19"/>
        <v>287</v>
      </c>
    </row>
    <row r="928">
      <c r="A928" s="1">
        <v>45583.0</v>
      </c>
      <c r="B928" s="5" t="s">
        <v>80</v>
      </c>
      <c r="C928" s="5" t="str">
        <f>IFERROR(VLOOKUP(B928,'Overall Bean Summary'!A$2:B$36,2,FALSE),"")</f>
        <v>Bad</v>
      </c>
      <c r="D928" s="6">
        <f t="shared" si="14"/>
        <v>0</v>
      </c>
      <c r="E928" s="6">
        <f t="shared" si="15"/>
        <v>12</v>
      </c>
      <c r="F928" s="5">
        <f t="shared" si="16"/>
        <v>1</v>
      </c>
      <c r="G928" s="5">
        <f t="shared" si="17"/>
        <v>3</v>
      </c>
      <c r="H928" s="5">
        <f t="shared" si="18"/>
        <v>6</v>
      </c>
      <c r="I928" s="6">
        <f t="shared" si="19"/>
        <v>288</v>
      </c>
    </row>
    <row r="929">
      <c r="A929" s="1">
        <v>45586.0</v>
      </c>
      <c r="B929" s="5" t="s">
        <v>72</v>
      </c>
      <c r="C929" s="5" t="str">
        <f>IFERROR(VLOOKUP(B929,'Overall Bean Summary'!A$2:B$36,2,FALSE),"")</f>
        <v>Bad</v>
      </c>
      <c r="D929" s="6">
        <f t="shared" si="14"/>
        <v>0</v>
      </c>
      <c r="E929" s="6">
        <f t="shared" si="15"/>
        <v>13</v>
      </c>
      <c r="F929" s="5">
        <f t="shared" si="16"/>
        <v>1</v>
      </c>
      <c r="G929" s="5">
        <f t="shared" si="17"/>
        <v>1</v>
      </c>
      <c r="H929" s="5">
        <f t="shared" si="18"/>
        <v>7</v>
      </c>
      <c r="I929" s="6">
        <f t="shared" si="19"/>
        <v>289</v>
      </c>
    </row>
    <row r="930">
      <c r="A930" s="1">
        <v>45586.0</v>
      </c>
      <c r="B930" s="5" t="s">
        <v>48</v>
      </c>
      <c r="C930" s="5" t="str">
        <f>IFERROR(VLOOKUP(B930,'Overall Bean Summary'!A$2:B$36,2,FALSE),"")</f>
        <v>Bad</v>
      </c>
      <c r="D930" s="6">
        <f t="shared" si="14"/>
        <v>0</v>
      </c>
      <c r="E930" s="6">
        <f t="shared" si="15"/>
        <v>14</v>
      </c>
      <c r="F930" s="5">
        <f t="shared" si="16"/>
        <v>1</v>
      </c>
      <c r="G930" s="5">
        <f t="shared" si="17"/>
        <v>2</v>
      </c>
      <c r="H930" s="5">
        <f t="shared" si="18"/>
        <v>8</v>
      </c>
      <c r="I930" s="6">
        <f t="shared" si="19"/>
        <v>290</v>
      </c>
    </row>
    <row r="931">
      <c r="A931" s="1">
        <v>45586.0</v>
      </c>
      <c r="B931" s="5" t="s">
        <v>58</v>
      </c>
      <c r="C931" s="5" t="str">
        <f>IFERROR(VLOOKUP(B931,'Overall Bean Summary'!A$2:B$36,2,FALSE),"")</f>
        <v>Bad</v>
      </c>
      <c r="D931" s="6">
        <f t="shared" si="14"/>
        <v>0</v>
      </c>
      <c r="E931" s="6">
        <f t="shared" si="15"/>
        <v>15</v>
      </c>
      <c r="F931" s="5">
        <f t="shared" si="16"/>
        <v>1</v>
      </c>
      <c r="G931" s="5">
        <f t="shared" si="17"/>
        <v>3</v>
      </c>
      <c r="H931" s="5">
        <f t="shared" si="18"/>
        <v>9</v>
      </c>
      <c r="I931" s="6">
        <f t="shared" si="19"/>
        <v>291</v>
      </c>
    </row>
    <row r="932">
      <c r="A932" s="1">
        <v>45586.0</v>
      </c>
      <c r="B932" s="5" t="s">
        <v>95</v>
      </c>
      <c r="C932" s="5" t="str">
        <f>IFERROR(VLOOKUP(B932,'Overall Bean Summary'!A$2:B$36,2,FALSE),"")</f>
        <v>Good</v>
      </c>
      <c r="D932" s="6">
        <f t="shared" si="14"/>
        <v>1</v>
      </c>
      <c r="E932" s="6">
        <f t="shared" si="15"/>
        <v>0</v>
      </c>
      <c r="F932" s="5">
        <f t="shared" si="16"/>
        <v>1</v>
      </c>
      <c r="G932" s="5">
        <f t="shared" si="17"/>
        <v>4</v>
      </c>
      <c r="H932" s="5">
        <f t="shared" si="18"/>
        <v>10</v>
      </c>
      <c r="I932" s="6">
        <f t="shared" si="19"/>
        <v>292</v>
      </c>
    </row>
    <row r="933">
      <c r="A933" s="1">
        <v>45587.0</v>
      </c>
      <c r="B933" s="5" t="s">
        <v>72</v>
      </c>
      <c r="C933" s="5" t="str">
        <f>IFERROR(VLOOKUP(B933,'Overall Bean Summary'!A$2:B$36,2,FALSE),"")</f>
        <v>Bad</v>
      </c>
      <c r="D933" s="6">
        <f t="shared" si="14"/>
        <v>0</v>
      </c>
      <c r="E933" s="6">
        <f t="shared" si="15"/>
        <v>1</v>
      </c>
      <c r="F933" s="5">
        <f t="shared" si="16"/>
        <v>1</v>
      </c>
      <c r="G933" s="5">
        <f t="shared" si="17"/>
        <v>1</v>
      </c>
      <c r="H933" s="5">
        <f t="shared" si="18"/>
        <v>11</v>
      </c>
      <c r="I933" s="6">
        <f t="shared" si="19"/>
        <v>293</v>
      </c>
    </row>
    <row r="934">
      <c r="A934" s="1">
        <v>45587.0</v>
      </c>
      <c r="B934" s="5" t="s">
        <v>72</v>
      </c>
      <c r="C934" s="5" t="str">
        <f>IFERROR(VLOOKUP(B934,'Overall Bean Summary'!A$2:B$36,2,FALSE),"")</f>
        <v>Bad</v>
      </c>
      <c r="D934" s="6">
        <f t="shared" si="14"/>
        <v>0</v>
      </c>
      <c r="E934" s="6">
        <f t="shared" si="15"/>
        <v>2</v>
      </c>
      <c r="F934" s="5">
        <f t="shared" si="16"/>
        <v>2</v>
      </c>
      <c r="G934" s="5">
        <f t="shared" si="17"/>
        <v>2</v>
      </c>
      <c r="H934" s="5">
        <f t="shared" si="18"/>
        <v>12</v>
      </c>
      <c r="I934" s="6">
        <f t="shared" si="19"/>
        <v>294</v>
      </c>
    </row>
    <row r="935">
      <c r="A935" s="1">
        <v>45588.0</v>
      </c>
      <c r="B935" s="5" t="s">
        <v>69</v>
      </c>
      <c r="C935" s="5" t="str">
        <f>IFERROR(VLOOKUP(B935,'Overall Bean Summary'!A$2:B$36,2,FALSE),"")</f>
        <v>Bad</v>
      </c>
      <c r="D935" s="6">
        <f t="shared" si="14"/>
        <v>0</v>
      </c>
      <c r="E935" s="6">
        <f t="shared" si="15"/>
        <v>3</v>
      </c>
      <c r="F935" s="5">
        <f t="shared" si="16"/>
        <v>1</v>
      </c>
      <c r="G935" s="5">
        <f t="shared" si="17"/>
        <v>1</v>
      </c>
      <c r="H935" s="5">
        <f t="shared" si="18"/>
        <v>13</v>
      </c>
      <c r="I935" s="6">
        <f t="shared" si="19"/>
        <v>295</v>
      </c>
    </row>
    <row r="936">
      <c r="A936" s="1">
        <v>45589.0</v>
      </c>
      <c r="B936" s="5" t="s">
        <v>80</v>
      </c>
      <c r="C936" s="5" t="str">
        <f>IFERROR(VLOOKUP(B936,'Overall Bean Summary'!A$2:B$36,2,FALSE),"")</f>
        <v>Bad</v>
      </c>
      <c r="D936" s="6">
        <f t="shared" si="14"/>
        <v>0</v>
      </c>
      <c r="E936" s="6">
        <f t="shared" si="15"/>
        <v>4</v>
      </c>
      <c r="F936" s="5">
        <f t="shared" si="16"/>
        <v>1</v>
      </c>
      <c r="G936" s="5">
        <f t="shared" si="17"/>
        <v>1</v>
      </c>
      <c r="H936" s="5">
        <f t="shared" si="18"/>
        <v>14</v>
      </c>
      <c r="I936" s="6">
        <f t="shared" si="19"/>
        <v>296</v>
      </c>
    </row>
    <row r="937">
      <c r="A937" s="1">
        <v>45593.0</v>
      </c>
      <c r="B937" s="5" t="s">
        <v>80</v>
      </c>
      <c r="C937" s="5" t="str">
        <f>IFERROR(VLOOKUP(B937,'Overall Bean Summary'!A$2:B$36,2,FALSE),"")</f>
        <v>Bad</v>
      </c>
      <c r="D937" s="6">
        <f t="shared" si="14"/>
        <v>0</v>
      </c>
      <c r="E937" s="6">
        <f t="shared" si="15"/>
        <v>5</v>
      </c>
      <c r="F937" s="5">
        <f t="shared" si="16"/>
        <v>2</v>
      </c>
      <c r="G937" s="5">
        <f t="shared" si="17"/>
        <v>1</v>
      </c>
      <c r="H937" s="5">
        <f t="shared" si="18"/>
        <v>15</v>
      </c>
      <c r="I937" s="6">
        <f t="shared" si="19"/>
        <v>297</v>
      </c>
      <c r="Q937" s="5" t="s">
        <v>16</v>
      </c>
      <c r="R937" s="5" t="s">
        <v>21</v>
      </c>
      <c r="S937" s="5" t="s">
        <v>16</v>
      </c>
      <c r="T937" s="5" t="s">
        <v>21</v>
      </c>
    </row>
    <row r="938">
      <c r="A938" s="1">
        <v>45594.0</v>
      </c>
      <c r="B938" s="5" t="s">
        <v>85</v>
      </c>
      <c r="C938" s="5" t="str">
        <f>IFERROR(VLOOKUP(B938,'Overall Bean Summary'!A$2:B$36,2,FALSE),"")</f>
        <v>Good</v>
      </c>
      <c r="D938" s="6">
        <f t="shared" si="14"/>
        <v>1</v>
      </c>
      <c r="E938" s="6">
        <f t="shared" si="15"/>
        <v>0</v>
      </c>
      <c r="F938" s="5">
        <f t="shared" si="16"/>
        <v>1</v>
      </c>
      <c r="G938" s="5">
        <f t="shared" si="17"/>
        <v>1</v>
      </c>
      <c r="H938" s="5">
        <f t="shared" si="18"/>
        <v>16</v>
      </c>
      <c r="I938" s="6">
        <f t="shared" si="19"/>
        <v>298</v>
      </c>
      <c r="P938" s="5" t="s">
        <v>173</v>
      </c>
      <c r="Q938" s="24">
        <f>COUNTIF(C938:C1026, "Good")</f>
        <v>27</v>
      </c>
      <c r="R938" s="24">
        <f>COUNTIF(C938:C1026, "Bad")</f>
        <v>62</v>
      </c>
      <c r="S938" s="25">
        <f>Q938/(Q938+R938)</f>
        <v>0.3033707865</v>
      </c>
      <c r="T938" s="25">
        <f>R938/(Q938+R938)</f>
        <v>0.6966292135</v>
      </c>
    </row>
    <row r="939">
      <c r="A939" s="1">
        <v>45594.0</v>
      </c>
      <c r="B939" s="5" t="s">
        <v>29</v>
      </c>
      <c r="C939" s="5" t="str">
        <f>IFERROR(VLOOKUP(B939,'Overall Bean Summary'!A$2:B$36,2,FALSE),"")</f>
        <v>Good</v>
      </c>
      <c r="D939" s="6">
        <f t="shared" si="14"/>
        <v>2</v>
      </c>
      <c r="E939" s="6">
        <f t="shared" si="15"/>
        <v>0</v>
      </c>
      <c r="F939" s="5">
        <f t="shared" si="16"/>
        <v>1</v>
      </c>
      <c r="G939" s="5">
        <f t="shared" si="17"/>
        <v>2</v>
      </c>
      <c r="H939" s="5">
        <f t="shared" si="18"/>
        <v>17</v>
      </c>
      <c r="I939" s="6">
        <f t="shared" si="19"/>
        <v>299</v>
      </c>
    </row>
    <row r="940">
      <c r="A940" s="1">
        <v>45597.0</v>
      </c>
      <c r="B940" s="5" t="s">
        <v>85</v>
      </c>
      <c r="C940" s="5" t="str">
        <f>IFERROR(VLOOKUP(B940,'Overall Bean Summary'!A$2:B$36,2,FALSE),"")</f>
        <v>Good</v>
      </c>
      <c r="D940" s="6">
        <f t="shared" si="14"/>
        <v>3</v>
      </c>
      <c r="E940" s="6">
        <f t="shared" si="15"/>
        <v>0</v>
      </c>
      <c r="F940" s="5">
        <f t="shared" si="16"/>
        <v>1</v>
      </c>
      <c r="G940" s="5">
        <f t="shared" si="17"/>
        <v>1</v>
      </c>
      <c r="H940" s="5">
        <f t="shared" si="18"/>
        <v>1</v>
      </c>
      <c r="I940" s="6">
        <f t="shared" si="19"/>
        <v>300</v>
      </c>
      <c r="L940" s="5" t="s">
        <v>316</v>
      </c>
    </row>
    <row r="941">
      <c r="A941" s="1">
        <v>45597.0</v>
      </c>
      <c r="B941" s="5" t="s">
        <v>72</v>
      </c>
      <c r="C941" s="5" t="str">
        <f>IFERROR(VLOOKUP(B941,'Overall Bean Summary'!A$2:B$36,2,FALSE),"")</f>
        <v>Bad</v>
      </c>
      <c r="D941" s="6">
        <f t="shared" si="14"/>
        <v>0</v>
      </c>
      <c r="E941" s="6">
        <f t="shared" si="15"/>
        <v>1</v>
      </c>
      <c r="F941" s="5">
        <f t="shared" si="16"/>
        <v>1</v>
      </c>
      <c r="G941" s="5">
        <f t="shared" si="17"/>
        <v>2</v>
      </c>
      <c r="H941" s="5">
        <f t="shared" si="18"/>
        <v>2</v>
      </c>
      <c r="I941" s="6">
        <f t="shared" si="19"/>
        <v>301</v>
      </c>
    </row>
    <row r="942">
      <c r="A942" s="1">
        <v>45597.0</v>
      </c>
      <c r="B942" s="5" t="s">
        <v>48</v>
      </c>
      <c r="C942" s="5" t="str">
        <f>IFERROR(VLOOKUP(B942,'Overall Bean Summary'!A$2:B$36,2,FALSE),"")</f>
        <v>Bad</v>
      </c>
      <c r="D942" s="6">
        <f t="shared" si="14"/>
        <v>0</v>
      </c>
      <c r="E942" s="6">
        <f t="shared" si="15"/>
        <v>2</v>
      </c>
      <c r="F942" s="5">
        <f t="shared" si="16"/>
        <v>1</v>
      </c>
      <c r="G942" s="5">
        <f t="shared" si="17"/>
        <v>3</v>
      </c>
      <c r="H942" s="5">
        <f t="shared" si="18"/>
        <v>3</v>
      </c>
      <c r="I942" s="6">
        <f t="shared" si="19"/>
        <v>302</v>
      </c>
    </row>
    <row r="943">
      <c r="A943" s="1">
        <v>45600.0</v>
      </c>
      <c r="B943" s="5" t="s">
        <v>58</v>
      </c>
      <c r="C943" s="5" t="str">
        <f>IFERROR(VLOOKUP(B943,'Overall Bean Summary'!A$2:B$36,2,FALSE),"")</f>
        <v>Bad</v>
      </c>
      <c r="D943" s="6">
        <f t="shared" si="14"/>
        <v>0</v>
      </c>
      <c r="E943" s="6">
        <f t="shared" si="15"/>
        <v>3</v>
      </c>
      <c r="F943" s="5">
        <f t="shared" si="16"/>
        <v>1</v>
      </c>
      <c r="G943" s="5">
        <f t="shared" si="17"/>
        <v>1</v>
      </c>
      <c r="H943" s="5">
        <f t="shared" si="18"/>
        <v>4</v>
      </c>
      <c r="I943" s="6">
        <f t="shared" si="19"/>
        <v>303</v>
      </c>
    </row>
    <row r="944">
      <c r="A944" s="1">
        <v>45600.0</v>
      </c>
      <c r="B944" s="5" t="s">
        <v>80</v>
      </c>
      <c r="C944" s="5" t="str">
        <f>IFERROR(VLOOKUP(B944,'Overall Bean Summary'!A$2:B$36,2,FALSE),"")</f>
        <v>Bad</v>
      </c>
      <c r="D944" s="6">
        <f t="shared" si="14"/>
        <v>0</v>
      </c>
      <c r="E944" s="6">
        <f t="shared" si="15"/>
        <v>4</v>
      </c>
      <c r="F944" s="5">
        <f t="shared" si="16"/>
        <v>1</v>
      </c>
      <c r="G944" s="5">
        <f t="shared" si="17"/>
        <v>2</v>
      </c>
      <c r="H944" s="5">
        <f t="shared" si="18"/>
        <v>5</v>
      </c>
      <c r="I944" s="6">
        <f t="shared" si="19"/>
        <v>304</v>
      </c>
    </row>
    <row r="945">
      <c r="A945" s="1">
        <v>45600.0</v>
      </c>
      <c r="B945" s="5" t="s">
        <v>69</v>
      </c>
      <c r="C945" s="5" t="str">
        <f>IFERROR(VLOOKUP(B945,'Overall Bean Summary'!A$2:B$36,2,FALSE),"")</f>
        <v>Bad</v>
      </c>
      <c r="D945" s="6">
        <f t="shared" si="14"/>
        <v>0</v>
      </c>
      <c r="E945" s="6">
        <f t="shared" si="15"/>
        <v>5</v>
      </c>
      <c r="F945" s="5">
        <f t="shared" si="16"/>
        <v>1</v>
      </c>
      <c r="G945" s="5">
        <f t="shared" si="17"/>
        <v>3</v>
      </c>
      <c r="H945" s="5">
        <f t="shared" si="18"/>
        <v>6</v>
      </c>
      <c r="I945" s="6">
        <f t="shared" si="19"/>
        <v>305</v>
      </c>
      <c r="L945" s="5" t="s">
        <v>318</v>
      </c>
    </row>
    <row r="946">
      <c r="A946" s="1">
        <v>45602.0</v>
      </c>
      <c r="B946" s="5" t="s">
        <v>80</v>
      </c>
      <c r="C946" s="5" t="str">
        <f>IFERROR(VLOOKUP(B946,'Overall Bean Summary'!A$2:B$36,2,FALSE),"")</f>
        <v>Bad</v>
      </c>
      <c r="D946" s="6">
        <f t="shared" si="14"/>
        <v>0</v>
      </c>
      <c r="E946" s="6">
        <f t="shared" si="15"/>
        <v>6</v>
      </c>
      <c r="F946" s="5">
        <f t="shared" si="16"/>
        <v>1</v>
      </c>
      <c r="G946" s="5">
        <f t="shared" si="17"/>
        <v>1</v>
      </c>
      <c r="H946" s="5">
        <f t="shared" si="18"/>
        <v>7</v>
      </c>
      <c r="I946" s="6">
        <f t="shared" si="19"/>
        <v>306</v>
      </c>
      <c r="L946" s="5" t="s">
        <v>319</v>
      </c>
    </row>
    <row r="947">
      <c r="A947" s="1">
        <v>45603.0</v>
      </c>
      <c r="B947" s="5" t="s">
        <v>69</v>
      </c>
      <c r="C947" s="5" t="str">
        <f>IFERROR(VLOOKUP(B947,'Overall Bean Summary'!A$2:B$36,2,FALSE),"")</f>
        <v>Bad</v>
      </c>
      <c r="D947" s="6">
        <f t="shared" si="14"/>
        <v>0</v>
      </c>
      <c r="E947" s="6">
        <f t="shared" si="15"/>
        <v>7</v>
      </c>
      <c r="F947" s="5">
        <f t="shared" si="16"/>
        <v>1</v>
      </c>
      <c r="G947" s="5">
        <f t="shared" si="17"/>
        <v>1</v>
      </c>
      <c r="H947" s="5">
        <f t="shared" si="18"/>
        <v>8</v>
      </c>
      <c r="I947" s="6">
        <f t="shared" si="19"/>
        <v>307</v>
      </c>
    </row>
    <row r="948">
      <c r="A948" s="1">
        <v>45603.0</v>
      </c>
      <c r="B948" s="5" t="s">
        <v>80</v>
      </c>
      <c r="C948" s="5" t="str">
        <f>IFERROR(VLOOKUP(B948,'Overall Bean Summary'!A$2:B$36,2,FALSE),"")</f>
        <v>Bad</v>
      </c>
      <c r="D948" s="6">
        <f t="shared" si="14"/>
        <v>0</v>
      </c>
      <c r="E948" s="6">
        <f t="shared" si="15"/>
        <v>8</v>
      </c>
      <c r="F948" s="5">
        <f t="shared" si="16"/>
        <v>1</v>
      </c>
      <c r="G948" s="5">
        <f t="shared" si="17"/>
        <v>2</v>
      </c>
      <c r="H948" s="5">
        <f t="shared" si="18"/>
        <v>9</v>
      </c>
      <c r="I948" s="6">
        <f t="shared" si="19"/>
        <v>308</v>
      </c>
    </row>
    <row r="949">
      <c r="A949" s="1">
        <v>45603.0</v>
      </c>
      <c r="B949" s="5" t="s">
        <v>34</v>
      </c>
      <c r="C949" s="5" t="str">
        <f>IFERROR(VLOOKUP(B949,'Overall Bean Summary'!A$2:B$36,2,FALSE),"")</f>
        <v>Good</v>
      </c>
      <c r="D949" s="6">
        <f t="shared" si="14"/>
        <v>1</v>
      </c>
      <c r="E949" s="6">
        <f t="shared" si="15"/>
        <v>0</v>
      </c>
      <c r="F949" s="5">
        <f t="shared" si="16"/>
        <v>1</v>
      </c>
      <c r="G949" s="5">
        <f t="shared" si="17"/>
        <v>3</v>
      </c>
      <c r="H949" s="5">
        <f t="shared" si="18"/>
        <v>10</v>
      </c>
      <c r="I949" s="6">
        <f t="shared" si="19"/>
        <v>309</v>
      </c>
    </row>
    <row r="950">
      <c r="A950" s="1">
        <v>45603.0</v>
      </c>
      <c r="B950" s="5" t="s">
        <v>44</v>
      </c>
      <c r="C950" s="5" t="str">
        <f>IFERROR(VLOOKUP(B950,'Overall Bean Summary'!A$2:B$36,2,FALSE),"")</f>
        <v>Good</v>
      </c>
      <c r="D950" s="6">
        <f t="shared" si="14"/>
        <v>2</v>
      </c>
      <c r="E950" s="6">
        <f t="shared" si="15"/>
        <v>0</v>
      </c>
      <c r="F950" s="5">
        <f t="shared" si="16"/>
        <v>1</v>
      </c>
      <c r="G950" s="5">
        <f t="shared" si="17"/>
        <v>4</v>
      </c>
      <c r="H950" s="5">
        <f t="shared" si="18"/>
        <v>11</v>
      </c>
      <c r="I950" s="6">
        <f t="shared" si="19"/>
        <v>310</v>
      </c>
      <c r="L950" s="5" t="s">
        <v>320</v>
      </c>
    </row>
    <row r="951">
      <c r="A951" s="1">
        <v>45603.0</v>
      </c>
      <c r="B951" s="5" t="s">
        <v>48</v>
      </c>
      <c r="C951" s="5" t="str">
        <f>IFERROR(VLOOKUP(B951,'Overall Bean Summary'!A$2:B$36,2,FALSE),"")</f>
        <v>Bad</v>
      </c>
      <c r="D951" s="6">
        <f t="shared" si="14"/>
        <v>0</v>
      </c>
      <c r="E951" s="6">
        <f t="shared" si="15"/>
        <v>1</v>
      </c>
      <c r="F951" s="5">
        <f t="shared" si="16"/>
        <v>1</v>
      </c>
      <c r="G951" s="5">
        <f t="shared" si="17"/>
        <v>5</v>
      </c>
      <c r="H951" s="5">
        <f t="shared" si="18"/>
        <v>12</v>
      </c>
      <c r="I951" s="6">
        <f t="shared" si="19"/>
        <v>311</v>
      </c>
    </row>
    <row r="952">
      <c r="A952" s="1">
        <v>45604.0</v>
      </c>
      <c r="B952" s="5" t="s">
        <v>48</v>
      </c>
      <c r="C952" s="5" t="str">
        <f>IFERROR(VLOOKUP(B952,'Overall Bean Summary'!A$2:B$36,2,FALSE),"")</f>
        <v>Bad</v>
      </c>
      <c r="D952" s="6">
        <f t="shared" si="14"/>
        <v>0</v>
      </c>
      <c r="E952" s="6">
        <f t="shared" si="15"/>
        <v>2</v>
      </c>
      <c r="F952" s="5">
        <f t="shared" si="16"/>
        <v>2</v>
      </c>
      <c r="G952" s="5">
        <f t="shared" si="17"/>
        <v>1</v>
      </c>
      <c r="H952" s="5">
        <f t="shared" si="18"/>
        <v>13</v>
      </c>
      <c r="I952" s="6">
        <f t="shared" si="19"/>
        <v>312</v>
      </c>
    </row>
    <row r="953">
      <c r="A953" s="1">
        <v>45604.0</v>
      </c>
      <c r="B953" s="5" t="s">
        <v>41</v>
      </c>
      <c r="C953" s="5" t="str">
        <f>IFERROR(VLOOKUP(B953,'Overall Bean Summary'!A$2:B$36,2,FALSE),"")</f>
        <v>Bad</v>
      </c>
      <c r="D953" s="6">
        <f t="shared" si="14"/>
        <v>0</v>
      </c>
      <c r="E953" s="6">
        <f t="shared" si="15"/>
        <v>3</v>
      </c>
      <c r="F953" s="5">
        <f t="shared" si="16"/>
        <v>1</v>
      </c>
      <c r="G953" s="5">
        <f t="shared" si="17"/>
        <v>2</v>
      </c>
      <c r="H953" s="5">
        <f t="shared" si="18"/>
        <v>14</v>
      </c>
      <c r="I953" s="6">
        <f t="shared" si="19"/>
        <v>313</v>
      </c>
    </row>
    <row r="954">
      <c r="A954" s="1">
        <v>45604.0</v>
      </c>
      <c r="B954" s="5" t="s">
        <v>69</v>
      </c>
      <c r="C954" s="5" t="str">
        <f>IFERROR(VLOOKUP(B954,'Overall Bean Summary'!A$2:B$36,2,FALSE),"")</f>
        <v>Bad</v>
      </c>
      <c r="D954" s="6">
        <f t="shared" si="14"/>
        <v>0</v>
      </c>
      <c r="E954" s="6">
        <f t="shared" si="15"/>
        <v>4</v>
      </c>
      <c r="F954" s="5">
        <f t="shared" si="16"/>
        <v>1</v>
      </c>
      <c r="G954" s="5">
        <f t="shared" si="17"/>
        <v>3</v>
      </c>
      <c r="H954" s="5">
        <f t="shared" si="18"/>
        <v>15</v>
      </c>
      <c r="I954" s="6">
        <f t="shared" si="19"/>
        <v>314</v>
      </c>
    </row>
    <row r="955">
      <c r="A955" s="1">
        <v>45607.0</v>
      </c>
      <c r="B955" s="5" t="s">
        <v>85</v>
      </c>
      <c r="C955" s="5" t="str">
        <f>IFERROR(VLOOKUP(B955,'Overall Bean Summary'!A$2:B$36,2,FALSE),"")</f>
        <v>Good</v>
      </c>
      <c r="D955" s="6">
        <f t="shared" si="14"/>
        <v>1</v>
      </c>
      <c r="E955" s="6">
        <f t="shared" si="15"/>
        <v>0</v>
      </c>
      <c r="F955" s="5">
        <f t="shared" si="16"/>
        <v>1</v>
      </c>
      <c r="G955" s="5">
        <f t="shared" si="17"/>
        <v>1</v>
      </c>
      <c r="H955" s="5">
        <f t="shared" si="18"/>
        <v>16</v>
      </c>
      <c r="I955" s="6">
        <f t="shared" si="19"/>
        <v>315</v>
      </c>
      <c r="K955" s="5" t="s">
        <v>321</v>
      </c>
      <c r="L955" s="5" t="s">
        <v>322</v>
      </c>
      <c r="N955" s="5" t="s">
        <v>323</v>
      </c>
    </row>
    <row r="956">
      <c r="A956" s="1">
        <v>45609.0</v>
      </c>
      <c r="B956" s="5" t="s">
        <v>80</v>
      </c>
      <c r="C956" s="5" t="str">
        <f>IFERROR(VLOOKUP(B956,'Overall Bean Summary'!A$2:B$36,2,FALSE),"")</f>
        <v>Bad</v>
      </c>
      <c r="D956" s="6">
        <f t="shared" si="14"/>
        <v>0</v>
      </c>
      <c r="E956" s="6">
        <f t="shared" si="15"/>
        <v>1</v>
      </c>
      <c r="F956" s="5">
        <f t="shared" si="16"/>
        <v>1</v>
      </c>
      <c r="G956" s="5">
        <f t="shared" si="17"/>
        <v>1</v>
      </c>
      <c r="H956" s="5">
        <f t="shared" si="18"/>
        <v>17</v>
      </c>
      <c r="I956" s="6">
        <f t="shared" si="19"/>
        <v>316</v>
      </c>
    </row>
    <row r="957">
      <c r="A957" s="1">
        <v>45609.0</v>
      </c>
      <c r="B957" s="5" t="s">
        <v>44</v>
      </c>
      <c r="C957" s="5" t="str">
        <f>IFERROR(VLOOKUP(B957,'Overall Bean Summary'!A$2:B$36,2,FALSE),"")</f>
        <v>Good</v>
      </c>
      <c r="D957" s="6">
        <f t="shared" si="14"/>
        <v>1</v>
      </c>
      <c r="E957" s="6">
        <f t="shared" si="15"/>
        <v>0</v>
      </c>
      <c r="F957" s="5">
        <f t="shared" si="16"/>
        <v>1</v>
      </c>
      <c r="G957" s="5">
        <f t="shared" si="17"/>
        <v>2</v>
      </c>
      <c r="H957" s="5">
        <f t="shared" si="18"/>
        <v>18</v>
      </c>
      <c r="I957" s="6">
        <f t="shared" si="19"/>
        <v>317</v>
      </c>
      <c r="L957" s="5" t="s">
        <v>324</v>
      </c>
    </row>
    <row r="958">
      <c r="A958" s="1">
        <v>45609.0</v>
      </c>
      <c r="B958" s="5" t="s">
        <v>58</v>
      </c>
      <c r="C958" s="5" t="str">
        <f>IFERROR(VLOOKUP(B958,'Overall Bean Summary'!A$2:B$36,2,FALSE),"")</f>
        <v>Bad</v>
      </c>
      <c r="D958" s="6">
        <f t="shared" si="14"/>
        <v>0</v>
      </c>
      <c r="E958" s="6">
        <f t="shared" si="15"/>
        <v>1</v>
      </c>
      <c r="F958" s="5">
        <f t="shared" si="16"/>
        <v>1</v>
      </c>
      <c r="G958" s="5">
        <f t="shared" si="17"/>
        <v>3</v>
      </c>
      <c r="H958" s="5">
        <f t="shared" si="18"/>
        <v>19</v>
      </c>
      <c r="I958" s="6">
        <f t="shared" si="19"/>
        <v>318</v>
      </c>
    </row>
    <row r="959">
      <c r="A959" s="1">
        <v>45610.0</v>
      </c>
      <c r="B959" s="5" t="s">
        <v>69</v>
      </c>
      <c r="C959" s="5" t="str">
        <f>IFERROR(VLOOKUP(B959,'Overall Bean Summary'!A$2:B$36,2,FALSE),"")</f>
        <v>Bad</v>
      </c>
      <c r="D959" s="6">
        <f t="shared" si="14"/>
        <v>0</v>
      </c>
      <c r="E959" s="6">
        <f t="shared" si="15"/>
        <v>2</v>
      </c>
      <c r="F959" s="5">
        <f t="shared" si="16"/>
        <v>1</v>
      </c>
      <c r="G959" s="5">
        <f t="shared" si="17"/>
        <v>1</v>
      </c>
      <c r="H959" s="5">
        <f t="shared" si="18"/>
        <v>20</v>
      </c>
      <c r="I959" s="6">
        <f t="shared" si="19"/>
        <v>319</v>
      </c>
      <c r="L959" s="5" t="s">
        <v>325</v>
      </c>
    </row>
    <row r="960">
      <c r="A960" s="1">
        <v>45610.0</v>
      </c>
      <c r="B960" s="5" t="s">
        <v>67</v>
      </c>
      <c r="C960" s="5" t="str">
        <f>IFERROR(VLOOKUP(B960,'Overall Bean Summary'!A$2:B$36,2,FALSE),"")</f>
        <v>Good</v>
      </c>
      <c r="D960" s="6">
        <f t="shared" si="14"/>
        <v>1</v>
      </c>
      <c r="E960" s="6">
        <f t="shared" si="15"/>
        <v>0</v>
      </c>
      <c r="F960" s="5">
        <f t="shared" si="16"/>
        <v>1</v>
      </c>
      <c r="G960" s="5">
        <f t="shared" si="17"/>
        <v>2</v>
      </c>
      <c r="H960" s="5">
        <f t="shared" si="18"/>
        <v>21</v>
      </c>
      <c r="I960" s="6">
        <f t="shared" si="19"/>
        <v>320</v>
      </c>
    </row>
    <row r="961">
      <c r="A961" s="1">
        <v>45611.0</v>
      </c>
      <c r="B961" s="5" t="s">
        <v>51</v>
      </c>
      <c r="C961" s="5" t="str">
        <f>IFERROR(VLOOKUP(B961,'Overall Bean Summary'!A$2:B$36,2,FALSE),"")</f>
        <v>Bad</v>
      </c>
      <c r="D961" s="6">
        <f t="shared" si="14"/>
        <v>0</v>
      </c>
      <c r="E961" s="6">
        <f t="shared" si="15"/>
        <v>1</v>
      </c>
      <c r="F961" s="5">
        <f t="shared" si="16"/>
        <v>1</v>
      </c>
      <c r="G961" s="5">
        <f t="shared" si="17"/>
        <v>1</v>
      </c>
      <c r="H961" s="5">
        <f t="shared" si="18"/>
        <v>22</v>
      </c>
      <c r="I961" s="6">
        <f t="shared" si="19"/>
        <v>321</v>
      </c>
      <c r="L961" s="5" t="s">
        <v>326</v>
      </c>
    </row>
    <row r="962">
      <c r="A962" s="1">
        <v>45611.0</v>
      </c>
      <c r="B962" s="5" t="s">
        <v>63</v>
      </c>
      <c r="C962" s="5" t="str">
        <f>IFERROR(VLOOKUP(B962,'Overall Bean Summary'!A$2:B$36,2,FALSE),"")</f>
        <v>Bad</v>
      </c>
      <c r="D962" s="6">
        <f t="shared" si="14"/>
        <v>0</v>
      </c>
      <c r="E962" s="6">
        <f t="shared" si="15"/>
        <v>2</v>
      </c>
      <c r="F962" s="5">
        <f t="shared" si="16"/>
        <v>1</v>
      </c>
      <c r="G962" s="5">
        <f t="shared" si="17"/>
        <v>2</v>
      </c>
      <c r="H962" s="5">
        <f t="shared" si="18"/>
        <v>23</v>
      </c>
      <c r="I962" s="6">
        <f t="shared" si="19"/>
        <v>322</v>
      </c>
    </row>
    <row r="963">
      <c r="A963" s="1">
        <v>45614.0</v>
      </c>
      <c r="B963" s="5" t="s">
        <v>44</v>
      </c>
      <c r="C963" s="5" t="str">
        <f>IFERROR(VLOOKUP(B963,'Overall Bean Summary'!A$2:B$36,2,FALSE),"")</f>
        <v>Good</v>
      </c>
      <c r="D963" s="6">
        <f t="shared" si="14"/>
        <v>1</v>
      </c>
      <c r="E963" s="6">
        <f t="shared" si="15"/>
        <v>0</v>
      </c>
      <c r="F963" s="5">
        <f t="shared" si="16"/>
        <v>1</v>
      </c>
      <c r="G963" s="5">
        <f t="shared" si="17"/>
        <v>1</v>
      </c>
      <c r="H963" s="5">
        <f t="shared" si="18"/>
        <v>24</v>
      </c>
      <c r="I963" s="6">
        <f t="shared" si="19"/>
        <v>323</v>
      </c>
    </row>
    <row r="964">
      <c r="A964" s="1">
        <v>45616.0</v>
      </c>
      <c r="B964" s="5" t="s">
        <v>48</v>
      </c>
      <c r="C964" s="5" t="str">
        <f>IFERROR(VLOOKUP(B964,'Overall Bean Summary'!A$2:B$36,2,FALSE),"")</f>
        <v>Bad</v>
      </c>
      <c r="D964" s="6">
        <f t="shared" si="14"/>
        <v>0</v>
      </c>
      <c r="E964" s="6">
        <f t="shared" si="15"/>
        <v>1</v>
      </c>
      <c r="F964" s="5">
        <f t="shared" si="16"/>
        <v>1</v>
      </c>
      <c r="G964" s="5">
        <f t="shared" si="17"/>
        <v>1</v>
      </c>
      <c r="H964" s="5">
        <f t="shared" si="18"/>
        <v>25</v>
      </c>
      <c r="I964" s="6">
        <f t="shared" si="19"/>
        <v>324</v>
      </c>
    </row>
    <row r="965">
      <c r="A965" s="1">
        <v>45616.0</v>
      </c>
      <c r="B965" s="5" t="s">
        <v>63</v>
      </c>
      <c r="C965" s="5" t="str">
        <f>IFERROR(VLOOKUP(B965,'Overall Bean Summary'!A$2:B$36,2,FALSE),"")</f>
        <v>Bad</v>
      </c>
      <c r="D965" s="6">
        <f t="shared" si="14"/>
        <v>0</v>
      </c>
      <c r="E965" s="6">
        <f t="shared" si="15"/>
        <v>2</v>
      </c>
      <c r="F965" s="5">
        <f t="shared" si="16"/>
        <v>1</v>
      </c>
      <c r="G965" s="5">
        <f t="shared" si="17"/>
        <v>2</v>
      </c>
      <c r="H965" s="5">
        <f t="shared" si="18"/>
        <v>26</v>
      </c>
      <c r="I965" s="6">
        <f t="shared" si="19"/>
        <v>325</v>
      </c>
    </row>
    <row r="966">
      <c r="A966" s="1">
        <v>45617.0</v>
      </c>
      <c r="B966" s="5" t="s">
        <v>51</v>
      </c>
      <c r="C966" s="5" t="str">
        <f>IFERROR(VLOOKUP(B966,'Overall Bean Summary'!A$2:B$36,2,FALSE),"")</f>
        <v>Bad</v>
      </c>
      <c r="D966" s="6">
        <f t="shared" si="14"/>
        <v>0</v>
      </c>
      <c r="E966" s="6">
        <f t="shared" si="15"/>
        <v>3</v>
      </c>
      <c r="F966" s="5">
        <f t="shared" si="16"/>
        <v>1</v>
      </c>
      <c r="G966" s="5">
        <f t="shared" si="17"/>
        <v>1</v>
      </c>
      <c r="H966" s="5">
        <f t="shared" si="18"/>
        <v>27</v>
      </c>
      <c r="I966" s="6">
        <f t="shared" si="19"/>
        <v>326</v>
      </c>
    </row>
    <row r="967">
      <c r="A967" s="1">
        <v>45618.0</v>
      </c>
      <c r="B967" s="5" t="s">
        <v>72</v>
      </c>
      <c r="C967" s="5" t="str">
        <f>IFERROR(VLOOKUP(B967,'Overall Bean Summary'!A$2:B$36,2,FALSE),"")</f>
        <v>Bad</v>
      </c>
      <c r="D967" s="6">
        <f t="shared" si="14"/>
        <v>0</v>
      </c>
      <c r="E967" s="6">
        <f t="shared" si="15"/>
        <v>4</v>
      </c>
      <c r="F967" s="5">
        <f t="shared" si="16"/>
        <v>1</v>
      </c>
      <c r="G967" s="5">
        <f t="shared" si="17"/>
        <v>1</v>
      </c>
      <c r="H967" s="5">
        <f t="shared" si="18"/>
        <v>28</v>
      </c>
      <c r="I967" s="6">
        <f t="shared" si="19"/>
        <v>327</v>
      </c>
      <c r="L967" s="5" t="s">
        <v>327</v>
      </c>
    </row>
    <row r="968">
      <c r="A968" s="1">
        <v>45618.0</v>
      </c>
      <c r="B968" s="5" t="s">
        <v>51</v>
      </c>
      <c r="C968" s="5" t="str">
        <f>IFERROR(VLOOKUP(B968,'Overall Bean Summary'!A$2:B$36,2,FALSE),"")</f>
        <v>Bad</v>
      </c>
      <c r="D968" s="6">
        <f t="shared" si="14"/>
        <v>0</v>
      </c>
      <c r="E968" s="6">
        <f t="shared" si="15"/>
        <v>5</v>
      </c>
      <c r="F968" s="5">
        <f t="shared" si="16"/>
        <v>1</v>
      </c>
      <c r="G968" s="5">
        <f t="shared" si="17"/>
        <v>2</v>
      </c>
      <c r="H968" s="5">
        <f t="shared" si="18"/>
        <v>29</v>
      </c>
      <c r="I968" s="6">
        <f t="shared" si="19"/>
        <v>328</v>
      </c>
    </row>
    <row r="969">
      <c r="A969" s="1">
        <v>45618.0</v>
      </c>
      <c r="B969" s="5" t="s">
        <v>63</v>
      </c>
      <c r="C969" s="5" t="str">
        <f>IFERROR(VLOOKUP(B969,'Overall Bean Summary'!A$2:B$36,2,FALSE),"")</f>
        <v>Bad</v>
      </c>
      <c r="D969" s="6">
        <f t="shared" si="14"/>
        <v>0</v>
      </c>
      <c r="E969" s="6">
        <f t="shared" si="15"/>
        <v>6</v>
      </c>
      <c r="F969" s="5">
        <f t="shared" si="16"/>
        <v>1</v>
      </c>
      <c r="G969" s="5">
        <f t="shared" si="17"/>
        <v>3</v>
      </c>
      <c r="H969" s="5">
        <f t="shared" si="18"/>
        <v>30</v>
      </c>
      <c r="I969" s="6">
        <f t="shared" si="19"/>
        <v>329</v>
      </c>
    </row>
    <row r="970">
      <c r="A970" s="1">
        <v>45618.0</v>
      </c>
      <c r="B970" s="5" t="s">
        <v>67</v>
      </c>
      <c r="C970" s="5" t="str">
        <f>IFERROR(VLOOKUP(B970,'Overall Bean Summary'!A$2:B$36,2,FALSE),"")</f>
        <v>Good</v>
      </c>
      <c r="D970" s="6">
        <f t="shared" si="14"/>
        <v>1</v>
      </c>
      <c r="E970" s="6">
        <f t="shared" si="15"/>
        <v>0</v>
      </c>
      <c r="F970" s="5">
        <f t="shared" si="16"/>
        <v>1</v>
      </c>
      <c r="G970" s="5">
        <f t="shared" si="17"/>
        <v>4</v>
      </c>
      <c r="H970" s="5">
        <f t="shared" si="18"/>
        <v>31</v>
      </c>
      <c r="I970" s="6">
        <f t="shared" si="19"/>
        <v>330</v>
      </c>
    </row>
    <row r="971">
      <c r="A971" s="1">
        <v>45618.0</v>
      </c>
      <c r="B971" s="5" t="s">
        <v>51</v>
      </c>
      <c r="C971" s="5" t="str">
        <f>IFERROR(VLOOKUP(B971,'Overall Bean Summary'!A$2:B$36,2,FALSE),"")</f>
        <v>Bad</v>
      </c>
      <c r="D971" s="6">
        <f t="shared" si="14"/>
        <v>0</v>
      </c>
      <c r="E971" s="6">
        <f t="shared" si="15"/>
        <v>1</v>
      </c>
      <c r="F971" s="5">
        <f t="shared" si="16"/>
        <v>1</v>
      </c>
      <c r="G971" s="5">
        <f t="shared" si="17"/>
        <v>5</v>
      </c>
      <c r="H971" s="5">
        <f t="shared" si="18"/>
        <v>32</v>
      </c>
      <c r="I971" s="6">
        <f t="shared" si="19"/>
        <v>331</v>
      </c>
    </row>
    <row r="972">
      <c r="A972" s="1">
        <v>45621.0</v>
      </c>
      <c r="B972" s="5" t="s">
        <v>80</v>
      </c>
      <c r="C972" s="5" t="str">
        <f>IFERROR(VLOOKUP(B972,'Overall Bean Summary'!A$2:B$36,2,FALSE),"")</f>
        <v>Bad</v>
      </c>
      <c r="D972" s="6">
        <f t="shared" si="14"/>
        <v>0</v>
      </c>
      <c r="E972" s="6">
        <f t="shared" si="15"/>
        <v>2</v>
      </c>
      <c r="F972" s="5">
        <f t="shared" si="16"/>
        <v>1</v>
      </c>
      <c r="G972" s="5">
        <f t="shared" si="17"/>
        <v>1</v>
      </c>
      <c r="H972" s="5">
        <f t="shared" si="18"/>
        <v>33</v>
      </c>
      <c r="I972" s="6">
        <f t="shared" si="19"/>
        <v>332</v>
      </c>
    </row>
    <row r="973">
      <c r="A973" s="1">
        <v>45621.0</v>
      </c>
      <c r="B973" s="5" t="s">
        <v>80</v>
      </c>
      <c r="C973" s="5" t="str">
        <f>IFERROR(VLOOKUP(B973,'Overall Bean Summary'!A$2:B$36,2,FALSE),"")</f>
        <v>Bad</v>
      </c>
      <c r="D973" s="6">
        <f t="shared" si="14"/>
        <v>0</v>
      </c>
      <c r="E973" s="6">
        <f t="shared" si="15"/>
        <v>3</v>
      </c>
      <c r="F973" s="5">
        <f t="shared" si="16"/>
        <v>2</v>
      </c>
      <c r="G973" s="5">
        <f t="shared" si="17"/>
        <v>2</v>
      </c>
      <c r="H973" s="5">
        <f t="shared" si="18"/>
        <v>34</v>
      </c>
      <c r="I973" s="6">
        <f t="shared" si="19"/>
        <v>333</v>
      </c>
      <c r="L973" s="5" t="s">
        <v>328</v>
      </c>
    </row>
    <row r="974">
      <c r="A974" s="1">
        <v>45623.0</v>
      </c>
      <c r="B974" s="5" t="s">
        <v>58</v>
      </c>
      <c r="C974" s="5" t="str">
        <f>IFERROR(VLOOKUP(B974,'Overall Bean Summary'!A$2:B$36,2,FALSE),"")</f>
        <v>Bad</v>
      </c>
      <c r="D974" s="6">
        <f t="shared" si="14"/>
        <v>0</v>
      </c>
      <c r="E974" s="6">
        <f t="shared" si="15"/>
        <v>4</v>
      </c>
      <c r="F974" s="5">
        <f t="shared" si="16"/>
        <v>1</v>
      </c>
      <c r="G974" s="5">
        <f t="shared" si="17"/>
        <v>1</v>
      </c>
      <c r="H974" s="5">
        <f t="shared" si="18"/>
        <v>35</v>
      </c>
      <c r="I974" s="6">
        <f t="shared" si="19"/>
        <v>334</v>
      </c>
      <c r="L974" s="5" t="s">
        <v>329</v>
      </c>
    </row>
    <row r="975">
      <c r="A975" s="1">
        <v>45623.0</v>
      </c>
      <c r="B975" s="5" t="s">
        <v>59</v>
      </c>
      <c r="C975" s="5" t="str">
        <f>IFERROR(VLOOKUP(B975,'Overall Bean Summary'!A$2:B$36,2,FALSE),"")</f>
        <v>Good</v>
      </c>
      <c r="D975" s="6">
        <f t="shared" si="14"/>
        <v>1</v>
      </c>
      <c r="E975" s="6">
        <f t="shared" si="15"/>
        <v>0</v>
      </c>
      <c r="F975" s="5">
        <f t="shared" si="16"/>
        <v>1</v>
      </c>
      <c r="G975" s="5">
        <f t="shared" si="17"/>
        <v>2</v>
      </c>
      <c r="H975" s="5">
        <f t="shared" si="18"/>
        <v>36</v>
      </c>
      <c r="I975" s="6">
        <f t="shared" si="19"/>
        <v>335</v>
      </c>
    </row>
    <row r="976">
      <c r="A976" s="1">
        <v>45623.0</v>
      </c>
      <c r="B976" s="5" t="s">
        <v>67</v>
      </c>
      <c r="C976" s="5" t="str">
        <f>IFERROR(VLOOKUP(B976,'Overall Bean Summary'!A$2:B$36,2,FALSE),"")</f>
        <v>Good</v>
      </c>
      <c r="D976" s="6">
        <f t="shared" si="14"/>
        <v>2</v>
      </c>
      <c r="E976" s="6">
        <f t="shared" si="15"/>
        <v>0</v>
      </c>
      <c r="F976" s="5">
        <f t="shared" si="16"/>
        <v>1</v>
      </c>
      <c r="G976" s="5">
        <f t="shared" si="17"/>
        <v>3</v>
      </c>
      <c r="H976" s="5">
        <f t="shared" si="18"/>
        <v>37</v>
      </c>
      <c r="I976" s="6">
        <f t="shared" si="19"/>
        <v>336</v>
      </c>
    </row>
    <row r="977">
      <c r="A977" s="1">
        <v>45623.0</v>
      </c>
      <c r="B977" s="5" t="s">
        <v>58</v>
      </c>
      <c r="C977" s="5" t="str">
        <f>IFERROR(VLOOKUP(B977,'Overall Bean Summary'!A$2:B$36,2,FALSE),"")</f>
        <v>Bad</v>
      </c>
      <c r="D977" s="6">
        <f t="shared" si="14"/>
        <v>0</v>
      </c>
      <c r="E977" s="6">
        <f t="shared" si="15"/>
        <v>1</v>
      </c>
      <c r="F977" s="5">
        <f t="shared" si="16"/>
        <v>1</v>
      </c>
      <c r="G977" s="5">
        <f t="shared" si="17"/>
        <v>4</v>
      </c>
      <c r="H977" s="5">
        <f t="shared" si="18"/>
        <v>38</v>
      </c>
      <c r="I977" s="6">
        <f t="shared" si="19"/>
        <v>337</v>
      </c>
    </row>
    <row r="978">
      <c r="A978" s="1">
        <v>45625.0</v>
      </c>
      <c r="B978" s="5" t="s">
        <v>48</v>
      </c>
      <c r="C978" s="5" t="str">
        <f>IFERROR(VLOOKUP(B978,'Overall Bean Summary'!A$2:B$36,2,FALSE),"")</f>
        <v>Bad</v>
      </c>
      <c r="D978" s="6">
        <f t="shared" si="14"/>
        <v>0</v>
      </c>
      <c r="E978" s="6">
        <f t="shared" si="15"/>
        <v>2</v>
      </c>
      <c r="F978" s="5">
        <f t="shared" si="16"/>
        <v>1</v>
      </c>
      <c r="G978" s="5">
        <f t="shared" si="17"/>
        <v>1</v>
      </c>
      <c r="H978" s="5">
        <f t="shared" si="18"/>
        <v>39</v>
      </c>
      <c r="I978" s="6">
        <f t="shared" si="19"/>
        <v>338</v>
      </c>
      <c r="L978" s="5" t="s">
        <v>330</v>
      </c>
      <c r="N978" s="5" t="s">
        <v>331</v>
      </c>
    </row>
    <row r="979">
      <c r="A979" s="1">
        <v>45625.0</v>
      </c>
      <c r="B979" s="5" t="s">
        <v>51</v>
      </c>
      <c r="C979" s="5" t="str">
        <f>IFERROR(VLOOKUP(B979,'Overall Bean Summary'!A$2:B$36,2,FALSE),"")</f>
        <v>Bad</v>
      </c>
      <c r="D979" s="6">
        <f t="shared" si="14"/>
        <v>0</v>
      </c>
      <c r="E979" s="6">
        <f t="shared" si="15"/>
        <v>3</v>
      </c>
      <c r="F979" s="5">
        <f t="shared" si="16"/>
        <v>1</v>
      </c>
      <c r="G979" s="5">
        <f t="shared" si="17"/>
        <v>2</v>
      </c>
      <c r="H979" s="5">
        <f t="shared" si="18"/>
        <v>40</v>
      </c>
      <c r="I979" s="6">
        <f t="shared" si="19"/>
        <v>339</v>
      </c>
    </row>
    <row r="980">
      <c r="A980" s="1">
        <v>45625.0</v>
      </c>
      <c r="B980" s="5" t="s">
        <v>72</v>
      </c>
      <c r="C980" s="5" t="str">
        <f>IFERROR(VLOOKUP(B980,'Overall Bean Summary'!A$2:B$36,2,FALSE),"")</f>
        <v>Bad</v>
      </c>
      <c r="D980" s="6">
        <f t="shared" si="14"/>
        <v>0</v>
      </c>
      <c r="E980" s="6">
        <f t="shared" si="15"/>
        <v>4</v>
      </c>
      <c r="F980" s="5">
        <f t="shared" si="16"/>
        <v>1</v>
      </c>
      <c r="G980" s="5">
        <f t="shared" si="17"/>
        <v>3</v>
      </c>
      <c r="H980" s="5">
        <f t="shared" si="18"/>
        <v>41</v>
      </c>
      <c r="I980" s="6">
        <f t="shared" si="19"/>
        <v>340</v>
      </c>
    </row>
    <row r="981">
      <c r="A981" s="1">
        <v>45625.0</v>
      </c>
      <c r="B981" s="5" t="s">
        <v>44</v>
      </c>
      <c r="C981" s="5" t="str">
        <f>IFERROR(VLOOKUP(B981,'Overall Bean Summary'!A$2:B$36,2,FALSE),"")</f>
        <v>Good</v>
      </c>
      <c r="D981" s="6">
        <f t="shared" si="14"/>
        <v>1</v>
      </c>
      <c r="E981" s="6">
        <f t="shared" si="15"/>
        <v>0</v>
      </c>
      <c r="F981" s="5">
        <f t="shared" si="16"/>
        <v>1</v>
      </c>
      <c r="G981" s="5">
        <f t="shared" si="17"/>
        <v>4</v>
      </c>
      <c r="H981" s="5">
        <f t="shared" si="18"/>
        <v>42</v>
      </c>
      <c r="I981" s="6">
        <f t="shared" si="19"/>
        <v>341</v>
      </c>
    </row>
    <row r="982">
      <c r="A982" s="1">
        <v>45625.0</v>
      </c>
      <c r="B982" s="5" t="s">
        <v>63</v>
      </c>
      <c r="C982" s="5" t="str">
        <f>IFERROR(VLOOKUP(B982,'Overall Bean Summary'!A$2:B$36,2,FALSE),"")</f>
        <v>Bad</v>
      </c>
      <c r="D982" s="6">
        <f t="shared" si="14"/>
        <v>0</v>
      </c>
      <c r="E982" s="6">
        <f t="shared" si="15"/>
        <v>1</v>
      </c>
      <c r="F982" s="5">
        <f t="shared" si="16"/>
        <v>1</v>
      </c>
      <c r="G982" s="5">
        <f t="shared" si="17"/>
        <v>5</v>
      </c>
      <c r="H982" s="5">
        <f t="shared" si="18"/>
        <v>43</v>
      </c>
      <c r="I982" s="6">
        <f t="shared" si="19"/>
        <v>342</v>
      </c>
    </row>
    <row r="983">
      <c r="A983" s="1">
        <v>45625.0</v>
      </c>
      <c r="B983" s="5" t="s">
        <v>80</v>
      </c>
      <c r="C983" s="5" t="str">
        <f>IFERROR(VLOOKUP(B983,'Overall Bean Summary'!A$2:B$36,2,FALSE),"")</f>
        <v>Bad</v>
      </c>
      <c r="D983" s="6">
        <f t="shared" si="14"/>
        <v>0</v>
      </c>
      <c r="E983" s="6">
        <f t="shared" si="15"/>
        <v>2</v>
      </c>
      <c r="F983" s="5">
        <f t="shared" si="16"/>
        <v>1</v>
      </c>
      <c r="G983" s="5">
        <f t="shared" si="17"/>
        <v>6</v>
      </c>
      <c r="H983" s="5">
        <f t="shared" si="18"/>
        <v>44</v>
      </c>
      <c r="I983" s="6">
        <f t="shared" si="19"/>
        <v>343</v>
      </c>
    </row>
    <row r="984">
      <c r="A984" s="1">
        <v>45628.0</v>
      </c>
      <c r="B984" s="5" t="s">
        <v>67</v>
      </c>
      <c r="C984" s="5" t="str">
        <f>IFERROR(VLOOKUP(B984,'Overall Bean Summary'!A$2:B$36,2,FALSE),"")</f>
        <v>Good</v>
      </c>
      <c r="D984" s="6">
        <f t="shared" si="14"/>
        <v>1</v>
      </c>
      <c r="E984" s="6">
        <f t="shared" si="15"/>
        <v>0</v>
      </c>
      <c r="F984" s="5">
        <f t="shared" si="16"/>
        <v>1</v>
      </c>
      <c r="G984" s="5">
        <f t="shared" si="17"/>
        <v>1</v>
      </c>
      <c r="H984" s="5">
        <f t="shared" si="18"/>
        <v>1</v>
      </c>
      <c r="I984" s="6">
        <f t="shared" si="19"/>
        <v>344</v>
      </c>
      <c r="L984" s="5" t="s">
        <v>332</v>
      </c>
    </row>
    <row r="985">
      <c r="A985" s="1">
        <v>45629.0</v>
      </c>
      <c r="B985" s="5" t="s">
        <v>40</v>
      </c>
      <c r="C985" s="5" t="str">
        <f>IFERROR(VLOOKUP(B985,'Overall Bean Summary'!A$2:B$36,2,FALSE),"")</f>
        <v>Bad</v>
      </c>
      <c r="D985" s="6">
        <f t="shared" si="14"/>
        <v>0</v>
      </c>
      <c r="E985" s="6">
        <f t="shared" si="15"/>
        <v>1</v>
      </c>
      <c r="F985" s="5">
        <f t="shared" si="16"/>
        <v>1</v>
      </c>
      <c r="G985" s="5">
        <f t="shared" si="17"/>
        <v>1</v>
      </c>
      <c r="H985" s="5">
        <f t="shared" si="18"/>
        <v>2</v>
      </c>
      <c r="I985" s="6">
        <f t="shared" si="19"/>
        <v>345</v>
      </c>
    </row>
    <row r="986">
      <c r="A986" s="1">
        <v>45629.0</v>
      </c>
      <c r="B986" s="5" t="s">
        <v>69</v>
      </c>
      <c r="C986" s="5" t="str">
        <f>IFERROR(VLOOKUP(B986,'Overall Bean Summary'!A$2:B$36,2,FALSE),"")</f>
        <v>Bad</v>
      </c>
      <c r="D986" s="6">
        <f t="shared" si="14"/>
        <v>0</v>
      </c>
      <c r="E986" s="6">
        <f t="shared" si="15"/>
        <v>2</v>
      </c>
      <c r="F986" s="5">
        <f t="shared" si="16"/>
        <v>1</v>
      </c>
      <c r="G986" s="5">
        <f t="shared" si="17"/>
        <v>2</v>
      </c>
      <c r="H986" s="5">
        <f t="shared" si="18"/>
        <v>3</v>
      </c>
      <c r="I986" s="6">
        <f t="shared" si="19"/>
        <v>346</v>
      </c>
      <c r="L986" s="5" t="s">
        <v>333</v>
      </c>
    </row>
    <row r="987">
      <c r="A987" s="1">
        <v>45630.0</v>
      </c>
      <c r="B987" s="5" t="s">
        <v>51</v>
      </c>
      <c r="C987" s="5" t="str">
        <f>IFERROR(VLOOKUP(B987,'Overall Bean Summary'!A$2:B$36,2,FALSE),"")</f>
        <v>Bad</v>
      </c>
      <c r="D987" s="6">
        <f t="shared" si="14"/>
        <v>0</v>
      </c>
      <c r="E987" s="6">
        <f t="shared" si="15"/>
        <v>3</v>
      </c>
      <c r="F987" s="5">
        <f t="shared" si="16"/>
        <v>1</v>
      </c>
      <c r="G987" s="5">
        <f t="shared" si="17"/>
        <v>1</v>
      </c>
      <c r="H987" s="5">
        <f t="shared" si="18"/>
        <v>4</v>
      </c>
      <c r="I987" s="6">
        <f t="shared" si="19"/>
        <v>347</v>
      </c>
    </row>
    <row r="988">
      <c r="A988" s="1">
        <v>45631.0</v>
      </c>
      <c r="B988" s="5" t="s">
        <v>85</v>
      </c>
      <c r="C988" s="5" t="str">
        <f>IFERROR(VLOOKUP(B988,'Overall Bean Summary'!A$2:B$36,2,FALSE),"")</f>
        <v>Good</v>
      </c>
      <c r="D988" s="6">
        <f t="shared" si="14"/>
        <v>1</v>
      </c>
      <c r="E988" s="6">
        <f t="shared" si="15"/>
        <v>0</v>
      </c>
      <c r="F988" s="5">
        <f t="shared" si="16"/>
        <v>1</v>
      </c>
      <c r="G988" s="5">
        <f t="shared" si="17"/>
        <v>1</v>
      </c>
      <c r="H988" s="5">
        <f t="shared" si="18"/>
        <v>5</v>
      </c>
      <c r="I988" s="6">
        <f t="shared" si="19"/>
        <v>348</v>
      </c>
    </row>
    <row r="989">
      <c r="A989" s="1">
        <v>45631.0</v>
      </c>
      <c r="B989" s="5" t="s">
        <v>48</v>
      </c>
      <c r="C989" s="5" t="str">
        <f>IFERROR(VLOOKUP(B989,'Overall Bean Summary'!A$2:B$36,2,FALSE),"")</f>
        <v>Bad</v>
      </c>
      <c r="D989" s="6">
        <f t="shared" si="14"/>
        <v>0</v>
      </c>
      <c r="E989" s="6">
        <f t="shared" si="15"/>
        <v>1</v>
      </c>
      <c r="F989" s="5">
        <f t="shared" si="16"/>
        <v>1</v>
      </c>
      <c r="G989" s="5">
        <f t="shared" si="17"/>
        <v>2</v>
      </c>
      <c r="H989" s="5">
        <f t="shared" si="18"/>
        <v>6</v>
      </c>
      <c r="I989" s="6">
        <f t="shared" si="19"/>
        <v>349</v>
      </c>
    </row>
    <row r="990">
      <c r="A990" s="1">
        <v>45632.0</v>
      </c>
      <c r="B990" s="5" t="s">
        <v>80</v>
      </c>
      <c r="C990" s="5" t="str">
        <f>IFERROR(VLOOKUP(B990,'Overall Bean Summary'!A$2:B$36,2,FALSE),"")</f>
        <v>Bad</v>
      </c>
      <c r="D990" s="6">
        <f t="shared" si="14"/>
        <v>0</v>
      </c>
      <c r="E990" s="6">
        <f t="shared" si="15"/>
        <v>2</v>
      </c>
      <c r="F990" s="5">
        <f t="shared" si="16"/>
        <v>1</v>
      </c>
      <c r="G990" s="5">
        <f t="shared" si="17"/>
        <v>1</v>
      </c>
      <c r="H990" s="5">
        <f t="shared" si="18"/>
        <v>7</v>
      </c>
      <c r="I990" s="6">
        <f t="shared" si="19"/>
        <v>350</v>
      </c>
    </row>
    <row r="991">
      <c r="A991" s="1">
        <v>45632.0</v>
      </c>
      <c r="B991" s="5" t="s">
        <v>51</v>
      </c>
      <c r="C991" s="5" t="str">
        <f>IFERROR(VLOOKUP(B991,'Overall Bean Summary'!A$2:B$36,2,FALSE),"")</f>
        <v>Bad</v>
      </c>
      <c r="D991" s="6">
        <f t="shared" si="14"/>
        <v>0</v>
      </c>
      <c r="E991" s="6">
        <f t="shared" si="15"/>
        <v>3</v>
      </c>
      <c r="F991" s="5">
        <f t="shared" si="16"/>
        <v>1</v>
      </c>
      <c r="G991" s="5">
        <f t="shared" si="17"/>
        <v>2</v>
      </c>
      <c r="H991" s="5">
        <f t="shared" si="18"/>
        <v>8</v>
      </c>
      <c r="I991" s="6">
        <f t="shared" si="19"/>
        <v>351</v>
      </c>
    </row>
    <row r="992">
      <c r="A992" s="1">
        <v>45632.0</v>
      </c>
      <c r="B992" s="5" t="s">
        <v>56</v>
      </c>
      <c r="C992" s="5" t="str">
        <f>IFERROR(VLOOKUP(B992,'Overall Bean Summary'!A$2:B$36,2,FALSE),"")</f>
        <v>Good</v>
      </c>
      <c r="D992" s="6">
        <f t="shared" si="14"/>
        <v>1</v>
      </c>
      <c r="E992" s="6">
        <f t="shared" si="15"/>
        <v>0</v>
      </c>
      <c r="F992" s="5">
        <f t="shared" si="16"/>
        <v>1</v>
      </c>
      <c r="G992" s="5">
        <f t="shared" si="17"/>
        <v>3</v>
      </c>
      <c r="H992" s="5">
        <f t="shared" si="18"/>
        <v>9</v>
      </c>
      <c r="I992" s="6">
        <f t="shared" si="19"/>
        <v>352</v>
      </c>
    </row>
    <row r="993">
      <c r="A993" s="1">
        <v>45635.0</v>
      </c>
      <c r="B993" s="5" t="s">
        <v>63</v>
      </c>
      <c r="C993" s="5" t="str">
        <f>IFERROR(VLOOKUP(B993,'Overall Bean Summary'!A$2:B$36,2,FALSE),"")</f>
        <v>Bad</v>
      </c>
      <c r="D993" s="6">
        <f t="shared" si="14"/>
        <v>0</v>
      </c>
      <c r="E993" s="6">
        <f t="shared" si="15"/>
        <v>1</v>
      </c>
      <c r="F993" s="5">
        <f t="shared" si="16"/>
        <v>1</v>
      </c>
      <c r="G993" s="5">
        <f t="shared" si="17"/>
        <v>1</v>
      </c>
      <c r="H993" s="5">
        <f t="shared" si="18"/>
        <v>10</v>
      </c>
      <c r="I993" s="6">
        <f t="shared" si="19"/>
        <v>353</v>
      </c>
      <c r="L993" s="5" t="s">
        <v>335</v>
      </c>
    </row>
    <row r="994">
      <c r="A994" s="1">
        <v>45635.0</v>
      </c>
      <c r="B994" s="5" t="s">
        <v>72</v>
      </c>
      <c r="C994" s="5" t="str">
        <f>IFERROR(VLOOKUP(B994,'Overall Bean Summary'!A$2:B$36,2,FALSE),"")</f>
        <v>Bad</v>
      </c>
      <c r="D994" s="6">
        <f t="shared" si="14"/>
        <v>0</v>
      </c>
      <c r="E994" s="6">
        <f t="shared" si="15"/>
        <v>2</v>
      </c>
      <c r="F994" s="5">
        <f t="shared" si="16"/>
        <v>1</v>
      </c>
      <c r="G994" s="5">
        <f t="shared" si="17"/>
        <v>2</v>
      </c>
      <c r="H994" s="5">
        <f t="shared" si="18"/>
        <v>11</v>
      </c>
      <c r="I994" s="6">
        <f t="shared" si="19"/>
        <v>354</v>
      </c>
    </row>
    <row r="995">
      <c r="A995" s="1">
        <v>45637.0</v>
      </c>
      <c r="B995" s="5" t="s">
        <v>63</v>
      </c>
      <c r="C995" s="5" t="str">
        <f>IFERROR(VLOOKUP(B995,'Overall Bean Summary'!A$2:B$36,2,FALSE),"")</f>
        <v>Bad</v>
      </c>
      <c r="D995" s="6">
        <f t="shared" si="14"/>
        <v>0</v>
      </c>
      <c r="E995" s="6">
        <f t="shared" si="15"/>
        <v>3</v>
      </c>
      <c r="F995" s="5">
        <f t="shared" si="16"/>
        <v>1</v>
      </c>
      <c r="G995" s="5">
        <f t="shared" si="17"/>
        <v>1</v>
      </c>
      <c r="H995" s="5">
        <f t="shared" si="18"/>
        <v>12</v>
      </c>
      <c r="I995" s="6">
        <f t="shared" si="19"/>
        <v>355</v>
      </c>
    </row>
    <row r="996">
      <c r="A996" s="1">
        <v>45638.0</v>
      </c>
      <c r="B996" s="5" t="s">
        <v>95</v>
      </c>
      <c r="C996" s="5" t="str">
        <f>IFERROR(VLOOKUP(B996,'Overall Bean Summary'!A$2:B$36,2,FALSE),"")</f>
        <v>Good</v>
      </c>
      <c r="D996" s="6">
        <f t="shared" si="14"/>
        <v>1</v>
      </c>
      <c r="E996" s="6">
        <f t="shared" si="15"/>
        <v>0</v>
      </c>
      <c r="F996" s="5">
        <f t="shared" si="16"/>
        <v>1</v>
      </c>
      <c r="G996" s="5">
        <f t="shared" si="17"/>
        <v>1</v>
      </c>
      <c r="H996" s="5">
        <f t="shared" si="18"/>
        <v>13</v>
      </c>
      <c r="I996" s="6">
        <f t="shared" si="19"/>
        <v>356</v>
      </c>
      <c r="L996" s="5" t="s">
        <v>336</v>
      </c>
    </row>
    <row r="997">
      <c r="A997" s="1">
        <v>45638.0</v>
      </c>
      <c r="B997" s="5" t="s">
        <v>80</v>
      </c>
      <c r="C997" s="5" t="str">
        <f>IFERROR(VLOOKUP(B997,'Overall Bean Summary'!A$2:B$36,2,FALSE),"")</f>
        <v>Bad</v>
      </c>
      <c r="D997" s="6">
        <f t="shared" si="14"/>
        <v>0</v>
      </c>
      <c r="E997" s="6">
        <f t="shared" si="15"/>
        <v>1</v>
      </c>
      <c r="F997" s="5">
        <f t="shared" si="16"/>
        <v>1</v>
      </c>
      <c r="G997" s="5">
        <f t="shared" si="17"/>
        <v>2</v>
      </c>
      <c r="H997" s="5">
        <f t="shared" si="18"/>
        <v>14</v>
      </c>
      <c r="I997" s="6">
        <f t="shared" si="19"/>
        <v>357</v>
      </c>
    </row>
    <row r="998">
      <c r="A998" s="1">
        <v>45638.0</v>
      </c>
      <c r="B998" s="5" t="s">
        <v>63</v>
      </c>
      <c r="C998" s="5" t="str">
        <f>IFERROR(VLOOKUP(B998,'Overall Bean Summary'!A$2:B$36,2,FALSE),"")</f>
        <v>Bad</v>
      </c>
      <c r="D998" s="6">
        <f t="shared" si="14"/>
        <v>0</v>
      </c>
      <c r="E998" s="6">
        <f t="shared" si="15"/>
        <v>2</v>
      </c>
      <c r="F998" s="5">
        <f t="shared" si="16"/>
        <v>1</v>
      </c>
      <c r="G998" s="5">
        <f t="shared" si="17"/>
        <v>3</v>
      </c>
      <c r="H998" s="5">
        <f t="shared" si="18"/>
        <v>15</v>
      </c>
      <c r="I998" s="6">
        <f t="shared" si="19"/>
        <v>358</v>
      </c>
    </row>
    <row r="999">
      <c r="A999" s="1">
        <v>45638.0</v>
      </c>
      <c r="B999" s="5" t="s">
        <v>51</v>
      </c>
      <c r="C999" s="5" t="str">
        <f>IFERROR(VLOOKUP(B999,'Overall Bean Summary'!A$2:B$36,2,FALSE),"")</f>
        <v>Bad</v>
      </c>
      <c r="D999" s="6">
        <f t="shared" si="14"/>
        <v>0</v>
      </c>
      <c r="E999" s="6">
        <f t="shared" si="15"/>
        <v>3</v>
      </c>
      <c r="F999" s="5">
        <f t="shared" si="16"/>
        <v>1</v>
      </c>
      <c r="G999" s="5">
        <f t="shared" si="17"/>
        <v>4</v>
      </c>
      <c r="H999" s="5">
        <f t="shared" si="18"/>
        <v>16</v>
      </c>
      <c r="I999" s="6">
        <f t="shared" si="19"/>
        <v>359</v>
      </c>
    </row>
    <row r="1000">
      <c r="A1000" s="1">
        <v>45638.0</v>
      </c>
      <c r="B1000" s="5" t="s">
        <v>69</v>
      </c>
      <c r="C1000" s="5" t="str">
        <f>IFERROR(VLOOKUP(B1000,'Overall Bean Summary'!A$2:B$36,2,FALSE),"")</f>
        <v>Bad</v>
      </c>
      <c r="D1000" s="6">
        <f t="shared" si="14"/>
        <v>0</v>
      </c>
      <c r="E1000" s="6">
        <f t="shared" si="15"/>
        <v>4</v>
      </c>
      <c r="F1000" s="5">
        <f t="shared" si="16"/>
        <v>1</v>
      </c>
      <c r="G1000" s="5">
        <f t="shared" si="17"/>
        <v>5</v>
      </c>
      <c r="H1000" s="5">
        <f t="shared" si="18"/>
        <v>17</v>
      </c>
      <c r="I1000" s="6">
        <f t="shared" si="19"/>
        <v>360</v>
      </c>
    </row>
    <row r="1001">
      <c r="A1001" s="1">
        <v>45638.0</v>
      </c>
      <c r="B1001" s="5" t="s">
        <v>40</v>
      </c>
      <c r="C1001" s="5" t="str">
        <f>IFERROR(VLOOKUP(B1001,'Overall Bean Summary'!A$2:B$36,2,FALSE),"")</f>
        <v>Bad</v>
      </c>
      <c r="D1001" s="6">
        <f t="shared" si="14"/>
        <v>0</v>
      </c>
      <c r="E1001" s="6">
        <f t="shared" si="15"/>
        <v>5</v>
      </c>
      <c r="F1001" s="5">
        <f t="shared" si="16"/>
        <v>1</v>
      </c>
      <c r="G1001" s="5">
        <f t="shared" si="17"/>
        <v>6</v>
      </c>
      <c r="H1001" s="5">
        <f t="shared" si="18"/>
        <v>18</v>
      </c>
      <c r="I1001" s="6">
        <f t="shared" si="19"/>
        <v>361</v>
      </c>
    </row>
    <row r="1002">
      <c r="A1002" s="1">
        <v>45638.0</v>
      </c>
      <c r="B1002" s="5" t="s">
        <v>80</v>
      </c>
      <c r="C1002" s="5" t="str">
        <f>IFERROR(VLOOKUP(B1002,'Overall Bean Summary'!A$2:B$36,2,FALSE),"")</f>
        <v>Bad</v>
      </c>
      <c r="D1002" s="6">
        <f t="shared" si="14"/>
        <v>0</v>
      </c>
      <c r="E1002" s="6">
        <f t="shared" si="15"/>
        <v>6</v>
      </c>
      <c r="F1002" s="5">
        <f t="shared" si="16"/>
        <v>1</v>
      </c>
      <c r="G1002" s="5">
        <f t="shared" si="17"/>
        <v>7</v>
      </c>
      <c r="H1002" s="5">
        <f t="shared" si="18"/>
        <v>19</v>
      </c>
      <c r="I1002" s="6">
        <f t="shared" si="19"/>
        <v>362</v>
      </c>
    </row>
    <row r="1003">
      <c r="A1003" s="1">
        <v>45638.0</v>
      </c>
      <c r="B1003" s="5" t="s">
        <v>80</v>
      </c>
      <c r="C1003" s="5" t="str">
        <f>IFERROR(VLOOKUP(B1003,'Overall Bean Summary'!A$2:B$36,2,FALSE),"")</f>
        <v>Bad</v>
      </c>
      <c r="D1003" s="6">
        <f t="shared" si="14"/>
        <v>0</v>
      </c>
      <c r="E1003" s="6">
        <f t="shared" si="15"/>
        <v>7</v>
      </c>
      <c r="F1003" s="5">
        <f t="shared" si="16"/>
        <v>2</v>
      </c>
      <c r="G1003" s="5">
        <f t="shared" si="17"/>
        <v>8</v>
      </c>
      <c r="H1003" s="5">
        <f t="shared" si="18"/>
        <v>20</v>
      </c>
      <c r="I1003" s="6">
        <f t="shared" si="19"/>
        <v>363</v>
      </c>
    </row>
    <row r="1004">
      <c r="A1004" s="1">
        <v>45639.0</v>
      </c>
      <c r="B1004" s="5" t="s">
        <v>67</v>
      </c>
      <c r="C1004" s="5" t="str">
        <f>IFERROR(VLOOKUP(B1004,'Overall Bean Summary'!A$2:B$36,2,FALSE),"")</f>
        <v>Good</v>
      </c>
      <c r="D1004" s="6">
        <f t="shared" si="14"/>
        <v>1</v>
      </c>
      <c r="E1004" s="6">
        <f t="shared" si="15"/>
        <v>0</v>
      </c>
      <c r="F1004" s="5">
        <f t="shared" si="16"/>
        <v>1</v>
      </c>
      <c r="G1004" s="5">
        <f t="shared" si="17"/>
        <v>1</v>
      </c>
      <c r="H1004" s="5">
        <f t="shared" si="18"/>
        <v>21</v>
      </c>
      <c r="I1004" s="6">
        <f t="shared" si="19"/>
        <v>364</v>
      </c>
      <c r="L1004" s="5" t="s">
        <v>337</v>
      </c>
    </row>
    <row r="1005">
      <c r="A1005" s="1">
        <v>45712.0</v>
      </c>
      <c r="B1005" s="5" t="s">
        <v>51</v>
      </c>
      <c r="C1005" s="5" t="str">
        <f>IFERROR(VLOOKUP(B1005,'Overall Bean Summary'!A$2:B$36,2,FALSE),"")</f>
        <v>Bad</v>
      </c>
      <c r="D1005" s="6">
        <f t="shared" si="14"/>
        <v>0</v>
      </c>
      <c r="E1005" s="6">
        <f t="shared" si="15"/>
        <v>1</v>
      </c>
      <c r="F1005" s="5">
        <f t="shared" si="16"/>
        <v>1</v>
      </c>
      <c r="G1005" s="5">
        <f t="shared" si="17"/>
        <v>1</v>
      </c>
      <c r="H1005" s="5">
        <f t="shared" si="18"/>
        <v>1</v>
      </c>
      <c r="I1005" s="6">
        <f t="shared" si="19"/>
        <v>1</v>
      </c>
      <c r="J1005" s="5" t="s">
        <v>338</v>
      </c>
      <c r="K1005" s="1">
        <v>45643.0</v>
      </c>
      <c r="L1005" s="5" t="s">
        <v>339</v>
      </c>
    </row>
    <row r="1006">
      <c r="A1006" s="1">
        <v>45712.0</v>
      </c>
      <c r="B1006" s="5" t="s">
        <v>85</v>
      </c>
      <c r="C1006" s="5" t="str">
        <f>IFERROR(VLOOKUP(B1006,'Overall Bean Summary'!A$2:B$36,2,FALSE),"")</f>
        <v>Good</v>
      </c>
      <c r="D1006" s="6">
        <f t="shared" si="14"/>
        <v>1</v>
      </c>
      <c r="E1006" s="6">
        <f t="shared" si="15"/>
        <v>0</v>
      </c>
      <c r="F1006" s="5">
        <f t="shared" si="16"/>
        <v>1</v>
      </c>
      <c r="G1006" s="5">
        <f t="shared" si="17"/>
        <v>2</v>
      </c>
      <c r="H1006" s="5">
        <f t="shared" si="18"/>
        <v>2</v>
      </c>
      <c r="I1006" s="6">
        <f t="shared" si="19"/>
        <v>2</v>
      </c>
      <c r="J1006" s="5" t="s">
        <v>338</v>
      </c>
      <c r="K1006" s="1">
        <v>45645.0</v>
      </c>
      <c r="L1006" s="5" t="s">
        <v>340</v>
      </c>
    </row>
    <row r="1007">
      <c r="A1007" s="1">
        <v>45712.0</v>
      </c>
      <c r="B1007" s="5" t="s">
        <v>34</v>
      </c>
      <c r="C1007" s="5" t="str">
        <f>IFERROR(VLOOKUP(B1007,'Overall Bean Summary'!A$2:B$36,2,FALSE),"")</f>
        <v>Good</v>
      </c>
      <c r="D1007" s="6">
        <f t="shared" si="14"/>
        <v>2</v>
      </c>
      <c r="E1007" s="6">
        <f t="shared" si="15"/>
        <v>0</v>
      </c>
      <c r="F1007" s="5">
        <f t="shared" si="16"/>
        <v>1</v>
      </c>
      <c r="G1007" s="5">
        <f t="shared" si="17"/>
        <v>3</v>
      </c>
      <c r="H1007" s="5">
        <f t="shared" si="18"/>
        <v>3</v>
      </c>
      <c r="I1007" s="6">
        <f t="shared" si="19"/>
        <v>3</v>
      </c>
      <c r="J1007" s="5" t="s">
        <v>338</v>
      </c>
      <c r="K1007" s="1">
        <v>45649.0</v>
      </c>
      <c r="L1007" s="5" t="s">
        <v>341</v>
      </c>
    </row>
    <row r="1008">
      <c r="A1008" s="1">
        <v>45712.0</v>
      </c>
      <c r="B1008" s="5" t="s">
        <v>72</v>
      </c>
      <c r="C1008" s="5" t="str">
        <f>IFERROR(VLOOKUP(B1008,'Overall Bean Summary'!A$2:B$36,2,FALSE),"")</f>
        <v>Bad</v>
      </c>
      <c r="D1008" s="6">
        <f t="shared" si="14"/>
        <v>0</v>
      </c>
      <c r="E1008" s="6">
        <f t="shared" si="15"/>
        <v>1</v>
      </c>
      <c r="F1008" s="5">
        <f t="shared" si="16"/>
        <v>1</v>
      </c>
      <c r="G1008" s="5">
        <f t="shared" si="17"/>
        <v>4</v>
      </c>
      <c r="H1008" s="5">
        <f t="shared" si="18"/>
        <v>4</v>
      </c>
      <c r="I1008" s="6">
        <f t="shared" si="19"/>
        <v>4</v>
      </c>
      <c r="L1008" s="5" t="s">
        <v>342</v>
      </c>
      <c r="N1008" s="5" t="s">
        <v>343</v>
      </c>
    </row>
    <row r="1009">
      <c r="A1009" s="1">
        <v>45712.0</v>
      </c>
      <c r="B1009" s="5" t="s">
        <v>48</v>
      </c>
      <c r="C1009" s="5" t="str">
        <f>IFERROR(VLOOKUP(B1009,'Overall Bean Summary'!A$2:B$36,2,FALSE),"")</f>
        <v>Bad</v>
      </c>
      <c r="D1009" s="6">
        <f t="shared" si="14"/>
        <v>0</v>
      </c>
      <c r="E1009" s="6">
        <f t="shared" si="15"/>
        <v>2</v>
      </c>
      <c r="F1009" s="5">
        <f t="shared" si="16"/>
        <v>1</v>
      </c>
      <c r="G1009" s="5">
        <f t="shared" si="17"/>
        <v>5</v>
      </c>
      <c r="H1009" s="5">
        <f t="shared" si="18"/>
        <v>5</v>
      </c>
      <c r="I1009" s="6">
        <f t="shared" si="19"/>
        <v>5</v>
      </c>
      <c r="N1009" s="5" t="s">
        <v>344</v>
      </c>
    </row>
    <row r="1010">
      <c r="A1010" s="1">
        <v>45712.0</v>
      </c>
      <c r="B1010" s="5" t="s">
        <v>53</v>
      </c>
      <c r="C1010" s="5" t="str">
        <f>IFERROR(VLOOKUP(B1010,'Overall Bean Summary'!A$2:B$36,2,FALSE),"")</f>
        <v>Good</v>
      </c>
      <c r="D1010" s="6">
        <f t="shared" si="14"/>
        <v>1</v>
      </c>
      <c r="E1010" s="6">
        <f t="shared" si="15"/>
        <v>0</v>
      </c>
      <c r="F1010" s="5">
        <f t="shared" si="16"/>
        <v>1</v>
      </c>
      <c r="G1010" s="5">
        <f t="shared" si="17"/>
        <v>6</v>
      </c>
      <c r="H1010" s="5">
        <f t="shared" si="18"/>
        <v>6</v>
      </c>
      <c r="I1010" s="6">
        <f t="shared" si="19"/>
        <v>6</v>
      </c>
      <c r="N1010" s="5" t="s">
        <v>345</v>
      </c>
    </row>
    <row r="1011">
      <c r="A1011" s="1">
        <v>45713.0</v>
      </c>
      <c r="B1011" s="5" t="s">
        <v>58</v>
      </c>
      <c r="C1011" s="5" t="str">
        <f>IFERROR(VLOOKUP(B1011,'Overall Bean Summary'!A$2:B$36,2,FALSE),"")</f>
        <v>Bad</v>
      </c>
      <c r="D1011" s="6">
        <f t="shared" si="14"/>
        <v>0</v>
      </c>
      <c r="E1011" s="6">
        <f t="shared" si="15"/>
        <v>1</v>
      </c>
      <c r="F1011" s="5">
        <f t="shared" si="16"/>
        <v>1</v>
      </c>
      <c r="G1011" s="5">
        <f t="shared" si="17"/>
        <v>1</v>
      </c>
      <c r="H1011" s="5">
        <f t="shared" si="18"/>
        <v>7</v>
      </c>
      <c r="I1011" s="6">
        <f t="shared" si="19"/>
        <v>7</v>
      </c>
      <c r="N1011" s="5" t="s">
        <v>346</v>
      </c>
    </row>
    <row r="1012">
      <c r="A1012" s="1">
        <v>45713.0</v>
      </c>
      <c r="B1012" s="5" t="s">
        <v>67</v>
      </c>
      <c r="C1012" s="5" t="str">
        <f>IFERROR(VLOOKUP(B1012,'Overall Bean Summary'!A$2:B$36,2,FALSE),"")</f>
        <v>Good</v>
      </c>
      <c r="D1012" s="6">
        <f t="shared" si="14"/>
        <v>1</v>
      </c>
      <c r="E1012" s="6">
        <f t="shared" si="15"/>
        <v>0</v>
      </c>
      <c r="F1012" s="5">
        <f t="shared" si="16"/>
        <v>1</v>
      </c>
      <c r="G1012" s="5">
        <f t="shared" si="17"/>
        <v>2</v>
      </c>
      <c r="H1012" s="5">
        <f t="shared" si="18"/>
        <v>8</v>
      </c>
      <c r="I1012" s="6">
        <f t="shared" si="19"/>
        <v>8</v>
      </c>
      <c r="N1012" s="5" t="s">
        <v>347</v>
      </c>
    </row>
    <row r="1013">
      <c r="A1013" s="1">
        <v>45714.0</v>
      </c>
      <c r="B1013" s="5" t="s">
        <v>80</v>
      </c>
      <c r="C1013" s="5" t="str">
        <f>IFERROR(VLOOKUP(B1013,'Overall Bean Summary'!A$2:B$36,2,FALSE),"")</f>
        <v>Bad</v>
      </c>
      <c r="D1013" s="6">
        <f t="shared" si="14"/>
        <v>0</v>
      </c>
      <c r="E1013" s="6">
        <f t="shared" si="15"/>
        <v>1</v>
      </c>
      <c r="F1013" s="5">
        <f t="shared" si="16"/>
        <v>1</v>
      </c>
      <c r="G1013" s="5">
        <f t="shared" si="17"/>
        <v>1</v>
      </c>
      <c r="H1013" s="5">
        <f t="shared" si="18"/>
        <v>9</v>
      </c>
      <c r="I1013" s="6">
        <f t="shared" si="19"/>
        <v>9</v>
      </c>
      <c r="J1013" s="5" t="s">
        <v>348</v>
      </c>
    </row>
    <row r="1014">
      <c r="A1014" s="1">
        <v>45714.0</v>
      </c>
      <c r="B1014" s="5" t="s">
        <v>45</v>
      </c>
      <c r="C1014" s="5" t="str">
        <f>IFERROR(VLOOKUP(B1014,'Overall Bean Summary'!A$2:B$36,2,FALSE),"")</f>
        <v>Good</v>
      </c>
      <c r="D1014" s="6">
        <f t="shared" si="14"/>
        <v>1</v>
      </c>
      <c r="E1014" s="6">
        <f t="shared" si="15"/>
        <v>0</v>
      </c>
      <c r="F1014" s="5">
        <f t="shared" si="16"/>
        <v>1</v>
      </c>
      <c r="G1014" s="5">
        <f t="shared" si="17"/>
        <v>2</v>
      </c>
      <c r="H1014" s="5">
        <f t="shared" si="18"/>
        <v>10</v>
      </c>
      <c r="I1014" s="6">
        <f t="shared" si="19"/>
        <v>10</v>
      </c>
      <c r="J1014" s="5" t="s">
        <v>348</v>
      </c>
    </row>
    <row r="1015">
      <c r="A1015" s="1">
        <v>45714.0</v>
      </c>
      <c r="B1015" s="5" t="s">
        <v>80</v>
      </c>
      <c r="C1015" s="5" t="str">
        <f>IFERROR(VLOOKUP(B1015,'Overall Bean Summary'!A$2:B$36,2,FALSE),"")</f>
        <v>Bad</v>
      </c>
      <c r="D1015" s="6">
        <f t="shared" si="14"/>
        <v>0</v>
      </c>
      <c r="E1015" s="6">
        <f t="shared" si="15"/>
        <v>1</v>
      </c>
      <c r="F1015" s="5">
        <f t="shared" si="16"/>
        <v>1</v>
      </c>
      <c r="G1015" s="5">
        <f t="shared" si="17"/>
        <v>3</v>
      </c>
      <c r="H1015" s="5">
        <f t="shared" si="18"/>
        <v>11</v>
      </c>
      <c r="I1015" s="6">
        <f t="shared" si="19"/>
        <v>11</v>
      </c>
      <c r="J1015" s="5" t="s">
        <v>348</v>
      </c>
    </row>
    <row r="1016">
      <c r="A1016" s="1">
        <v>45714.0</v>
      </c>
      <c r="B1016" s="5" t="s">
        <v>63</v>
      </c>
      <c r="C1016" s="5" t="str">
        <f>IFERROR(VLOOKUP(B1016,'Overall Bean Summary'!A$2:B$36,2,FALSE),"")</f>
        <v>Bad</v>
      </c>
      <c r="D1016" s="6">
        <f t="shared" si="14"/>
        <v>0</v>
      </c>
      <c r="E1016" s="6">
        <f t="shared" si="15"/>
        <v>2</v>
      </c>
      <c r="F1016" s="5">
        <f t="shared" si="16"/>
        <v>1</v>
      </c>
      <c r="G1016" s="5">
        <f t="shared" si="17"/>
        <v>4</v>
      </c>
      <c r="H1016" s="5">
        <f t="shared" si="18"/>
        <v>12</v>
      </c>
      <c r="I1016" s="6">
        <f t="shared" si="19"/>
        <v>12</v>
      </c>
      <c r="J1016" s="5" t="s">
        <v>348</v>
      </c>
    </row>
    <row r="1017">
      <c r="A1017" s="1">
        <v>45714.0</v>
      </c>
      <c r="B1017" s="5" t="s">
        <v>80</v>
      </c>
      <c r="C1017" s="5" t="str">
        <f>IFERROR(VLOOKUP(B1017,'Overall Bean Summary'!A$2:B$36,2,FALSE),"")</f>
        <v>Bad</v>
      </c>
      <c r="D1017" s="6">
        <f t="shared" si="14"/>
        <v>0</v>
      </c>
      <c r="E1017" s="6">
        <f t="shared" si="15"/>
        <v>3</v>
      </c>
      <c r="F1017" s="5">
        <f t="shared" si="16"/>
        <v>1</v>
      </c>
      <c r="G1017" s="5">
        <f t="shared" si="17"/>
        <v>5</v>
      </c>
      <c r="H1017" s="5">
        <f t="shared" si="18"/>
        <v>13</v>
      </c>
      <c r="I1017" s="6">
        <f t="shared" si="19"/>
        <v>13</v>
      </c>
      <c r="J1017" s="5" t="s">
        <v>348</v>
      </c>
    </row>
    <row r="1018">
      <c r="A1018" s="1">
        <v>45714.0</v>
      </c>
      <c r="B1018" s="5" t="s">
        <v>72</v>
      </c>
      <c r="C1018" s="5" t="str">
        <f>IFERROR(VLOOKUP(B1018,'Overall Bean Summary'!A$2:B$36,2,FALSE),"")</f>
        <v>Bad</v>
      </c>
      <c r="D1018" s="6">
        <f t="shared" si="14"/>
        <v>0</v>
      </c>
      <c r="E1018" s="6">
        <f t="shared" si="15"/>
        <v>4</v>
      </c>
      <c r="F1018" s="5">
        <f t="shared" si="16"/>
        <v>1</v>
      </c>
      <c r="G1018" s="5">
        <f t="shared" si="17"/>
        <v>6</v>
      </c>
      <c r="H1018" s="5">
        <f t="shared" si="18"/>
        <v>14</v>
      </c>
      <c r="I1018" s="6">
        <f t="shared" si="19"/>
        <v>14</v>
      </c>
      <c r="J1018" s="5" t="s">
        <v>348</v>
      </c>
    </row>
    <row r="1019">
      <c r="A1019" s="1">
        <v>45714.0</v>
      </c>
      <c r="B1019" s="5" t="s">
        <v>58</v>
      </c>
      <c r="C1019" s="5" t="str">
        <f>IFERROR(VLOOKUP(B1019,'Overall Bean Summary'!A$2:B$36,2,FALSE),"")</f>
        <v>Bad</v>
      </c>
      <c r="D1019" s="6">
        <f t="shared" si="14"/>
        <v>0</v>
      </c>
      <c r="E1019" s="6">
        <f t="shared" si="15"/>
        <v>5</v>
      </c>
      <c r="F1019" s="5">
        <f t="shared" si="16"/>
        <v>1</v>
      </c>
      <c r="G1019" s="5">
        <f t="shared" si="17"/>
        <v>7</v>
      </c>
      <c r="H1019" s="5">
        <f t="shared" si="18"/>
        <v>15</v>
      </c>
      <c r="I1019" s="6">
        <f t="shared" si="19"/>
        <v>15</v>
      </c>
      <c r="J1019" s="5" t="s">
        <v>348</v>
      </c>
    </row>
    <row r="1020">
      <c r="A1020" s="1">
        <v>45714.0</v>
      </c>
      <c r="B1020" s="5" t="s">
        <v>72</v>
      </c>
      <c r="C1020" s="5" t="str">
        <f>IFERROR(VLOOKUP(B1020,'Overall Bean Summary'!A$2:B$36,2,FALSE),"")</f>
        <v>Bad</v>
      </c>
      <c r="D1020" s="6">
        <f t="shared" si="14"/>
        <v>0</v>
      </c>
      <c r="E1020" s="6">
        <f t="shared" si="15"/>
        <v>6</v>
      </c>
      <c r="F1020" s="5">
        <f t="shared" si="16"/>
        <v>1</v>
      </c>
      <c r="G1020" s="5">
        <f t="shared" si="17"/>
        <v>8</v>
      </c>
      <c r="H1020" s="5">
        <f t="shared" si="18"/>
        <v>16</v>
      </c>
      <c r="I1020" s="6">
        <f t="shared" si="19"/>
        <v>16</v>
      </c>
      <c r="J1020" s="5" t="s">
        <v>348</v>
      </c>
    </row>
    <row r="1021">
      <c r="A1021" s="1">
        <v>45714.0</v>
      </c>
      <c r="B1021" s="5" t="s">
        <v>44</v>
      </c>
      <c r="C1021" s="5" t="str">
        <f>IFERROR(VLOOKUP(B1021,'Overall Bean Summary'!A$2:B$36,2,FALSE),"")</f>
        <v>Good</v>
      </c>
      <c r="D1021" s="6">
        <f t="shared" si="14"/>
        <v>1</v>
      </c>
      <c r="E1021" s="6">
        <f t="shared" si="15"/>
        <v>0</v>
      </c>
      <c r="F1021" s="5">
        <f t="shared" si="16"/>
        <v>1</v>
      </c>
      <c r="G1021" s="5">
        <f t="shared" si="17"/>
        <v>9</v>
      </c>
      <c r="H1021" s="5">
        <f t="shared" si="18"/>
        <v>17</v>
      </c>
      <c r="I1021" s="6">
        <f t="shared" si="19"/>
        <v>17</v>
      </c>
      <c r="J1021" s="5" t="s">
        <v>348</v>
      </c>
    </row>
    <row r="1022">
      <c r="A1022" s="1">
        <v>45715.0</v>
      </c>
      <c r="B1022" s="5" t="s">
        <v>85</v>
      </c>
      <c r="C1022" s="5" t="str">
        <f>IFERROR(VLOOKUP(B1022,'Overall Bean Summary'!A$2:B$36,2,FALSE),"")</f>
        <v>Good</v>
      </c>
      <c r="D1022" s="6">
        <f t="shared" si="14"/>
        <v>2</v>
      </c>
      <c r="E1022" s="6">
        <f t="shared" si="15"/>
        <v>0</v>
      </c>
      <c r="F1022" s="5">
        <f t="shared" si="16"/>
        <v>1</v>
      </c>
      <c r="G1022" s="5">
        <f t="shared" si="17"/>
        <v>1</v>
      </c>
      <c r="H1022" s="5">
        <f t="shared" si="18"/>
        <v>18</v>
      </c>
      <c r="I1022" s="6">
        <f t="shared" si="19"/>
        <v>18</v>
      </c>
    </row>
    <row r="1023">
      <c r="A1023" s="1">
        <v>45715.0</v>
      </c>
      <c r="B1023" s="5" t="s">
        <v>34</v>
      </c>
      <c r="C1023" s="5" t="str">
        <f>IFERROR(VLOOKUP(B1023,'Overall Bean Summary'!A$2:B$36,2,FALSE),"")</f>
        <v>Good</v>
      </c>
      <c r="D1023" s="6">
        <f t="shared" si="14"/>
        <v>3</v>
      </c>
      <c r="E1023" s="6">
        <f t="shared" si="15"/>
        <v>0</v>
      </c>
      <c r="F1023" s="5">
        <f t="shared" si="16"/>
        <v>1</v>
      </c>
      <c r="G1023" s="5">
        <f t="shared" si="17"/>
        <v>2</v>
      </c>
      <c r="H1023" s="5">
        <f t="shared" si="18"/>
        <v>19</v>
      </c>
      <c r="I1023" s="6">
        <f t="shared" si="19"/>
        <v>19</v>
      </c>
    </row>
    <row r="1024">
      <c r="A1024" s="1">
        <v>45716.0</v>
      </c>
      <c r="B1024" s="5" t="s">
        <v>85</v>
      </c>
      <c r="C1024" s="5" t="str">
        <f>IFERROR(VLOOKUP(B1024,'Overall Bean Summary'!A$2:B$36,2,FALSE),"")</f>
        <v>Good</v>
      </c>
      <c r="D1024" s="6">
        <f t="shared" si="14"/>
        <v>4</v>
      </c>
      <c r="E1024" s="6">
        <f t="shared" si="15"/>
        <v>0</v>
      </c>
      <c r="F1024" s="5">
        <f t="shared" si="16"/>
        <v>1</v>
      </c>
      <c r="G1024" s="5">
        <f t="shared" si="17"/>
        <v>1</v>
      </c>
      <c r="H1024" s="5">
        <f t="shared" si="18"/>
        <v>20</v>
      </c>
      <c r="I1024" s="6">
        <f t="shared" si="19"/>
        <v>20</v>
      </c>
    </row>
    <row r="1025">
      <c r="A1025" s="1">
        <v>45716.0</v>
      </c>
      <c r="B1025" s="5" t="s">
        <v>63</v>
      </c>
      <c r="C1025" s="5" t="str">
        <f>IFERROR(VLOOKUP(B1025,'Overall Bean Summary'!A$2:B$36,2,FALSE),"")</f>
        <v>Bad</v>
      </c>
      <c r="D1025" s="6">
        <f t="shared" si="14"/>
        <v>0</v>
      </c>
      <c r="E1025" s="6">
        <f t="shared" si="15"/>
        <v>1</v>
      </c>
      <c r="F1025" s="5">
        <f t="shared" si="16"/>
        <v>1</v>
      </c>
      <c r="G1025" s="5">
        <f t="shared" si="17"/>
        <v>2</v>
      </c>
      <c r="H1025" s="5">
        <f t="shared" si="18"/>
        <v>21</v>
      </c>
      <c r="I1025" s="6">
        <f t="shared" si="19"/>
        <v>21</v>
      </c>
    </row>
    <row r="1026">
      <c r="A1026" s="1">
        <v>45716.0</v>
      </c>
      <c r="B1026" s="5" t="s">
        <v>14</v>
      </c>
      <c r="C1026" s="5" t="str">
        <f>IFERROR(VLOOKUP(B1026,'Overall Bean Summary'!A$2:B$36,2,FALSE),"")</f>
        <v>Bad</v>
      </c>
      <c r="D1026" s="6">
        <f t="shared" si="14"/>
        <v>0</v>
      </c>
      <c r="E1026" s="6">
        <f t="shared" si="15"/>
        <v>2</v>
      </c>
      <c r="F1026" s="5">
        <f t="shared" si="16"/>
        <v>1</v>
      </c>
      <c r="G1026" s="5">
        <f t="shared" si="17"/>
        <v>3</v>
      </c>
      <c r="H1026" s="5">
        <f t="shared" si="18"/>
        <v>22</v>
      </c>
      <c r="I1026" s="6">
        <f t="shared" si="19"/>
        <v>22</v>
      </c>
      <c r="L1026" s="5" t="s">
        <v>351</v>
      </c>
      <c r="Q1026" s="5" t="s">
        <v>16</v>
      </c>
      <c r="R1026" s="5" t="s">
        <v>21</v>
      </c>
      <c r="S1026" s="5" t="s">
        <v>16</v>
      </c>
      <c r="T1026" s="5" t="s">
        <v>21</v>
      </c>
    </row>
    <row r="1027">
      <c r="A1027" s="1">
        <v>45722.0</v>
      </c>
      <c r="B1027" s="5" t="s">
        <v>80</v>
      </c>
      <c r="C1027" s="5" t="str">
        <f>IFERROR(VLOOKUP(B1027,'Overall Bean Summary'!A$2:B$36,2,FALSE),"")</f>
        <v>Bad</v>
      </c>
      <c r="D1027" s="6">
        <f t="shared" si="14"/>
        <v>0</v>
      </c>
      <c r="E1027" s="6">
        <f t="shared" si="15"/>
        <v>3</v>
      </c>
      <c r="F1027" s="5">
        <f t="shared" si="16"/>
        <v>1</v>
      </c>
      <c r="G1027" s="5">
        <f t="shared" si="17"/>
        <v>1</v>
      </c>
      <c r="H1027" s="5">
        <f t="shared" si="18"/>
        <v>1</v>
      </c>
      <c r="I1027" s="6">
        <f t="shared" si="19"/>
        <v>23</v>
      </c>
      <c r="P1027" s="5" t="s">
        <v>173</v>
      </c>
      <c r="Q1027" s="24">
        <f>COUNTIF(C1027:C1043, "Good") + COUNTIF(C1046:C1047,"Good") + COUNTIF(C1049:C1101,"Good")</f>
        <v>20</v>
      </c>
      <c r="R1027" s="24">
        <f>COUNTIF(C1027:C1043, "Bad") + COUNTIF(C1046:C1047, "Bad") + COUNTIF(C1049:C1101, "Bad")</f>
        <v>52</v>
      </c>
      <c r="S1027" s="25">
        <f>Q1027/(Q1027+R1027)</f>
        <v>0.2777777778</v>
      </c>
      <c r="T1027" s="25">
        <f>R1027/(Q1027+R1027)</f>
        <v>0.7222222222</v>
      </c>
    </row>
    <row r="1028">
      <c r="A1028" s="1">
        <v>45723.0</v>
      </c>
      <c r="B1028" s="5" t="s">
        <v>80</v>
      </c>
      <c r="C1028" s="5" t="str">
        <f>IFERROR(VLOOKUP(B1028,'Overall Bean Summary'!A$2:B$36,2,FALSE),"")</f>
        <v>Bad</v>
      </c>
      <c r="D1028" s="6">
        <f t="shared" si="14"/>
        <v>0</v>
      </c>
      <c r="E1028" s="6">
        <f t="shared" si="15"/>
        <v>4</v>
      </c>
      <c r="F1028" s="5">
        <f t="shared" si="16"/>
        <v>2</v>
      </c>
      <c r="G1028" s="5">
        <f t="shared" si="17"/>
        <v>1</v>
      </c>
      <c r="H1028" s="5">
        <f t="shared" si="18"/>
        <v>2</v>
      </c>
      <c r="I1028" s="6">
        <f t="shared" si="19"/>
        <v>24</v>
      </c>
    </row>
    <row r="1029">
      <c r="A1029" s="1">
        <v>45726.0</v>
      </c>
      <c r="B1029" s="5" t="s">
        <v>58</v>
      </c>
      <c r="C1029" s="5" t="str">
        <f>IFERROR(VLOOKUP(B1029,'Overall Bean Summary'!A$2:B$36,2,FALSE),"")</f>
        <v>Bad</v>
      </c>
      <c r="D1029" s="6">
        <f t="shared" si="14"/>
        <v>0</v>
      </c>
      <c r="E1029" s="6">
        <f t="shared" si="15"/>
        <v>5</v>
      </c>
      <c r="F1029" s="5">
        <f t="shared" si="16"/>
        <v>1</v>
      </c>
      <c r="G1029" s="5">
        <f t="shared" si="17"/>
        <v>1</v>
      </c>
      <c r="H1029" s="5">
        <f t="shared" si="18"/>
        <v>3</v>
      </c>
      <c r="I1029" s="6">
        <f t="shared" si="19"/>
        <v>25</v>
      </c>
    </row>
    <row r="1030">
      <c r="A1030" s="1">
        <v>45729.0</v>
      </c>
      <c r="B1030" s="5" t="s">
        <v>80</v>
      </c>
      <c r="C1030" s="5" t="str">
        <f>IFERROR(VLOOKUP(B1030,'Overall Bean Summary'!A$2:B$36,2,FALSE),"")</f>
        <v>Bad</v>
      </c>
      <c r="D1030" s="6">
        <f t="shared" si="14"/>
        <v>0</v>
      </c>
      <c r="E1030" s="6">
        <f t="shared" si="15"/>
        <v>6</v>
      </c>
      <c r="F1030" s="5">
        <f t="shared" si="16"/>
        <v>1</v>
      </c>
      <c r="G1030" s="5">
        <f t="shared" si="17"/>
        <v>1</v>
      </c>
      <c r="H1030" s="5">
        <f t="shared" si="18"/>
        <v>4</v>
      </c>
      <c r="I1030" s="6">
        <f t="shared" si="19"/>
        <v>26</v>
      </c>
    </row>
    <row r="1031">
      <c r="A1031" s="1">
        <v>45730.0</v>
      </c>
      <c r="B1031" s="5" t="s">
        <v>44</v>
      </c>
      <c r="C1031" s="5" t="str">
        <f>IFERROR(VLOOKUP(B1031,'Overall Bean Summary'!A$2:B$36,2,FALSE),"")</f>
        <v>Good</v>
      </c>
      <c r="D1031" s="6">
        <f t="shared" si="14"/>
        <v>1</v>
      </c>
      <c r="E1031" s="6">
        <f t="shared" si="15"/>
        <v>0</v>
      </c>
      <c r="F1031" s="5">
        <f t="shared" si="16"/>
        <v>1</v>
      </c>
      <c r="G1031" s="5">
        <f t="shared" si="17"/>
        <v>1</v>
      </c>
      <c r="H1031" s="5">
        <f t="shared" si="18"/>
        <v>5</v>
      </c>
      <c r="I1031" s="6">
        <f t="shared" si="19"/>
        <v>27</v>
      </c>
    </row>
    <row r="1032">
      <c r="A1032" s="1">
        <v>45733.0</v>
      </c>
      <c r="B1032" s="5" t="s">
        <v>95</v>
      </c>
      <c r="C1032" s="5" t="str">
        <f>IFERROR(VLOOKUP(B1032,'Overall Bean Summary'!A$2:B$36,2,FALSE),"")</f>
        <v>Good</v>
      </c>
      <c r="D1032" s="6">
        <f t="shared" si="14"/>
        <v>2</v>
      </c>
      <c r="E1032" s="6">
        <f t="shared" si="15"/>
        <v>0</v>
      </c>
      <c r="F1032" s="5">
        <f t="shared" si="16"/>
        <v>1</v>
      </c>
      <c r="G1032" s="5">
        <f t="shared" si="17"/>
        <v>1</v>
      </c>
      <c r="H1032" s="5">
        <f t="shared" si="18"/>
        <v>6</v>
      </c>
      <c r="I1032" s="6">
        <f t="shared" si="19"/>
        <v>28</v>
      </c>
    </row>
    <row r="1033">
      <c r="A1033" s="1">
        <v>45736.0</v>
      </c>
      <c r="B1033" s="5" t="s">
        <v>53</v>
      </c>
      <c r="C1033" s="5" t="str">
        <f>IFERROR(VLOOKUP(B1033,'Overall Bean Summary'!A$2:B$36,2,FALSE),"")</f>
        <v>Good</v>
      </c>
      <c r="D1033" s="6">
        <f t="shared" si="14"/>
        <v>3</v>
      </c>
      <c r="E1033" s="6">
        <f t="shared" si="15"/>
        <v>0</v>
      </c>
      <c r="F1033" s="5">
        <f t="shared" si="16"/>
        <v>1</v>
      </c>
      <c r="G1033" s="5">
        <f t="shared" si="17"/>
        <v>1</v>
      </c>
      <c r="H1033" s="5">
        <f t="shared" si="18"/>
        <v>7</v>
      </c>
      <c r="I1033" s="6">
        <f t="shared" si="19"/>
        <v>29</v>
      </c>
    </row>
    <row r="1034">
      <c r="A1034" s="1">
        <v>45736.0</v>
      </c>
      <c r="B1034" s="5" t="s">
        <v>56</v>
      </c>
      <c r="C1034" s="5" t="str">
        <f>IFERROR(VLOOKUP(B1034,'Overall Bean Summary'!A$2:B$36,2,FALSE),"")</f>
        <v>Good</v>
      </c>
      <c r="D1034" s="6">
        <f t="shared" si="14"/>
        <v>4</v>
      </c>
      <c r="E1034" s="6">
        <f t="shared" si="15"/>
        <v>0</v>
      </c>
      <c r="F1034" s="5">
        <f t="shared" si="16"/>
        <v>1</v>
      </c>
      <c r="G1034" s="5">
        <f t="shared" si="17"/>
        <v>2</v>
      </c>
      <c r="H1034" s="5">
        <f t="shared" si="18"/>
        <v>8</v>
      </c>
      <c r="I1034" s="6">
        <f t="shared" si="19"/>
        <v>30</v>
      </c>
    </row>
    <row r="1035">
      <c r="A1035" s="1">
        <v>45736.0</v>
      </c>
      <c r="B1035" s="5" t="s">
        <v>14</v>
      </c>
      <c r="C1035" s="5" t="str">
        <f>IFERROR(VLOOKUP(B1035,'Overall Bean Summary'!A$2:B$36,2,FALSE),"")</f>
        <v>Bad</v>
      </c>
      <c r="D1035" s="6">
        <f t="shared" si="14"/>
        <v>0</v>
      </c>
      <c r="E1035" s="6">
        <f t="shared" si="15"/>
        <v>1</v>
      </c>
      <c r="F1035" s="5">
        <f t="shared" si="16"/>
        <v>1</v>
      </c>
      <c r="G1035" s="5">
        <f t="shared" si="17"/>
        <v>3</v>
      </c>
      <c r="H1035" s="5">
        <f t="shared" si="18"/>
        <v>9</v>
      </c>
      <c r="I1035" s="6">
        <f t="shared" si="19"/>
        <v>31</v>
      </c>
    </row>
    <row r="1036">
      <c r="A1036" s="1">
        <v>45740.0</v>
      </c>
      <c r="B1036" s="5" t="s">
        <v>58</v>
      </c>
      <c r="C1036" s="5" t="str">
        <f>IFERROR(VLOOKUP(B1036,'Overall Bean Summary'!A$2:B$36,2,FALSE),"")</f>
        <v>Bad</v>
      </c>
      <c r="D1036" s="6">
        <f t="shared" si="14"/>
        <v>0</v>
      </c>
      <c r="E1036" s="6">
        <f t="shared" si="15"/>
        <v>2</v>
      </c>
      <c r="F1036" s="5">
        <f t="shared" si="16"/>
        <v>1</v>
      </c>
      <c r="G1036" s="5">
        <f t="shared" si="17"/>
        <v>1</v>
      </c>
      <c r="H1036" s="5">
        <f t="shared" si="18"/>
        <v>10</v>
      </c>
      <c r="I1036" s="6">
        <f t="shared" si="19"/>
        <v>32</v>
      </c>
    </row>
    <row r="1037">
      <c r="A1037" s="1">
        <v>45742.0</v>
      </c>
      <c r="B1037" s="5" t="s">
        <v>69</v>
      </c>
      <c r="C1037" s="5" t="str">
        <f>IFERROR(VLOOKUP(B1037,'Overall Bean Summary'!A$2:B$36,2,FALSE),"")</f>
        <v>Bad</v>
      </c>
      <c r="D1037" s="6">
        <f t="shared" si="14"/>
        <v>0</v>
      </c>
      <c r="E1037" s="6">
        <f t="shared" si="15"/>
        <v>3</v>
      </c>
      <c r="F1037" s="5">
        <f t="shared" si="16"/>
        <v>1</v>
      </c>
      <c r="G1037" s="5">
        <f t="shared" si="17"/>
        <v>1</v>
      </c>
      <c r="H1037" s="5">
        <f t="shared" si="18"/>
        <v>11</v>
      </c>
      <c r="I1037" s="6">
        <f t="shared" si="19"/>
        <v>33</v>
      </c>
    </row>
    <row r="1038">
      <c r="A1038" s="1">
        <v>45742.0</v>
      </c>
      <c r="B1038" s="5" t="s">
        <v>72</v>
      </c>
      <c r="C1038" s="5" t="str">
        <f>IFERROR(VLOOKUP(B1038,'Overall Bean Summary'!A$2:B$36,2,FALSE),"")</f>
        <v>Bad</v>
      </c>
      <c r="D1038" s="6">
        <f t="shared" si="14"/>
        <v>0</v>
      </c>
      <c r="E1038" s="6">
        <f t="shared" si="15"/>
        <v>4</v>
      </c>
      <c r="F1038" s="5">
        <f t="shared" si="16"/>
        <v>1</v>
      </c>
      <c r="G1038" s="5">
        <f t="shared" si="17"/>
        <v>2</v>
      </c>
      <c r="H1038" s="5">
        <f t="shared" si="18"/>
        <v>12</v>
      </c>
      <c r="I1038" s="6">
        <f t="shared" si="19"/>
        <v>34</v>
      </c>
      <c r="L1038" s="5" t="s">
        <v>352</v>
      </c>
    </row>
    <row r="1039">
      <c r="A1039" s="1">
        <v>45742.0</v>
      </c>
      <c r="B1039" s="5" t="s">
        <v>40</v>
      </c>
      <c r="C1039" s="5" t="str">
        <f>IFERROR(VLOOKUP(B1039,'Overall Bean Summary'!A$2:B$36,2,FALSE),"")</f>
        <v>Bad</v>
      </c>
      <c r="D1039" s="6">
        <f t="shared" si="14"/>
        <v>0</v>
      </c>
      <c r="E1039" s="6">
        <f t="shared" si="15"/>
        <v>5</v>
      </c>
      <c r="F1039" s="5">
        <f t="shared" si="16"/>
        <v>1</v>
      </c>
      <c r="G1039" s="5">
        <f t="shared" si="17"/>
        <v>3</v>
      </c>
      <c r="H1039" s="5">
        <f t="shared" si="18"/>
        <v>13</v>
      </c>
      <c r="I1039" s="6">
        <f t="shared" si="19"/>
        <v>35</v>
      </c>
    </row>
    <row r="1040">
      <c r="A1040" s="1">
        <v>45743.0</v>
      </c>
      <c r="B1040" s="5" t="s">
        <v>72</v>
      </c>
      <c r="C1040" s="5" t="str">
        <f>IFERROR(VLOOKUP(B1040,'Overall Bean Summary'!A$2:B$36,2,FALSE),"")</f>
        <v>Bad</v>
      </c>
      <c r="D1040" s="6">
        <f t="shared" si="14"/>
        <v>0</v>
      </c>
      <c r="E1040" s="6">
        <f t="shared" si="15"/>
        <v>6</v>
      </c>
      <c r="F1040" s="5">
        <f t="shared" si="16"/>
        <v>1</v>
      </c>
      <c r="G1040" s="5">
        <f t="shared" si="17"/>
        <v>1</v>
      </c>
      <c r="H1040" s="5">
        <f t="shared" si="18"/>
        <v>14</v>
      </c>
      <c r="I1040" s="6">
        <f t="shared" si="19"/>
        <v>36</v>
      </c>
    </row>
    <row r="1041">
      <c r="A1041" s="1">
        <v>45749.0</v>
      </c>
      <c r="B1041" s="5" t="s">
        <v>29</v>
      </c>
      <c r="C1041" s="5" t="str">
        <f>IFERROR(VLOOKUP(B1041,'Overall Bean Summary'!A$2:B$36,2,FALSE),"")</f>
        <v>Good</v>
      </c>
      <c r="D1041" s="6">
        <f t="shared" si="14"/>
        <v>1</v>
      </c>
      <c r="E1041" s="6">
        <f t="shared" si="15"/>
        <v>0</v>
      </c>
      <c r="F1041" s="5">
        <f t="shared" si="16"/>
        <v>1</v>
      </c>
      <c r="G1041" s="5">
        <f t="shared" si="17"/>
        <v>1</v>
      </c>
      <c r="H1041" s="5">
        <f t="shared" si="18"/>
        <v>1</v>
      </c>
      <c r="I1041" s="6">
        <f t="shared" si="19"/>
        <v>37</v>
      </c>
    </row>
    <row r="1042">
      <c r="A1042" s="1">
        <v>45751.0</v>
      </c>
      <c r="B1042" s="5" t="s">
        <v>69</v>
      </c>
      <c r="C1042" s="5" t="str">
        <f>IFERROR(VLOOKUP(B1042,'Overall Bean Summary'!A$2:B$36,2,FALSE),"")</f>
        <v>Bad</v>
      </c>
      <c r="D1042" s="6">
        <f t="shared" si="14"/>
        <v>0</v>
      </c>
      <c r="E1042" s="6">
        <f t="shared" si="15"/>
        <v>1</v>
      </c>
      <c r="F1042" s="5">
        <f t="shared" si="16"/>
        <v>1</v>
      </c>
      <c r="G1042" s="5">
        <f t="shared" si="17"/>
        <v>1</v>
      </c>
      <c r="H1042" s="5">
        <f t="shared" si="18"/>
        <v>2</v>
      </c>
      <c r="I1042" s="6">
        <f t="shared" si="19"/>
        <v>38</v>
      </c>
    </row>
    <row r="1043">
      <c r="A1043" s="1">
        <v>45758.0</v>
      </c>
      <c r="B1043" s="5" t="s">
        <v>58</v>
      </c>
      <c r="C1043" s="5" t="str">
        <f>IFERROR(VLOOKUP(B1043,'Overall Bean Summary'!A$2:B$36,2,FALSE),"")</f>
        <v>Bad</v>
      </c>
      <c r="D1043" s="6">
        <f t="shared" si="14"/>
        <v>0</v>
      </c>
      <c r="E1043" s="6">
        <f t="shared" si="15"/>
        <v>2</v>
      </c>
      <c r="F1043" s="5">
        <f t="shared" si="16"/>
        <v>1</v>
      </c>
      <c r="G1043" s="5">
        <f t="shared" si="17"/>
        <v>1</v>
      </c>
      <c r="H1043" s="5">
        <f t="shared" si="18"/>
        <v>3</v>
      </c>
      <c r="I1043" s="6">
        <f t="shared" si="19"/>
        <v>39</v>
      </c>
      <c r="L1043" s="5" t="s">
        <v>353</v>
      </c>
      <c r="Q1043" s="5" t="s">
        <v>16</v>
      </c>
      <c r="R1043" s="5" t="s">
        <v>21</v>
      </c>
      <c r="S1043" s="5" t="s">
        <v>16</v>
      </c>
      <c r="T1043" s="5" t="s">
        <v>21</v>
      </c>
    </row>
    <row r="1044">
      <c r="A1044" s="1">
        <v>45758.0</v>
      </c>
      <c r="B1044" s="5" t="s">
        <v>134</v>
      </c>
      <c r="C1044" s="5" t="str">
        <f>IFERROR(VLOOKUP(B1044,'Overall Bean Summary'!A$2:B$36,2,FALSE),"")</f>
        <v>Good</v>
      </c>
      <c r="D1044" s="6">
        <f t="shared" si="14"/>
        <v>1</v>
      </c>
      <c r="E1044" s="6">
        <f t="shared" si="15"/>
        <v>0</v>
      </c>
      <c r="F1044" s="5">
        <f t="shared" si="16"/>
        <v>1</v>
      </c>
      <c r="G1044" s="5">
        <f t="shared" si="17"/>
        <v>2</v>
      </c>
      <c r="H1044" s="5">
        <f t="shared" si="18"/>
        <v>4</v>
      </c>
      <c r="I1044" s="6">
        <f t="shared" si="19"/>
        <v>40</v>
      </c>
      <c r="L1044" s="5" t="s">
        <v>354</v>
      </c>
      <c r="P1044" s="5" t="s">
        <v>173</v>
      </c>
      <c r="Q1044" s="24">
        <f>COUNTIF(C1044:C1045, "Good") + COUNTIF(C1048,"Good")</f>
        <v>1</v>
      </c>
      <c r="R1044" s="24">
        <f>COUNTIF(C1044:C1045, "Bad") + COUNTIF(C1048, "Bad")</f>
        <v>2</v>
      </c>
      <c r="S1044" s="25">
        <f>Q1044/(Q1044+R1044)</f>
        <v>0.3333333333</v>
      </c>
      <c r="T1044" s="25">
        <f>R1044/(Q1044+R1044)</f>
        <v>0.6666666667</v>
      </c>
    </row>
    <row r="1045">
      <c r="A1045" s="1">
        <v>45758.0</v>
      </c>
      <c r="B1045" s="5" t="s">
        <v>136</v>
      </c>
      <c r="C1045" s="5" t="str">
        <f>IFERROR(VLOOKUP(B1045,'Overall Bean Summary'!A$2:B$36,2,FALSE),"")</f>
        <v>Bad</v>
      </c>
      <c r="D1045" s="6">
        <f t="shared" si="14"/>
        <v>0</v>
      </c>
      <c r="E1045" s="6">
        <f t="shared" si="15"/>
        <v>1</v>
      </c>
      <c r="F1045" s="5">
        <f t="shared" si="16"/>
        <v>1</v>
      </c>
      <c r="G1045" s="5">
        <f t="shared" si="17"/>
        <v>3</v>
      </c>
      <c r="H1045" s="5">
        <f t="shared" si="18"/>
        <v>5</v>
      </c>
      <c r="I1045" s="6">
        <f t="shared" si="19"/>
        <v>41</v>
      </c>
      <c r="L1045" s="5" t="s">
        <v>355</v>
      </c>
    </row>
    <row r="1046">
      <c r="A1046" s="1">
        <v>45762.0</v>
      </c>
      <c r="B1046" s="5" t="s">
        <v>69</v>
      </c>
      <c r="C1046" s="5" t="str">
        <f>IFERROR(VLOOKUP(B1046,'Overall Bean Summary'!A$2:B$36,2,FALSE),"")</f>
        <v>Bad</v>
      </c>
      <c r="D1046" s="6">
        <f t="shared" si="14"/>
        <v>0</v>
      </c>
      <c r="E1046" s="6">
        <f t="shared" si="15"/>
        <v>2</v>
      </c>
      <c r="F1046" s="5">
        <f t="shared" si="16"/>
        <v>1</v>
      </c>
      <c r="G1046" s="5">
        <f t="shared" si="17"/>
        <v>1</v>
      </c>
      <c r="H1046" s="5">
        <f t="shared" si="18"/>
        <v>6</v>
      </c>
      <c r="I1046" s="6">
        <f t="shared" si="19"/>
        <v>42</v>
      </c>
      <c r="P1046" s="5" t="s">
        <v>356</v>
      </c>
    </row>
    <row r="1047">
      <c r="A1047" s="1">
        <v>45765.0</v>
      </c>
      <c r="B1047" s="5" t="s">
        <v>40</v>
      </c>
      <c r="C1047" s="5" t="str">
        <f>IFERROR(VLOOKUP(B1047,'Overall Bean Summary'!A$2:B$36,2,FALSE),"")</f>
        <v>Bad</v>
      </c>
      <c r="D1047" s="6">
        <f t="shared" si="14"/>
        <v>0</v>
      </c>
      <c r="E1047" s="6">
        <f t="shared" si="15"/>
        <v>3</v>
      </c>
      <c r="F1047" s="5">
        <f t="shared" si="16"/>
        <v>1</v>
      </c>
      <c r="G1047" s="5">
        <f t="shared" si="17"/>
        <v>1</v>
      </c>
      <c r="H1047" s="5">
        <f t="shared" si="18"/>
        <v>7</v>
      </c>
      <c r="I1047" s="6">
        <f t="shared" si="19"/>
        <v>43</v>
      </c>
      <c r="P1047" s="5" t="s">
        <v>357</v>
      </c>
    </row>
    <row r="1048">
      <c r="A1048" s="1">
        <v>45765.0</v>
      </c>
      <c r="B1048" s="5" t="s">
        <v>132</v>
      </c>
      <c r="C1048" s="5" t="str">
        <f>IFERROR(VLOOKUP(B1048,'Overall Bean Summary'!A$2:B$36,2,FALSE),"")</f>
        <v>Bad</v>
      </c>
      <c r="D1048" s="6">
        <f t="shared" si="14"/>
        <v>0</v>
      </c>
      <c r="E1048" s="6">
        <f t="shared" si="15"/>
        <v>4</v>
      </c>
      <c r="F1048" s="5">
        <f t="shared" si="16"/>
        <v>1</v>
      </c>
      <c r="G1048" s="5">
        <f t="shared" si="17"/>
        <v>2</v>
      </c>
      <c r="H1048" s="5">
        <f t="shared" si="18"/>
        <v>8</v>
      </c>
      <c r="I1048" s="6">
        <f t="shared" si="19"/>
        <v>44</v>
      </c>
      <c r="L1048" s="5" t="s">
        <v>354</v>
      </c>
      <c r="P1048" s="5" t="s">
        <v>20</v>
      </c>
    </row>
    <row r="1049">
      <c r="A1049" s="1">
        <v>45765.0</v>
      </c>
      <c r="B1049" s="5" t="s">
        <v>48</v>
      </c>
      <c r="C1049" s="5" t="str">
        <f>IFERROR(VLOOKUP(B1049,'Overall Bean Summary'!A$2:B$36,2,FALSE),"")</f>
        <v>Bad</v>
      </c>
      <c r="D1049" s="6">
        <f t="shared" si="14"/>
        <v>0</v>
      </c>
      <c r="E1049" s="6">
        <f t="shared" si="15"/>
        <v>5</v>
      </c>
      <c r="F1049" s="5">
        <f t="shared" si="16"/>
        <v>1</v>
      </c>
      <c r="G1049" s="5">
        <f t="shared" si="17"/>
        <v>3</v>
      </c>
      <c r="H1049" s="5">
        <f t="shared" si="18"/>
        <v>9</v>
      </c>
      <c r="I1049" s="6">
        <f t="shared" si="19"/>
        <v>45</v>
      </c>
      <c r="P1049" s="5" t="s">
        <v>357</v>
      </c>
    </row>
    <row r="1050">
      <c r="A1050" s="1">
        <v>45768.0</v>
      </c>
      <c r="B1050" s="5" t="s">
        <v>51</v>
      </c>
      <c r="C1050" s="5" t="str">
        <f>IFERROR(VLOOKUP(B1050,'Overall Bean Summary'!A$2:B$36,2,FALSE),"")</f>
        <v>Bad</v>
      </c>
      <c r="D1050" s="6">
        <f t="shared" si="14"/>
        <v>0</v>
      </c>
      <c r="E1050" s="6">
        <f t="shared" si="15"/>
        <v>6</v>
      </c>
      <c r="F1050" s="5">
        <f t="shared" si="16"/>
        <v>1</v>
      </c>
      <c r="G1050" s="5">
        <f t="shared" si="17"/>
        <v>1</v>
      </c>
      <c r="H1050" s="5">
        <f t="shared" si="18"/>
        <v>10</v>
      </c>
      <c r="I1050" s="6">
        <f t="shared" si="19"/>
        <v>46</v>
      </c>
      <c r="L1050" s="5" t="s">
        <v>358</v>
      </c>
    </row>
    <row r="1051">
      <c r="A1051" s="1">
        <v>45770.0</v>
      </c>
      <c r="B1051" s="5" t="s">
        <v>72</v>
      </c>
      <c r="C1051" s="5" t="str">
        <f>IFERROR(VLOOKUP(B1051,'Overall Bean Summary'!A$2:B$36,2,FALSE),"")</f>
        <v>Bad</v>
      </c>
      <c r="D1051" s="6">
        <f t="shared" si="14"/>
        <v>0</v>
      </c>
      <c r="E1051" s="6">
        <f t="shared" si="15"/>
        <v>7</v>
      </c>
      <c r="F1051" s="5">
        <f t="shared" si="16"/>
        <v>1</v>
      </c>
      <c r="G1051" s="5">
        <f t="shared" si="17"/>
        <v>1</v>
      </c>
      <c r="H1051" s="5">
        <f t="shared" si="18"/>
        <v>11</v>
      </c>
      <c r="I1051" s="6">
        <f t="shared" si="19"/>
        <v>47</v>
      </c>
    </row>
    <row r="1052">
      <c r="A1052" s="1">
        <v>45771.0</v>
      </c>
      <c r="B1052" s="5" t="s">
        <v>34</v>
      </c>
      <c r="C1052" s="5" t="str">
        <f>IFERROR(VLOOKUP(B1052,'Overall Bean Summary'!A$2:B$36,2,FALSE),"")</f>
        <v>Good</v>
      </c>
      <c r="D1052" s="6">
        <f t="shared" si="14"/>
        <v>1</v>
      </c>
      <c r="E1052" s="6">
        <f t="shared" si="15"/>
        <v>0</v>
      </c>
      <c r="F1052" s="5">
        <f t="shared" si="16"/>
        <v>1</v>
      </c>
      <c r="G1052" s="5">
        <f t="shared" si="17"/>
        <v>1</v>
      </c>
      <c r="H1052" s="5">
        <f t="shared" si="18"/>
        <v>12</v>
      </c>
      <c r="I1052" s="6">
        <f t="shared" si="19"/>
        <v>48</v>
      </c>
    </row>
    <row r="1053">
      <c r="A1053" s="1">
        <v>45771.0</v>
      </c>
      <c r="B1053" s="5" t="s">
        <v>72</v>
      </c>
      <c r="C1053" s="5" t="str">
        <f>IFERROR(VLOOKUP(B1053,'Overall Bean Summary'!A$2:B$36,2,FALSE),"")</f>
        <v>Bad</v>
      </c>
      <c r="D1053" s="6">
        <f t="shared" si="14"/>
        <v>0</v>
      </c>
      <c r="E1053" s="6">
        <f t="shared" si="15"/>
        <v>1</v>
      </c>
      <c r="F1053" s="5">
        <f t="shared" si="16"/>
        <v>1</v>
      </c>
      <c r="G1053" s="5">
        <f t="shared" si="17"/>
        <v>2</v>
      </c>
      <c r="H1053" s="5">
        <f t="shared" si="18"/>
        <v>13</v>
      </c>
      <c r="I1053" s="6">
        <f t="shared" si="19"/>
        <v>49</v>
      </c>
    </row>
    <row r="1054">
      <c r="A1054" s="1">
        <v>45771.0</v>
      </c>
      <c r="B1054" s="5" t="s">
        <v>14</v>
      </c>
      <c r="C1054" s="5" t="str">
        <f>IFERROR(VLOOKUP(B1054,'Overall Bean Summary'!A$2:B$36,2,FALSE),"")</f>
        <v>Bad</v>
      </c>
      <c r="D1054" s="6">
        <f t="shared" si="14"/>
        <v>0</v>
      </c>
      <c r="E1054" s="6">
        <f t="shared" si="15"/>
        <v>2</v>
      </c>
      <c r="F1054" s="5">
        <f t="shared" si="16"/>
        <v>1</v>
      </c>
      <c r="G1054" s="5">
        <f t="shared" si="17"/>
        <v>3</v>
      </c>
      <c r="H1054" s="5">
        <f t="shared" si="18"/>
        <v>14</v>
      </c>
      <c r="I1054" s="6">
        <f t="shared" si="19"/>
        <v>50</v>
      </c>
      <c r="L1054" s="5" t="s">
        <v>359</v>
      </c>
    </row>
    <row r="1055">
      <c r="A1055" s="1">
        <v>45775.0</v>
      </c>
      <c r="B1055" s="5" t="s">
        <v>58</v>
      </c>
      <c r="C1055" s="5" t="str">
        <f>IFERROR(VLOOKUP(B1055,'Overall Bean Summary'!A$2:B$36,2,FALSE),"")</f>
        <v>Bad</v>
      </c>
      <c r="D1055" s="6">
        <f t="shared" si="14"/>
        <v>0</v>
      </c>
      <c r="E1055" s="6">
        <f t="shared" si="15"/>
        <v>3</v>
      </c>
      <c r="F1055" s="5">
        <f t="shared" si="16"/>
        <v>1</v>
      </c>
      <c r="G1055" s="5">
        <f t="shared" si="17"/>
        <v>1</v>
      </c>
      <c r="H1055" s="5">
        <f t="shared" si="18"/>
        <v>15</v>
      </c>
      <c r="I1055" s="6">
        <f t="shared" si="19"/>
        <v>51</v>
      </c>
    </row>
    <row r="1056">
      <c r="A1056" s="1">
        <v>45775.0</v>
      </c>
      <c r="B1056" s="5" t="s">
        <v>95</v>
      </c>
      <c r="C1056" s="5" t="str">
        <f>IFERROR(VLOOKUP(B1056,'Overall Bean Summary'!A$2:B$36,2,FALSE),"")</f>
        <v>Good</v>
      </c>
      <c r="D1056" s="6">
        <f t="shared" si="14"/>
        <v>1</v>
      </c>
      <c r="E1056" s="6">
        <f t="shared" si="15"/>
        <v>0</v>
      </c>
      <c r="F1056" s="5">
        <f t="shared" si="16"/>
        <v>1</v>
      </c>
      <c r="G1056" s="5">
        <f t="shared" si="17"/>
        <v>2</v>
      </c>
      <c r="H1056" s="5">
        <f t="shared" si="18"/>
        <v>16</v>
      </c>
      <c r="I1056" s="6">
        <f t="shared" si="19"/>
        <v>52</v>
      </c>
    </row>
    <row r="1057">
      <c r="A1057" s="1">
        <v>45776.0</v>
      </c>
      <c r="B1057" s="5" t="s">
        <v>80</v>
      </c>
      <c r="C1057" s="5" t="str">
        <f>IFERROR(VLOOKUP(B1057,'Overall Bean Summary'!A$2:B$36,2,FALSE),"")</f>
        <v>Bad</v>
      </c>
      <c r="D1057" s="6">
        <f t="shared" si="14"/>
        <v>0</v>
      </c>
      <c r="E1057" s="6">
        <f t="shared" si="15"/>
        <v>1</v>
      </c>
      <c r="F1057" s="5">
        <f t="shared" si="16"/>
        <v>1</v>
      </c>
      <c r="G1057" s="5">
        <f t="shared" si="17"/>
        <v>1</v>
      </c>
      <c r="H1057" s="5">
        <f t="shared" si="18"/>
        <v>17</v>
      </c>
      <c r="I1057" s="6">
        <f t="shared" si="19"/>
        <v>53</v>
      </c>
    </row>
    <row r="1058">
      <c r="A1058" s="1">
        <v>45776.0</v>
      </c>
      <c r="B1058" s="5" t="s">
        <v>14</v>
      </c>
      <c r="C1058" s="5" t="str">
        <f>IFERROR(VLOOKUP(B1058,'Overall Bean Summary'!A$2:B$36,2,FALSE),"")</f>
        <v>Bad</v>
      </c>
      <c r="D1058" s="6">
        <f t="shared" si="14"/>
        <v>0</v>
      </c>
      <c r="E1058" s="6">
        <f t="shared" si="15"/>
        <v>2</v>
      </c>
      <c r="F1058" s="5">
        <f t="shared" si="16"/>
        <v>1</v>
      </c>
      <c r="G1058" s="5">
        <f t="shared" si="17"/>
        <v>2</v>
      </c>
      <c r="H1058" s="5">
        <f t="shared" si="18"/>
        <v>18</v>
      </c>
      <c r="I1058" s="6">
        <f t="shared" si="19"/>
        <v>54</v>
      </c>
    </row>
    <row r="1059">
      <c r="A1059" s="1">
        <v>45779.0</v>
      </c>
      <c r="B1059" s="5" t="s">
        <v>51</v>
      </c>
      <c r="C1059" s="5" t="str">
        <f>IFERROR(VLOOKUP(B1059,'Overall Bean Summary'!A$2:B$36,2,FALSE),"")</f>
        <v>Bad</v>
      </c>
      <c r="D1059" s="6">
        <f t="shared" si="14"/>
        <v>0</v>
      </c>
      <c r="E1059" s="6">
        <f t="shared" si="15"/>
        <v>3</v>
      </c>
      <c r="F1059" s="5">
        <f t="shared" si="16"/>
        <v>1</v>
      </c>
      <c r="G1059" s="5">
        <f t="shared" si="17"/>
        <v>1</v>
      </c>
      <c r="H1059" s="5">
        <f t="shared" si="18"/>
        <v>1</v>
      </c>
      <c r="I1059" s="6">
        <f t="shared" si="19"/>
        <v>55</v>
      </c>
    </row>
    <row r="1060">
      <c r="A1060" s="1">
        <v>45782.0</v>
      </c>
      <c r="B1060" s="5" t="s">
        <v>14</v>
      </c>
      <c r="C1060" s="5" t="str">
        <f>IFERROR(VLOOKUP(B1060,'Overall Bean Summary'!A$2:B$36,2,FALSE),"")</f>
        <v>Bad</v>
      </c>
      <c r="D1060" s="6">
        <f t="shared" si="14"/>
        <v>0</v>
      </c>
      <c r="E1060" s="6">
        <f t="shared" si="15"/>
        <v>4</v>
      </c>
      <c r="F1060" s="5">
        <f t="shared" si="16"/>
        <v>1</v>
      </c>
      <c r="G1060" s="5">
        <f t="shared" si="17"/>
        <v>1</v>
      </c>
      <c r="H1060" s="5">
        <f t="shared" si="18"/>
        <v>2</v>
      </c>
      <c r="I1060" s="6">
        <f t="shared" si="19"/>
        <v>56</v>
      </c>
    </row>
    <row r="1061">
      <c r="A1061" s="1">
        <v>45789.0</v>
      </c>
      <c r="B1061" s="5" t="s">
        <v>40</v>
      </c>
      <c r="C1061" s="5" t="str">
        <f>IFERROR(VLOOKUP(B1061,'Overall Bean Summary'!A$2:B$36,2,FALSE),"")</f>
        <v>Bad</v>
      </c>
      <c r="D1061" s="6">
        <f t="shared" si="14"/>
        <v>0</v>
      </c>
      <c r="E1061" s="6">
        <f t="shared" si="15"/>
        <v>5</v>
      </c>
      <c r="F1061" s="5">
        <f t="shared" si="16"/>
        <v>1</v>
      </c>
      <c r="G1061" s="5">
        <f t="shared" si="17"/>
        <v>1</v>
      </c>
      <c r="H1061" s="5">
        <f t="shared" si="18"/>
        <v>3</v>
      </c>
      <c r="I1061" s="6">
        <f t="shared" si="19"/>
        <v>57</v>
      </c>
    </row>
    <row r="1062">
      <c r="A1062" s="1">
        <v>45791.0</v>
      </c>
      <c r="B1062" s="5" t="s">
        <v>95</v>
      </c>
      <c r="C1062" s="5" t="str">
        <f>IFERROR(VLOOKUP(B1062,'Overall Bean Summary'!A$2:B$36,2,FALSE),"")</f>
        <v>Good</v>
      </c>
      <c r="D1062" s="6">
        <f t="shared" si="14"/>
        <v>1</v>
      </c>
      <c r="E1062" s="6">
        <f t="shared" si="15"/>
        <v>0</v>
      </c>
      <c r="F1062" s="5">
        <f t="shared" si="16"/>
        <v>1</v>
      </c>
      <c r="G1062" s="5">
        <f t="shared" si="17"/>
        <v>1</v>
      </c>
      <c r="H1062" s="5">
        <f t="shared" si="18"/>
        <v>4</v>
      </c>
      <c r="I1062" s="6">
        <f t="shared" si="19"/>
        <v>58</v>
      </c>
    </row>
    <row r="1063">
      <c r="A1063" s="1">
        <v>45792.0</v>
      </c>
      <c r="B1063" s="5" t="s">
        <v>40</v>
      </c>
      <c r="C1063" s="5" t="str">
        <f>IFERROR(VLOOKUP(B1063,'Overall Bean Summary'!A$2:B$36,2,FALSE),"")</f>
        <v>Bad</v>
      </c>
      <c r="D1063" s="6">
        <f t="shared" si="14"/>
        <v>0</v>
      </c>
      <c r="E1063" s="6">
        <f t="shared" si="15"/>
        <v>1</v>
      </c>
      <c r="F1063" s="5">
        <f t="shared" si="16"/>
        <v>1</v>
      </c>
      <c r="G1063" s="5">
        <f t="shared" si="17"/>
        <v>1</v>
      </c>
      <c r="H1063" s="5">
        <f t="shared" si="18"/>
        <v>5</v>
      </c>
      <c r="I1063" s="6">
        <f t="shared" si="19"/>
        <v>59</v>
      </c>
    </row>
    <row r="1064">
      <c r="A1064" s="1">
        <v>45798.0</v>
      </c>
      <c r="B1064" s="5" t="s">
        <v>95</v>
      </c>
      <c r="C1064" s="5" t="str">
        <f>IFERROR(VLOOKUP(B1064,'Overall Bean Summary'!A$2:B$36,2,FALSE),"")</f>
        <v>Good</v>
      </c>
      <c r="D1064" s="6">
        <f t="shared" si="14"/>
        <v>1</v>
      </c>
      <c r="E1064" s="6">
        <f t="shared" si="15"/>
        <v>0</v>
      </c>
      <c r="F1064" s="5">
        <f t="shared" si="16"/>
        <v>1</v>
      </c>
      <c r="G1064" s="5">
        <f t="shared" si="17"/>
        <v>1</v>
      </c>
      <c r="H1064" s="5">
        <f t="shared" si="18"/>
        <v>6</v>
      </c>
      <c r="I1064" s="6">
        <f t="shared" si="19"/>
        <v>60</v>
      </c>
    </row>
    <row r="1065">
      <c r="A1065" s="1">
        <v>45798.0</v>
      </c>
      <c r="B1065" s="5" t="s">
        <v>58</v>
      </c>
      <c r="C1065" s="5" t="str">
        <f>IFERROR(VLOOKUP(B1065,'Overall Bean Summary'!A$2:B$36,2,FALSE),"")</f>
        <v>Bad</v>
      </c>
      <c r="D1065" s="6">
        <f t="shared" si="14"/>
        <v>0</v>
      </c>
      <c r="E1065" s="6">
        <f t="shared" si="15"/>
        <v>1</v>
      </c>
      <c r="F1065" s="5">
        <f t="shared" si="16"/>
        <v>1</v>
      </c>
      <c r="G1065" s="5">
        <f t="shared" si="17"/>
        <v>2</v>
      </c>
      <c r="H1065" s="5">
        <f t="shared" si="18"/>
        <v>7</v>
      </c>
      <c r="I1065" s="6">
        <f t="shared" si="19"/>
        <v>61</v>
      </c>
    </row>
    <row r="1066">
      <c r="A1066" s="1">
        <v>45798.0</v>
      </c>
      <c r="B1066" s="5" t="s">
        <v>58</v>
      </c>
      <c r="C1066" s="5" t="str">
        <f>IFERROR(VLOOKUP(B1066,'Overall Bean Summary'!A$2:B$36,2,FALSE),"")</f>
        <v>Bad</v>
      </c>
      <c r="D1066" s="6">
        <f t="shared" si="14"/>
        <v>0</v>
      </c>
      <c r="E1066" s="6">
        <f t="shared" si="15"/>
        <v>2</v>
      </c>
      <c r="F1066" s="5">
        <f t="shared" si="16"/>
        <v>2</v>
      </c>
      <c r="G1066" s="5">
        <f t="shared" si="17"/>
        <v>3</v>
      </c>
      <c r="H1066" s="5">
        <f t="shared" si="18"/>
        <v>8</v>
      </c>
      <c r="I1066" s="6">
        <f t="shared" si="19"/>
        <v>62</v>
      </c>
    </row>
    <row r="1067">
      <c r="A1067" s="1">
        <v>45799.0</v>
      </c>
      <c r="B1067" s="5" t="s">
        <v>85</v>
      </c>
      <c r="C1067" s="5" t="str">
        <f>IFERROR(VLOOKUP(B1067,'Overall Bean Summary'!A$2:B$36,2,FALSE),"")</f>
        <v>Good</v>
      </c>
      <c r="D1067" s="6">
        <f t="shared" si="14"/>
        <v>1</v>
      </c>
      <c r="E1067" s="6">
        <f t="shared" si="15"/>
        <v>0</v>
      </c>
      <c r="F1067" s="5">
        <f t="shared" si="16"/>
        <v>1</v>
      </c>
      <c r="G1067" s="5">
        <f t="shared" si="17"/>
        <v>1</v>
      </c>
      <c r="H1067" s="5">
        <f t="shared" si="18"/>
        <v>9</v>
      </c>
      <c r="I1067" s="6">
        <f t="shared" si="19"/>
        <v>63</v>
      </c>
    </row>
    <row r="1068">
      <c r="A1068" s="1">
        <v>45799.0</v>
      </c>
      <c r="B1068" s="5" t="s">
        <v>58</v>
      </c>
      <c r="C1068" s="5" t="str">
        <f>IFERROR(VLOOKUP(B1068,'Overall Bean Summary'!A$2:B$36,2,FALSE),"")</f>
        <v>Bad</v>
      </c>
      <c r="D1068" s="6">
        <f t="shared" si="14"/>
        <v>0</v>
      </c>
      <c r="E1068" s="6">
        <f t="shared" si="15"/>
        <v>1</v>
      </c>
      <c r="F1068" s="5">
        <f t="shared" si="16"/>
        <v>1</v>
      </c>
      <c r="G1068" s="5">
        <f t="shared" si="17"/>
        <v>2</v>
      </c>
      <c r="H1068" s="5">
        <f t="shared" si="18"/>
        <v>10</v>
      </c>
      <c r="I1068" s="6">
        <f t="shared" si="19"/>
        <v>64</v>
      </c>
    </row>
    <row r="1069">
      <c r="A1069" s="1">
        <v>45803.0</v>
      </c>
      <c r="B1069" s="5" t="s">
        <v>44</v>
      </c>
      <c r="C1069" s="5" t="str">
        <f>IFERROR(VLOOKUP(B1069,'Overall Bean Summary'!A$2:B$36,2,FALSE),"")</f>
        <v>Good</v>
      </c>
      <c r="D1069" s="6">
        <f t="shared" si="14"/>
        <v>1</v>
      </c>
      <c r="E1069" s="6">
        <f t="shared" si="15"/>
        <v>0</v>
      </c>
      <c r="F1069" s="5">
        <f t="shared" si="16"/>
        <v>1</v>
      </c>
      <c r="G1069" s="5">
        <f t="shared" si="17"/>
        <v>1</v>
      </c>
      <c r="H1069" s="5">
        <f t="shared" si="18"/>
        <v>11</v>
      </c>
      <c r="I1069" s="6">
        <f t="shared" si="19"/>
        <v>65</v>
      </c>
    </row>
    <row r="1070">
      <c r="A1070" s="1">
        <v>45803.0</v>
      </c>
      <c r="B1070" s="5" t="s">
        <v>69</v>
      </c>
      <c r="C1070" s="5" t="str">
        <f>IFERROR(VLOOKUP(B1070,'Overall Bean Summary'!A$2:B$36,2,FALSE),"")</f>
        <v>Bad</v>
      </c>
      <c r="D1070" s="6">
        <f t="shared" si="14"/>
        <v>0</v>
      </c>
      <c r="E1070" s="6">
        <f t="shared" si="15"/>
        <v>1</v>
      </c>
      <c r="F1070" s="5">
        <f t="shared" si="16"/>
        <v>1</v>
      </c>
      <c r="G1070" s="5">
        <f t="shared" si="17"/>
        <v>2</v>
      </c>
      <c r="H1070" s="5">
        <f t="shared" si="18"/>
        <v>12</v>
      </c>
      <c r="I1070" s="6">
        <f t="shared" si="19"/>
        <v>66</v>
      </c>
    </row>
    <row r="1071">
      <c r="A1071" s="1">
        <v>45803.0</v>
      </c>
      <c r="B1071" s="5" t="s">
        <v>48</v>
      </c>
      <c r="C1071" s="5" t="str">
        <f>IFERROR(VLOOKUP(B1071,'Overall Bean Summary'!A$2:B$36,2,FALSE),"")</f>
        <v>Bad</v>
      </c>
      <c r="D1071" s="6">
        <f t="shared" si="14"/>
        <v>0</v>
      </c>
      <c r="E1071" s="6">
        <f t="shared" si="15"/>
        <v>2</v>
      </c>
      <c r="F1071" s="5">
        <f t="shared" si="16"/>
        <v>1</v>
      </c>
      <c r="G1071" s="5">
        <f t="shared" si="17"/>
        <v>3</v>
      </c>
      <c r="H1071" s="5">
        <f t="shared" si="18"/>
        <v>13</v>
      </c>
      <c r="I1071" s="6">
        <f t="shared" si="19"/>
        <v>67</v>
      </c>
    </row>
    <row r="1072">
      <c r="A1072" s="1">
        <v>45806.0</v>
      </c>
      <c r="B1072" s="5" t="s">
        <v>34</v>
      </c>
      <c r="C1072" s="5" t="str">
        <f>IFERROR(VLOOKUP(B1072,'Overall Bean Summary'!A$2:B$36,2,FALSE),"")</f>
        <v>Good</v>
      </c>
      <c r="D1072" s="6">
        <f t="shared" si="14"/>
        <v>1</v>
      </c>
      <c r="E1072" s="6">
        <f t="shared" si="15"/>
        <v>0</v>
      </c>
      <c r="F1072" s="5">
        <f t="shared" si="16"/>
        <v>1</v>
      </c>
      <c r="G1072" s="5">
        <f t="shared" si="17"/>
        <v>1</v>
      </c>
      <c r="H1072" s="5">
        <f t="shared" si="18"/>
        <v>14</v>
      </c>
      <c r="I1072" s="6">
        <f t="shared" si="19"/>
        <v>68</v>
      </c>
    </row>
    <row r="1073">
      <c r="A1073" s="1">
        <v>45826.0</v>
      </c>
      <c r="B1073" s="5" t="s">
        <v>80</v>
      </c>
      <c r="C1073" s="5" t="str">
        <f>IFERROR(VLOOKUP(B1073,'Overall Bean Summary'!A$2:B$36,2,FALSE),"")</f>
        <v>Bad</v>
      </c>
      <c r="D1073" s="6">
        <f t="shared" si="14"/>
        <v>0</v>
      </c>
      <c r="E1073" s="6">
        <f t="shared" si="15"/>
        <v>1</v>
      </c>
      <c r="F1073" s="5">
        <f t="shared" si="16"/>
        <v>1</v>
      </c>
      <c r="G1073" s="5">
        <f t="shared" si="17"/>
        <v>1</v>
      </c>
      <c r="H1073" s="5">
        <f t="shared" si="18"/>
        <v>1</v>
      </c>
      <c r="I1073" s="6">
        <f t="shared" si="19"/>
        <v>69</v>
      </c>
    </row>
    <row r="1074">
      <c r="A1074" s="1">
        <v>45828.0</v>
      </c>
      <c r="B1074" s="5" t="s">
        <v>69</v>
      </c>
      <c r="C1074" s="5" t="str">
        <f>IFERROR(VLOOKUP(B1074,'Overall Bean Summary'!A$2:B$36,2,FALSE),"")</f>
        <v>Bad</v>
      </c>
      <c r="D1074" s="6">
        <f t="shared" si="14"/>
        <v>0</v>
      </c>
      <c r="E1074" s="6">
        <f t="shared" si="15"/>
        <v>2</v>
      </c>
      <c r="F1074" s="5">
        <f t="shared" si="16"/>
        <v>1</v>
      </c>
      <c r="G1074" s="5">
        <f t="shared" si="17"/>
        <v>1</v>
      </c>
      <c r="H1074" s="5">
        <f t="shared" si="18"/>
        <v>2</v>
      </c>
      <c r="I1074" s="6">
        <f t="shared" si="19"/>
        <v>70</v>
      </c>
    </row>
    <row r="1075">
      <c r="A1075" s="1">
        <v>45841.0</v>
      </c>
      <c r="B1075" s="5" t="s">
        <v>40</v>
      </c>
      <c r="C1075" s="5" t="str">
        <f>IFERROR(VLOOKUP(B1075,'Overall Bean Summary'!A$2:B$36,2,FALSE),"")</f>
        <v>Bad</v>
      </c>
      <c r="D1075" s="6">
        <f t="shared" si="14"/>
        <v>0</v>
      </c>
      <c r="E1075" s="6">
        <f t="shared" si="15"/>
        <v>3</v>
      </c>
      <c r="F1075" s="5">
        <f t="shared" si="16"/>
        <v>1</v>
      </c>
      <c r="G1075" s="5">
        <f t="shared" si="17"/>
        <v>1</v>
      </c>
      <c r="H1075" s="5">
        <f t="shared" si="18"/>
        <v>1</v>
      </c>
      <c r="I1075" s="6">
        <f t="shared" si="19"/>
        <v>71</v>
      </c>
      <c r="L1075" s="5" t="s">
        <v>360</v>
      </c>
    </row>
    <row r="1076">
      <c r="A1076" s="1">
        <v>45841.0</v>
      </c>
      <c r="B1076" s="5" t="s">
        <v>59</v>
      </c>
      <c r="C1076" s="5" t="str">
        <f>IFERROR(VLOOKUP(B1076,'Overall Bean Summary'!A$2:B$36,2,FALSE),"")</f>
        <v>Good</v>
      </c>
      <c r="D1076" s="6">
        <f t="shared" si="14"/>
        <v>1</v>
      </c>
      <c r="E1076" s="6">
        <f t="shared" si="15"/>
        <v>0</v>
      </c>
      <c r="F1076" s="5">
        <f t="shared" si="16"/>
        <v>1</v>
      </c>
      <c r="G1076" s="5">
        <f t="shared" si="17"/>
        <v>2</v>
      </c>
      <c r="H1076" s="5">
        <f t="shared" si="18"/>
        <v>2</v>
      </c>
      <c r="I1076" s="6">
        <f t="shared" si="19"/>
        <v>72</v>
      </c>
      <c r="L1076" s="5" t="s">
        <v>361</v>
      </c>
    </row>
    <row r="1077">
      <c r="A1077" s="1">
        <v>45842.0</v>
      </c>
      <c r="B1077" s="5" t="s">
        <v>40</v>
      </c>
      <c r="C1077" s="5" t="str">
        <f>IFERROR(VLOOKUP(B1077,'Overall Bean Summary'!A$2:B$36,2,FALSE),"")</f>
        <v>Bad</v>
      </c>
      <c r="D1077" s="6">
        <f t="shared" si="14"/>
        <v>0</v>
      </c>
      <c r="E1077" s="6">
        <f t="shared" si="15"/>
        <v>1</v>
      </c>
      <c r="F1077" s="5">
        <f t="shared" si="16"/>
        <v>1</v>
      </c>
      <c r="G1077" s="5">
        <f t="shared" si="17"/>
        <v>1</v>
      </c>
      <c r="H1077" s="5">
        <f t="shared" si="18"/>
        <v>3</v>
      </c>
      <c r="I1077" s="6">
        <f t="shared" si="19"/>
        <v>73</v>
      </c>
      <c r="L1077" s="5" t="s">
        <v>362</v>
      </c>
    </row>
    <row r="1078">
      <c r="A1078" s="1">
        <v>45842.0</v>
      </c>
      <c r="B1078" s="5" t="s">
        <v>63</v>
      </c>
      <c r="C1078" s="5" t="str">
        <f>IFERROR(VLOOKUP(B1078,'Overall Bean Summary'!A$2:B$36,2,FALSE),"")</f>
        <v>Bad</v>
      </c>
      <c r="D1078" s="6">
        <f t="shared" si="14"/>
        <v>0</v>
      </c>
      <c r="E1078" s="6">
        <f t="shared" si="15"/>
        <v>2</v>
      </c>
      <c r="F1078" s="5">
        <f t="shared" si="16"/>
        <v>1</v>
      </c>
      <c r="G1078" s="5">
        <f t="shared" si="17"/>
        <v>2</v>
      </c>
      <c r="H1078" s="5">
        <f t="shared" si="18"/>
        <v>4</v>
      </c>
      <c r="I1078" s="6">
        <f t="shared" si="19"/>
        <v>74</v>
      </c>
    </row>
    <row r="1079">
      <c r="A1079" s="1">
        <v>45842.0</v>
      </c>
      <c r="B1079" s="5" t="s">
        <v>69</v>
      </c>
      <c r="C1079" s="5" t="str">
        <f>IFERROR(VLOOKUP(B1079,'Overall Bean Summary'!A$2:B$36,2,FALSE),"")</f>
        <v>Bad</v>
      </c>
      <c r="D1079" s="6">
        <f t="shared" si="14"/>
        <v>0</v>
      </c>
      <c r="E1079" s="6">
        <f t="shared" si="15"/>
        <v>3</v>
      </c>
      <c r="F1079" s="5">
        <f t="shared" si="16"/>
        <v>1</v>
      </c>
      <c r="G1079" s="5">
        <f t="shared" si="17"/>
        <v>3</v>
      </c>
      <c r="H1079" s="5">
        <f t="shared" si="18"/>
        <v>5</v>
      </c>
      <c r="I1079" s="6">
        <f t="shared" si="19"/>
        <v>75</v>
      </c>
      <c r="L1079" s="5" t="s">
        <v>363</v>
      </c>
    </row>
    <row r="1080">
      <c r="A1080" s="1">
        <v>45852.0</v>
      </c>
      <c r="B1080" s="5" t="s">
        <v>80</v>
      </c>
      <c r="C1080" s="5" t="str">
        <f>IFERROR(VLOOKUP(B1080,'Overall Bean Summary'!A$2:B$36,2,FALSE),"")</f>
        <v>Bad</v>
      </c>
      <c r="D1080" s="6">
        <f t="shared" si="14"/>
        <v>0</v>
      </c>
      <c r="E1080" s="6">
        <f t="shared" si="15"/>
        <v>4</v>
      </c>
      <c r="F1080" s="5">
        <f t="shared" si="16"/>
        <v>1</v>
      </c>
      <c r="G1080" s="5">
        <f t="shared" si="17"/>
        <v>1</v>
      </c>
      <c r="H1080" s="5">
        <f t="shared" si="18"/>
        <v>6</v>
      </c>
      <c r="I1080" s="6">
        <f t="shared" si="19"/>
        <v>76</v>
      </c>
    </row>
    <row r="1081">
      <c r="A1081" s="1">
        <v>45854.0</v>
      </c>
      <c r="B1081" s="5" t="s">
        <v>14</v>
      </c>
      <c r="C1081" s="5" t="str">
        <f>IFERROR(VLOOKUP(B1081,'Overall Bean Summary'!A$2:B$36,2,FALSE),"")</f>
        <v>Bad</v>
      </c>
      <c r="D1081" s="6">
        <f t="shared" si="14"/>
        <v>0</v>
      </c>
      <c r="E1081" s="6">
        <f t="shared" si="15"/>
        <v>5</v>
      </c>
      <c r="F1081" s="5">
        <f t="shared" si="16"/>
        <v>1</v>
      </c>
      <c r="G1081" s="5">
        <f t="shared" si="17"/>
        <v>1</v>
      </c>
      <c r="H1081" s="5">
        <f t="shared" si="18"/>
        <v>7</v>
      </c>
      <c r="I1081" s="6">
        <f t="shared" si="19"/>
        <v>77</v>
      </c>
    </row>
    <row r="1082">
      <c r="A1082" s="1">
        <v>45856.0</v>
      </c>
      <c r="B1082" s="5" t="s">
        <v>63</v>
      </c>
      <c r="C1082" s="5" t="str">
        <f>IFERROR(VLOOKUP(B1082,'Overall Bean Summary'!A$2:B$36,2,FALSE),"")</f>
        <v>Bad</v>
      </c>
      <c r="D1082" s="6">
        <f t="shared" si="14"/>
        <v>0</v>
      </c>
      <c r="E1082" s="6">
        <f t="shared" si="15"/>
        <v>6</v>
      </c>
      <c r="F1082" s="5">
        <f t="shared" si="16"/>
        <v>1</v>
      </c>
      <c r="G1082" s="5">
        <f t="shared" si="17"/>
        <v>1</v>
      </c>
      <c r="H1082" s="5">
        <f t="shared" si="18"/>
        <v>8</v>
      </c>
      <c r="I1082" s="6">
        <f t="shared" si="19"/>
        <v>78</v>
      </c>
    </row>
    <row r="1083">
      <c r="A1083" s="1">
        <v>45859.0</v>
      </c>
      <c r="B1083" s="5" t="s">
        <v>14</v>
      </c>
      <c r="C1083" s="5" t="str">
        <f>IFERROR(VLOOKUP(B1083,'Overall Bean Summary'!A$2:B$36,2,FALSE),"")</f>
        <v>Bad</v>
      </c>
      <c r="D1083" s="6">
        <f t="shared" si="14"/>
        <v>0</v>
      </c>
      <c r="E1083" s="6">
        <f t="shared" si="15"/>
        <v>7</v>
      </c>
      <c r="F1083" s="5">
        <f t="shared" si="16"/>
        <v>1</v>
      </c>
      <c r="G1083" s="5">
        <f t="shared" si="17"/>
        <v>1</v>
      </c>
      <c r="H1083" s="5">
        <f t="shared" si="18"/>
        <v>9</v>
      </c>
      <c r="I1083" s="6">
        <f t="shared" si="19"/>
        <v>79</v>
      </c>
      <c r="L1083" s="5"/>
    </row>
    <row r="1084">
      <c r="A1084" s="1">
        <v>45861.0</v>
      </c>
      <c r="B1084" s="5" t="s">
        <v>85</v>
      </c>
      <c r="C1084" s="5" t="str">
        <f>IFERROR(VLOOKUP(B1084,'Overall Bean Summary'!A$2:B$36,2,FALSE),"")</f>
        <v>Good</v>
      </c>
      <c r="D1084" s="6">
        <f t="shared" si="14"/>
        <v>1</v>
      </c>
      <c r="E1084" s="6">
        <f t="shared" si="15"/>
        <v>0</v>
      </c>
      <c r="F1084" s="5">
        <f t="shared" si="16"/>
        <v>1</v>
      </c>
      <c r="G1084" s="5">
        <f t="shared" si="17"/>
        <v>1</v>
      </c>
      <c r="H1084" s="5">
        <f t="shared" si="18"/>
        <v>10</v>
      </c>
      <c r="I1084" s="6">
        <f t="shared" si="19"/>
        <v>80</v>
      </c>
      <c r="L1084" s="5" t="s">
        <v>364</v>
      </c>
    </row>
    <row r="1085">
      <c r="A1085" s="1">
        <v>45863.0</v>
      </c>
      <c r="B1085" s="5" t="s">
        <v>80</v>
      </c>
      <c r="C1085" s="5" t="str">
        <f>IFERROR(VLOOKUP(B1085,'Overall Bean Summary'!A$2:B$36,2,FALSE),"")</f>
        <v>Bad</v>
      </c>
      <c r="D1085" s="6">
        <f t="shared" si="14"/>
        <v>0</v>
      </c>
      <c r="E1085" s="6">
        <f t="shared" si="15"/>
        <v>1</v>
      </c>
      <c r="F1085" s="5">
        <f t="shared" si="16"/>
        <v>1</v>
      </c>
      <c r="G1085" s="5">
        <f t="shared" si="17"/>
        <v>1</v>
      </c>
      <c r="H1085" s="5">
        <f t="shared" si="18"/>
        <v>11</v>
      </c>
      <c r="I1085" s="6">
        <f t="shared" si="19"/>
        <v>81</v>
      </c>
      <c r="L1085" s="5" t="s">
        <v>365</v>
      </c>
    </row>
    <row r="1086">
      <c r="A1086" s="1">
        <v>45863.0</v>
      </c>
      <c r="B1086" s="5" t="s">
        <v>48</v>
      </c>
      <c r="C1086" s="5" t="str">
        <f>IFERROR(VLOOKUP(B1086,'Overall Bean Summary'!A$2:B$36,2,FALSE),"")</f>
        <v>Bad</v>
      </c>
      <c r="D1086" s="6">
        <f t="shared" si="14"/>
        <v>0</v>
      </c>
      <c r="E1086" s="6">
        <f t="shared" si="15"/>
        <v>2</v>
      </c>
      <c r="F1086" s="5">
        <f t="shared" si="16"/>
        <v>1</v>
      </c>
      <c r="G1086" s="5">
        <f t="shared" si="17"/>
        <v>2</v>
      </c>
      <c r="H1086" s="5">
        <f t="shared" si="18"/>
        <v>12</v>
      </c>
      <c r="I1086" s="6">
        <f t="shared" si="19"/>
        <v>82</v>
      </c>
    </row>
    <row r="1087">
      <c r="A1087" s="1">
        <v>45890.0</v>
      </c>
      <c r="B1087" s="5" t="s">
        <v>69</v>
      </c>
      <c r="C1087" s="5" t="str">
        <f>IFERROR(VLOOKUP(B1087,'Overall Bean Summary'!A$2:B$36,2,FALSE),"")</f>
        <v>Bad</v>
      </c>
      <c r="D1087" s="6">
        <f t="shared" si="14"/>
        <v>0</v>
      </c>
      <c r="E1087" s="6">
        <f t="shared" si="15"/>
        <v>3</v>
      </c>
      <c r="F1087" s="5">
        <f t="shared" si="16"/>
        <v>1</v>
      </c>
      <c r="G1087" s="5">
        <f t="shared" si="17"/>
        <v>1</v>
      </c>
      <c r="H1087" s="5">
        <f t="shared" si="18"/>
        <v>1</v>
      </c>
      <c r="I1087" s="6">
        <f t="shared" si="19"/>
        <v>83</v>
      </c>
    </row>
    <row r="1088">
      <c r="A1088" s="1">
        <v>45918.0</v>
      </c>
      <c r="B1088" s="5" t="s">
        <v>45</v>
      </c>
      <c r="C1088" s="5" t="str">
        <f>IFERROR(VLOOKUP(B1088,'Overall Bean Summary'!A$2:B$36,2,FALSE),"")</f>
        <v>Good</v>
      </c>
      <c r="D1088" s="6">
        <f t="shared" si="14"/>
        <v>1</v>
      </c>
      <c r="E1088" s="6">
        <f t="shared" si="15"/>
        <v>0</v>
      </c>
      <c r="F1088" s="5">
        <f t="shared" si="16"/>
        <v>1</v>
      </c>
      <c r="G1088" s="5">
        <f t="shared" si="17"/>
        <v>1</v>
      </c>
      <c r="H1088" s="5">
        <f t="shared" si="18"/>
        <v>1</v>
      </c>
      <c r="I1088" s="6">
        <f t="shared" si="19"/>
        <v>84</v>
      </c>
    </row>
    <row r="1089">
      <c r="A1089" s="1">
        <v>45919.0</v>
      </c>
      <c r="B1089" s="5" t="s">
        <v>48</v>
      </c>
      <c r="C1089" s="5" t="str">
        <f>IFERROR(VLOOKUP(B1089,'Overall Bean Summary'!A$2:B$36,2,FALSE),"")</f>
        <v>Bad</v>
      </c>
      <c r="D1089" s="6">
        <f t="shared" si="14"/>
        <v>0</v>
      </c>
      <c r="E1089" s="6">
        <f t="shared" si="15"/>
        <v>1</v>
      </c>
      <c r="F1089" s="5">
        <f t="shared" si="16"/>
        <v>1</v>
      </c>
      <c r="G1089" s="5">
        <f t="shared" si="17"/>
        <v>1</v>
      </c>
      <c r="H1089" s="5">
        <f t="shared" si="18"/>
        <v>2</v>
      </c>
      <c r="I1089" s="6">
        <f t="shared" si="19"/>
        <v>85</v>
      </c>
    </row>
    <row r="1090">
      <c r="A1090" s="1">
        <v>45926.0</v>
      </c>
      <c r="B1090" s="5" t="s">
        <v>95</v>
      </c>
      <c r="C1090" s="5" t="str">
        <f>IFERROR(VLOOKUP(B1090,'Overall Bean Summary'!A$2:B$36,2,FALSE),"")</f>
        <v>Good</v>
      </c>
      <c r="D1090" s="6">
        <f t="shared" si="14"/>
        <v>1</v>
      </c>
      <c r="E1090" s="6">
        <f t="shared" si="15"/>
        <v>0</v>
      </c>
      <c r="F1090" s="5">
        <f t="shared" si="16"/>
        <v>1</v>
      </c>
      <c r="G1090" s="5">
        <f t="shared" si="17"/>
        <v>1</v>
      </c>
      <c r="H1090" s="5">
        <f t="shared" si="18"/>
        <v>3</v>
      </c>
      <c r="I1090" s="6">
        <f t="shared" si="19"/>
        <v>86</v>
      </c>
    </row>
    <row r="1091">
      <c r="A1091" s="1">
        <v>45926.0</v>
      </c>
      <c r="B1091" s="5" t="s">
        <v>14</v>
      </c>
      <c r="C1091" s="5" t="str">
        <f>IFERROR(VLOOKUP(B1091,'Overall Bean Summary'!A$2:B$36,2,FALSE),"")</f>
        <v>Bad</v>
      </c>
      <c r="D1091" s="6">
        <f t="shared" si="14"/>
        <v>0</v>
      </c>
      <c r="E1091" s="6">
        <f t="shared" si="15"/>
        <v>1</v>
      </c>
      <c r="F1091" s="5">
        <f t="shared" si="16"/>
        <v>1</v>
      </c>
      <c r="G1091" s="5">
        <f t="shared" si="17"/>
        <v>2</v>
      </c>
      <c r="H1091" s="5">
        <f t="shared" si="18"/>
        <v>4</v>
      </c>
      <c r="I1091" s="6">
        <f t="shared" si="19"/>
        <v>87</v>
      </c>
    </row>
    <row r="1092">
      <c r="A1092" s="1">
        <v>45933.0</v>
      </c>
      <c r="B1092" s="5" t="s">
        <v>51</v>
      </c>
      <c r="C1092" s="5" t="str">
        <f>IFERROR(VLOOKUP(B1092,'Overall Bean Summary'!A$2:B$36,2,FALSE),"")</f>
        <v>Bad</v>
      </c>
      <c r="D1092" s="6">
        <f t="shared" si="14"/>
        <v>0</v>
      </c>
      <c r="E1092" s="6">
        <f t="shared" si="15"/>
        <v>2</v>
      </c>
      <c r="F1092" s="5">
        <f t="shared" si="16"/>
        <v>1</v>
      </c>
      <c r="G1092" s="5">
        <f t="shared" si="17"/>
        <v>1</v>
      </c>
      <c r="H1092" s="5">
        <f t="shared" si="18"/>
        <v>1</v>
      </c>
      <c r="I1092" s="6">
        <f t="shared" si="19"/>
        <v>88</v>
      </c>
    </row>
    <row r="1093">
      <c r="A1093" s="1">
        <v>45933.0</v>
      </c>
      <c r="B1093" s="5" t="s">
        <v>48</v>
      </c>
      <c r="C1093" s="5" t="str">
        <f>IFERROR(VLOOKUP(B1093,'Overall Bean Summary'!A$2:B$36,2,FALSE),"")</f>
        <v>Bad</v>
      </c>
      <c r="D1093" s="6">
        <f t="shared" si="14"/>
        <v>0</v>
      </c>
      <c r="E1093" s="6">
        <f t="shared" si="15"/>
        <v>3</v>
      </c>
      <c r="F1093" s="5">
        <f t="shared" si="16"/>
        <v>1</v>
      </c>
      <c r="G1093" s="5">
        <f t="shared" si="17"/>
        <v>2</v>
      </c>
      <c r="H1093" s="5">
        <f t="shared" si="18"/>
        <v>2</v>
      </c>
      <c r="I1093" s="6">
        <f t="shared" si="19"/>
        <v>89</v>
      </c>
    </row>
    <row r="1094">
      <c r="A1094" s="1">
        <v>45933.0</v>
      </c>
      <c r="B1094" s="5" t="s">
        <v>72</v>
      </c>
      <c r="C1094" s="5" t="str">
        <f>IFERROR(VLOOKUP(B1094,'Overall Bean Summary'!A$2:B$36,2,FALSE),"")</f>
        <v>Bad</v>
      </c>
      <c r="D1094" s="6">
        <f t="shared" si="14"/>
        <v>0</v>
      </c>
      <c r="E1094" s="6">
        <f t="shared" si="15"/>
        <v>4</v>
      </c>
      <c r="F1094" s="5">
        <f t="shared" si="16"/>
        <v>1</v>
      </c>
      <c r="G1094" s="5">
        <f t="shared" si="17"/>
        <v>3</v>
      </c>
      <c r="H1094" s="5">
        <f t="shared" si="18"/>
        <v>3</v>
      </c>
      <c r="I1094" s="6">
        <f t="shared" si="19"/>
        <v>90</v>
      </c>
    </row>
    <row r="1095">
      <c r="A1095" s="1">
        <v>45940.0</v>
      </c>
      <c r="B1095" s="5" t="s">
        <v>29</v>
      </c>
      <c r="C1095" s="5" t="str">
        <f>IFERROR(VLOOKUP(B1095,'Overall Bean Summary'!A$2:B$36,2,FALSE),"")</f>
        <v>Good</v>
      </c>
      <c r="D1095" s="6">
        <f t="shared" si="14"/>
        <v>1</v>
      </c>
      <c r="E1095" s="6">
        <f t="shared" si="15"/>
        <v>0</v>
      </c>
      <c r="F1095" s="5">
        <f t="shared" si="16"/>
        <v>1</v>
      </c>
      <c r="G1095" s="5">
        <f t="shared" si="17"/>
        <v>1</v>
      </c>
      <c r="H1095" s="5">
        <f t="shared" si="18"/>
        <v>4</v>
      </c>
      <c r="I1095" s="6">
        <f t="shared" si="19"/>
        <v>91</v>
      </c>
    </row>
    <row r="1096">
      <c r="A1096" s="1">
        <v>45940.0</v>
      </c>
      <c r="B1096" s="5" t="s">
        <v>58</v>
      </c>
      <c r="C1096" s="5" t="str">
        <f>IFERROR(VLOOKUP(B1096,'Overall Bean Summary'!A$2:B$36,2,FALSE),"")</f>
        <v>Bad</v>
      </c>
      <c r="D1096" s="6">
        <f t="shared" si="14"/>
        <v>0</v>
      </c>
      <c r="E1096" s="6">
        <f t="shared" si="15"/>
        <v>1</v>
      </c>
      <c r="F1096" s="5">
        <f t="shared" si="16"/>
        <v>1</v>
      </c>
      <c r="G1096" s="5">
        <f t="shared" si="17"/>
        <v>2</v>
      </c>
      <c r="H1096" s="5">
        <f t="shared" si="18"/>
        <v>5</v>
      </c>
      <c r="I1096" s="6">
        <f t="shared" si="19"/>
        <v>92</v>
      </c>
    </row>
    <row r="1097">
      <c r="A1097" s="1">
        <v>45946.0</v>
      </c>
      <c r="B1097" s="5" t="s">
        <v>14</v>
      </c>
      <c r="C1097" s="5" t="str">
        <f>IFERROR(VLOOKUP(B1097,'Overall Bean Summary'!A$2:B$36,2,FALSE),"")</f>
        <v>Bad</v>
      </c>
      <c r="D1097" s="6">
        <f t="shared" si="14"/>
        <v>0</v>
      </c>
      <c r="E1097" s="6">
        <f t="shared" si="15"/>
        <v>2</v>
      </c>
      <c r="F1097" s="5">
        <f t="shared" si="16"/>
        <v>1</v>
      </c>
      <c r="G1097" s="5">
        <f t="shared" si="17"/>
        <v>1</v>
      </c>
      <c r="H1097" s="5">
        <f t="shared" si="18"/>
        <v>6</v>
      </c>
      <c r="I1097" s="6">
        <f t="shared" si="19"/>
        <v>93</v>
      </c>
    </row>
    <row r="1098">
      <c r="A1098" s="1">
        <v>45967.0</v>
      </c>
      <c r="B1098" s="5" t="s">
        <v>80</v>
      </c>
      <c r="C1098" s="5" t="str">
        <f>IFERROR(VLOOKUP(B1098,'Overall Bean Summary'!A$2:B$36,2,FALSE),"")</f>
        <v>Bad</v>
      </c>
      <c r="D1098" s="6">
        <f t="shared" si="14"/>
        <v>0</v>
      </c>
      <c r="E1098" s="6">
        <f t="shared" si="15"/>
        <v>3</v>
      </c>
      <c r="F1098" s="5">
        <f t="shared" si="16"/>
        <v>1</v>
      </c>
      <c r="G1098" s="5">
        <f t="shared" si="17"/>
        <v>1</v>
      </c>
      <c r="H1098" s="5">
        <f t="shared" si="18"/>
        <v>1</v>
      </c>
      <c r="I1098" s="6">
        <f t="shared" si="19"/>
        <v>94</v>
      </c>
    </row>
    <row r="1099">
      <c r="A1099" s="1">
        <v>45967.0</v>
      </c>
      <c r="B1099" s="5" t="s">
        <v>56</v>
      </c>
      <c r="C1099" s="5" t="str">
        <f>IFERROR(VLOOKUP(B1099,'Overall Bean Summary'!A$2:B$36,2,FALSE),"")</f>
        <v>Good</v>
      </c>
      <c r="D1099" s="6">
        <f t="shared" si="14"/>
        <v>1</v>
      </c>
      <c r="E1099" s="6">
        <f t="shared" si="15"/>
        <v>0</v>
      </c>
      <c r="F1099" s="5">
        <f t="shared" si="16"/>
        <v>1</v>
      </c>
      <c r="G1099" s="5">
        <f t="shared" si="17"/>
        <v>2</v>
      </c>
      <c r="H1099" s="5">
        <f t="shared" si="18"/>
        <v>2</v>
      </c>
      <c r="I1099" s="6">
        <f t="shared" si="19"/>
        <v>95</v>
      </c>
    </row>
    <row r="1100">
      <c r="A1100" s="1">
        <v>45968.0</v>
      </c>
      <c r="B1100" s="5" t="s">
        <v>44</v>
      </c>
      <c r="C1100" s="5" t="str">
        <f>IFERROR(VLOOKUP(B1100,'Overall Bean Summary'!A$2:B$36,2,FALSE),"")</f>
        <v>Good</v>
      </c>
      <c r="D1100" s="6">
        <f t="shared" si="14"/>
        <v>2</v>
      </c>
      <c r="E1100" s="6">
        <f t="shared" si="15"/>
        <v>0</v>
      </c>
      <c r="F1100" s="5">
        <f t="shared" si="16"/>
        <v>1</v>
      </c>
      <c r="G1100" s="5">
        <f t="shared" si="17"/>
        <v>1</v>
      </c>
      <c r="H1100" s="5">
        <f t="shared" si="18"/>
        <v>3</v>
      </c>
      <c r="I1100" s="6">
        <f t="shared" si="19"/>
        <v>96</v>
      </c>
    </row>
    <row r="1101">
      <c r="A1101" s="1">
        <v>45968.0</v>
      </c>
      <c r="B1101" s="5" t="s">
        <v>95</v>
      </c>
      <c r="C1101" s="5" t="str">
        <f>IFERROR(VLOOKUP(B1101,'Overall Bean Summary'!A$2:B$36,2,FALSE),"")</f>
        <v>Good</v>
      </c>
      <c r="D1101" s="6">
        <f t="shared" si="14"/>
        <v>3</v>
      </c>
      <c r="E1101" s="6">
        <f t="shared" si="15"/>
        <v>0</v>
      </c>
      <c r="F1101" s="5">
        <f t="shared" si="16"/>
        <v>1</v>
      </c>
      <c r="G1101" s="5">
        <f t="shared" si="17"/>
        <v>2</v>
      </c>
      <c r="H1101" s="5">
        <f t="shared" si="18"/>
        <v>4</v>
      </c>
      <c r="I1101" s="6">
        <f t="shared" si="19"/>
        <v>97</v>
      </c>
    </row>
    <row r="1102">
      <c r="A1102" s="1">
        <v>45968.0</v>
      </c>
      <c r="B1102" s="5" t="s">
        <v>51</v>
      </c>
      <c r="C1102" s="5" t="str">
        <f>IFERROR(VLOOKUP(B1102,'Overall Bean Summary'!A$2:B$36,2,FALSE),"")</f>
        <v>Bad</v>
      </c>
      <c r="D1102" s="6">
        <f t="shared" si="14"/>
        <v>0</v>
      </c>
      <c r="E1102" s="6">
        <f t="shared" si="15"/>
        <v>1</v>
      </c>
      <c r="F1102" s="5">
        <f t="shared" si="16"/>
        <v>1</v>
      </c>
      <c r="G1102" s="5">
        <f t="shared" si="17"/>
        <v>3</v>
      </c>
      <c r="H1102" s="5">
        <f t="shared" si="18"/>
        <v>5</v>
      </c>
      <c r="I1102" s="6">
        <f t="shared" si="19"/>
        <v>98</v>
      </c>
    </row>
    <row r="1103">
      <c r="A1103" s="1">
        <v>45968.0</v>
      </c>
      <c r="B1103" s="5" t="s">
        <v>56</v>
      </c>
      <c r="C1103" s="5" t="str">
        <f>IFERROR(VLOOKUP(B1103,'Overall Bean Summary'!A$2:B$36,2,FALSE),"")</f>
        <v>Good</v>
      </c>
      <c r="D1103" s="6">
        <f t="shared" si="14"/>
        <v>1</v>
      </c>
      <c r="E1103" s="6">
        <f t="shared" si="15"/>
        <v>0</v>
      </c>
      <c r="F1103" s="5">
        <f t="shared" si="16"/>
        <v>1</v>
      </c>
      <c r="G1103" s="5">
        <f t="shared" si="17"/>
        <v>4</v>
      </c>
      <c r="H1103" s="5">
        <f t="shared" si="18"/>
        <v>6</v>
      </c>
      <c r="I1103" s="6">
        <f t="shared" si="19"/>
        <v>99</v>
      </c>
    </row>
    <row r="1104">
      <c r="A1104" s="1">
        <v>45968.0</v>
      </c>
      <c r="B1104" s="5" t="s">
        <v>58</v>
      </c>
      <c r="C1104" s="5" t="str">
        <f>IFERROR(VLOOKUP(B1104,'Overall Bean Summary'!A$2:B$36,2,FALSE),"")</f>
        <v>Bad</v>
      </c>
      <c r="D1104" s="6">
        <f t="shared" si="14"/>
        <v>0</v>
      </c>
      <c r="E1104" s="6">
        <f t="shared" si="15"/>
        <v>1</v>
      </c>
      <c r="F1104" s="5">
        <f t="shared" si="16"/>
        <v>1</v>
      </c>
      <c r="G1104" s="5">
        <f t="shared" si="17"/>
        <v>5</v>
      </c>
      <c r="H1104" s="5">
        <f t="shared" si="18"/>
        <v>7</v>
      </c>
      <c r="I1104" s="6">
        <f t="shared" si="19"/>
        <v>100</v>
      </c>
    </row>
    <row r="1105">
      <c r="A1105" s="1">
        <v>45981.0</v>
      </c>
      <c r="B1105" s="5" t="s">
        <v>14</v>
      </c>
      <c r="C1105" s="5" t="str">
        <f>IFERROR(VLOOKUP(B1105,'Overall Bean Summary'!A$2:B$36,2,FALSE),"")</f>
        <v>Bad</v>
      </c>
      <c r="D1105" s="6">
        <f t="shared" si="14"/>
        <v>0</v>
      </c>
      <c r="E1105" s="6">
        <f t="shared" si="15"/>
        <v>2</v>
      </c>
      <c r="F1105" s="5">
        <f t="shared" si="16"/>
        <v>1</v>
      </c>
      <c r="G1105" s="5">
        <f t="shared" si="17"/>
        <v>1</v>
      </c>
      <c r="H1105" s="5">
        <f t="shared" si="18"/>
        <v>8</v>
      </c>
      <c r="I1105" s="6">
        <f t="shared" si="19"/>
        <v>101</v>
      </c>
    </row>
    <row r="1106">
      <c r="A1106" s="1">
        <v>46015.0</v>
      </c>
      <c r="B1106" s="5" t="s">
        <v>29</v>
      </c>
      <c r="C1106" s="5" t="str">
        <f>IFERROR(VLOOKUP(B1106,'Overall Bean Summary'!A$2:B$36,2,FALSE),"")</f>
        <v>Good</v>
      </c>
      <c r="D1106" s="6">
        <f t="shared" si="14"/>
        <v>1</v>
      </c>
      <c r="E1106" s="6">
        <f t="shared" si="15"/>
        <v>0</v>
      </c>
      <c r="F1106" s="5">
        <f t="shared" si="16"/>
        <v>1</v>
      </c>
      <c r="G1106" s="5">
        <f t="shared" si="17"/>
        <v>1</v>
      </c>
      <c r="H1106" s="5">
        <f t="shared" si="18"/>
        <v>1</v>
      </c>
      <c r="I1106" s="6">
        <f t="shared" si="19"/>
        <v>102</v>
      </c>
    </row>
    <row r="1107">
      <c r="A1107" s="1">
        <v>46020.0</v>
      </c>
      <c r="B1107" s="5" t="s">
        <v>51</v>
      </c>
      <c r="C1107" s="5" t="str">
        <f>IFERROR(VLOOKUP(B1107,'Overall Bean Summary'!A$2:B$36,2,FALSE),"")</f>
        <v>Bad</v>
      </c>
      <c r="D1107" s="6">
        <f t="shared" si="14"/>
        <v>0</v>
      </c>
      <c r="E1107" s="6">
        <f t="shared" si="15"/>
        <v>1</v>
      </c>
      <c r="F1107" s="5">
        <f t="shared" si="16"/>
        <v>1</v>
      </c>
      <c r="G1107" s="5">
        <f t="shared" si="17"/>
        <v>1</v>
      </c>
      <c r="H1107" s="5">
        <f t="shared" si="18"/>
        <v>2</v>
      </c>
      <c r="I1107" s="6">
        <f t="shared" si="19"/>
        <v>103</v>
      </c>
    </row>
    <row r="1108">
      <c r="A1108" s="1">
        <v>46020.0</v>
      </c>
      <c r="B1108" s="5" t="s">
        <v>63</v>
      </c>
      <c r="C1108" s="5" t="str">
        <f>IFERROR(VLOOKUP(B1108,'Overall Bean Summary'!A$2:B$36,2,FALSE),"")</f>
        <v>Bad</v>
      </c>
      <c r="D1108" s="6">
        <f t="shared" si="14"/>
        <v>0</v>
      </c>
      <c r="E1108" s="6">
        <f t="shared" si="15"/>
        <v>2</v>
      </c>
      <c r="F1108" s="5">
        <f t="shared" si="16"/>
        <v>1</v>
      </c>
      <c r="G1108" s="5">
        <f t="shared" si="17"/>
        <v>2</v>
      </c>
      <c r="H1108" s="5">
        <f t="shared" si="18"/>
        <v>3</v>
      </c>
      <c r="I1108" s="6">
        <f t="shared" si="19"/>
        <v>104</v>
      </c>
    </row>
    <row r="1109">
      <c r="A1109" s="1">
        <v>46020.0</v>
      </c>
      <c r="B1109" s="5" t="s">
        <v>85</v>
      </c>
      <c r="C1109" s="5" t="str">
        <f>IFERROR(VLOOKUP(B1109,'Overall Bean Summary'!A$2:B$36,2,FALSE),"")</f>
        <v>Good</v>
      </c>
      <c r="D1109" s="6">
        <f t="shared" si="14"/>
        <v>1</v>
      </c>
      <c r="E1109" s="6">
        <f t="shared" si="15"/>
        <v>0</v>
      </c>
      <c r="F1109" s="5">
        <f t="shared" si="16"/>
        <v>1</v>
      </c>
      <c r="G1109" s="5">
        <f t="shared" si="17"/>
        <v>3</v>
      </c>
      <c r="H1109" s="5">
        <f t="shared" si="18"/>
        <v>4</v>
      </c>
      <c r="I1109" s="6">
        <f t="shared" si="19"/>
        <v>105</v>
      </c>
    </row>
    <row r="1110">
      <c r="A1110" s="1">
        <v>46020.0</v>
      </c>
      <c r="B1110" s="5" t="s">
        <v>134</v>
      </c>
      <c r="C1110" s="5" t="str">
        <f>IFERROR(VLOOKUP(B1110,'Overall Bean Summary'!A$2:B$36,2,FALSE),"")</f>
        <v>Good</v>
      </c>
      <c r="D1110" s="6">
        <f t="shared" si="14"/>
        <v>2</v>
      </c>
      <c r="E1110" s="6">
        <f t="shared" si="15"/>
        <v>0</v>
      </c>
      <c r="F1110" s="5">
        <f t="shared" si="16"/>
        <v>1</v>
      </c>
      <c r="G1110" s="5">
        <f t="shared" si="17"/>
        <v>4</v>
      </c>
      <c r="H1110" s="5">
        <f t="shared" si="18"/>
        <v>5</v>
      </c>
      <c r="I1110" s="6">
        <f t="shared" si="19"/>
        <v>106</v>
      </c>
    </row>
    <row r="1111">
      <c r="A1111" s="1">
        <v>46020.0</v>
      </c>
      <c r="B1111" s="5" t="s">
        <v>95</v>
      </c>
      <c r="C1111" s="5" t="str">
        <f>IFERROR(VLOOKUP(B1111,'Overall Bean Summary'!A$2:B$36,2,FALSE),"")</f>
        <v>Good</v>
      </c>
      <c r="D1111" s="6">
        <f t="shared" si="14"/>
        <v>3</v>
      </c>
      <c r="E1111" s="6">
        <f t="shared" si="15"/>
        <v>0</v>
      </c>
      <c r="F1111" s="5">
        <f t="shared" si="16"/>
        <v>1</v>
      </c>
      <c r="G1111" s="5">
        <f t="shared" si="17"/>
        <v>5</v>
      </c>
      <c r="H1111" s="5">
        <f t="shared" si="18"/>
        <v>6</v>
      </c>
      <c r="I1111" s="6">
        <f t="shared" si="19"/>
        <v>107</v>
      </c>
    </row>
    <row r="1112">
      <c r="A1112" s="1">
        <v>46020.0</v>
      </c>
      <c r="B1112" s="5" t="s">
        <v>58</v>
      </c>
      <c r="C1112" s="5" t="str">
        <f>IFERROR(VLOOKUP(B1112,'Overall Bean Summary'!A$2:B$36,2,FALSE),"")</f>
        <v>Bad</v>
      </c>
      <c r="D1112" s="6">
        <f t="shared" si="14"/>
        <v>0</v>
      </c>
      <c r="E1112" s="6">
        <f t="shared" si="15"/>
        <v>1</v>
      </c>
      <c r="F1112" s="5">
        <f t="shared" si="16"/>
        <v>1</v>
      </c>
      <c r="G1112" s="5">
        <f t="shared" si="17"/>
        <v>6</v>
      </c>
      <c r="H1112" s="5">
        <f t="shared" si="18"/>
        <v>7</v>
      </c>
      <c r="I1112" s="6">
        <f t="shared" si="19"/>
        <v>108</v>
      </c>
    </row>
    <row r="1113">
      <c r="A1113" s="1">
        <v>46020.0</v>
      </c>
      <c r="B1113" s="5" t="s">
        <v>128</v>
      </c>
      <c r="C1113" s="5" t="str">
        <f>IFERROR(VLOOKUP(B1113,'Overall Bean Summary'!A$2:B$36,2,FALSE),"")</f>
        <v>Good</v>
      </c>
      <c r="D1113" s="6">
        <f t="shared" si="14"/>
        <v>1</v>
      </c>
      <c r="E1113" s="6">
        <f t="shared" si="15"/>
        <v>0</v>
      </c>
      <c r="F1113" s="5">
        <f t="shared" si="16"/>
        <v>1</v>
      </c>
      <c r="G1113" s="5">
        <f t="shared" si="17"/>
        <v>7</v>
      </c>
      <c r="H1113" s="5">
        <f t="shared" si="18"/>
        <v>8</v>
      </c>
      <c r="I1113" s="6">
        <f t="shared" si="19"/>
        <v>109</v>
      </c>
    </row>
    <row r="1114">
      <c r="A1114" s="1">
        <v>46020.0</v>
      </c>
      <c r="B1114" s="5" t="s">
        <v>29</v>
      </c>
      <c r="C1114" s="5" t="str">
        <f>IFERROR(VLOOKUP(B1114,'Overall Bean Summary'!A$2:B$36,2,FALSE),"")</f>
        <v>Good</v>
      </c>
      <c r="D1114" s="6">
        <f t="shared" si="14"/>
        <v>2</v>
      </c>
      <c r="E1114" s="6">
        <f t="shared" si="15"/>
        <v>0</v>
      </c>
      <c r="F1114" s="5">
        <f t="shared" si="16"/>
        <v>1</v>
      </c>
      <c r="G1114" s="5">
        <f t="shared" si="17"/>
        <v>8</v>
      </c>
      <c r="H1114" s="5">
        <f t="shared" si="18"/>
        <v>9</v>
      </c>
      <c r="I1114" s="6">
        <f t="shared" si="19"/>
        <v>110</v>
      </c>
    </row>
    <row r="1115">
      <c r="A1115" s="1">
        <v>46020.0</v>
      </c>
      <c r="B1115" s="5" t="s">
        <v>132</v>
      </c>
      <c r="C1115" s="5" t="str">
        <f>IFERROR(VLOOKUP(B1115,'Overall Bean Summary'!A$2:B$36,2,FALSE),"")</f>
        <v>Bad</v>
      </c>
      <c r="D1115" s="6">
        <f t="shared" si="14"/>
        <v>0</v>
      </c>
      <c r="E1115" s="6">
        <f t="shared" si="15"/>
        <v>1</v>
      </c>
      <c r="F1115" s="5">
        <f t="shared" si="16"/>
        <v>1</v>
      </c>
      <c r="G1115" s="5">
        <f t="shared" si="17"/>
        <v>9</v>
      </c>
      <c r="H1115" s="5">
        <f t="shared" si="18"/>
        <v>10</v>
      </c>
      <c r="I1115" s="6">
        <f t="shared" si="19"/>
        <v>111</v>
      </c>
    </row>
    <row r="1116">
      <c r="A1116" s="1">
        <v>46020.0</v>
      </c>
      <c r="B1116" s="5" t="s">
        <v>95</v>
      </c>
      <c r="C1116" s="5" t="str">
        <f>IFERROR(VLOOKUP(B1116,'Overall Bean Summary'!A$2:B$36,2,FALSE),"")</f>
        <v>Good</v>
      </c>
      <c r="D1116" s="6">
        <f t="shared" si="14"/>
        <v>1</v>
      </c>
      <c r="E1116" s="6">
        <f t="shared" si="15"/>
        <v>0</v>
      </c>
      <c r="F1116" s="5">
        <f t="shared" si="16"/>
        <v>1</v>
      </c>
      <c r="G1116" s="5">
        <f t="shared" si="17"/>
        <v>10</v>
      </c>
      <c r="H1116" s="5">
        <f t="shared" si="18"/>
        <v>11</v>
      </c>
      <c r="I1116" s="6">
        <f t="shared" si="19"/>
        <v>112</v>
      </c>
    </row>
    <row r="1117">
      <c r="A1117" s="1">
        <v>46020.0</v>
      </c>
      <c r="B1117" s="5" t="s">
        <v>132</v>
      </c>
      <c r="C1117" s="5" t="str">
        <f>IFERROR(VLOOKUP(B1117,'Overall Bean Summary'!A$2:B$36,2,FALSE),"")</f>
        <v>Bad</v>
      </c>
      <c r="D1117" s="6">
        <f t="shared" si="14"/>
        <v>0</v>
      </c>
      <c r="E1117" s="6">
        <f t="shared" si="15"/>
        <v>1</v>
      </c>
      <c r="F1117" s="5">
        <f t="shared" si="16"/>
        <v>1</v>
      </c>
      <c r="G1117" s="5">
        <f t="shared" si="17"/>
        <v>11</v>
      </c>
      <c r="H1117" s="5">
        <f t="shared" si="18"/>
        <v>12</v>
      </c>
      <c r="I1117" s="6">
        <f t="shared" si="19"/>
        <v>113</v>
      </c>
    </row>
    <row r="1118">
      <c r="A1118" s="1">
        <v>46020.0</v>
      </c>
      <c r="B1118" s="5" t="s">
        <v>136</v>
      </c>
      <c r="C1118" s="5" t="str">
        <f>IFERROR(VLOOKUP(B1118,'Overall Bean Summary'!A$2:B$36,2,FALSE),"")</f>
        <v>Bad</v>
      </c>
      <c r="D1118" s="6">
        <f t="shared" si="14"/>
        <v>0</v>
      </c>
      <c r="E1118" s="6">
        <f t="shared" si="15"/>
        <v>2</v>
      </c>
      <c r="F1118" s="5">
        <f t="shared" si="16"/>
        <v>1</v>
      </c>
      <c r="G1118" s="5">
        <f t="shared" si="17"/>
        <v>12</v>
      </c>
      <c r="H1118" s="5">
        <f t="shared" si="18"/>
        <v>13</v>
      </c>
      <c r="I1118" s="6">
        <f t="shared" si="19"/>
        <v>114</v>
      </c>
    </row>
    <row r="1119">
      <c r="A1119" s="1">
        <v>46020.0</v>
      </c>
      <c r="B1119" s="5" t="s">
        <v>136</v>
      </c>
      <c r="C1119" s="5" t="str">
        <f>IFERROR(VLOOKUP(B1119,'Overall Bean Summary'!A$2:B$36,2,FALSE),"")</f>
        <v>Bad</v>
      </c>
      <c r="D1119" s="6">
        <f t="shared" si="14"/>
        <v>0</v>
      </c>
      <c r="E1119" s="6">
        <f t="shared" si="15"/>
        <v>3</v>
      </c>
      <c r="F1119" s="5">
        <f t="shared" si="16"/>
        <v>2</v>
      </c>
      <c r="G1119" s="5">
        <f t="shared" si="17"/>
        <v>13</v>
      </c>
      <c r="H1119" s="5">
        <f t="shared" si="18"/>
        <v>14</v>
      </c>
      <c r="I1119" s="6">
        <f t="shared" si="19"/>
        <v>115</v>
      </c>
    </row>
    <row r="1120">
      <c r="A1120" s="1">
        <v>46020.0</v>
      </c>
      <c r="B1120" s="5" t="s">
        <v>40</v>
      </c>
      <c r="C1120" s="5" t="str">
        <f>IFERROR(VLOOKUP(B1120,'Overall Bean Summary'!A$2:B$36,2,FALSE),"")</f>
        <v>Bad</v>
      </c>
      <c r="D1120" s="6">
        <f t="shared" si="14"/>
        <v>0</v>
      </c>
      <c r="E1120" s="6">
        <f t="shared" si="15"/>
        <v>4</v>
      </c>
      <c r="F1120" s="5">
        <f t="shared" si="16"/>
        <v>1</v>
      </c>
      <c r="G1120" s="5">
        <f t="shared" si="17"/>
        <v>14</v>
      </c>
      <c r="H1120" s="5">
        <f t="shared" si="18"/>
        <v>15</v>
      </c>
      <c r="I1120" s="6">
        <f t="shared" si="19"/>
        <v>116</v>
      </c>
    </row>
    <row r="1121">
      <c r="A1121" s="1">
        <v>46020.0</v>
      </c>
      <c r="B1121" s="5" t="s">
        <v>40</v>
      </c>
      <c r="C1121" s="5" t="str">
        <f>IFERROR(VLOOKUP(B1121,'Overall Bean Summary'!A$2:B$36,2,FALSE),"")</f>
        <v>Bad</v>
      </c>
      <c r="D1121" s="6">
        <f t="shared" si="14"/>
        <v>0</v>
      </c>
      <c r="E1121" s="6">
        <f t="shared" si="15"/>
        <v>5</v>
      </c>
      <c r="F1121" s="5">
        <f t="shared" si="16"/>
        <v>2</v>
      </c>
      <c r="G1121" s="5">
        <f t="shared" si="17"/>
        <v>15</v>
      </c>
      <c r="H1121" s="5">
        <f t="shared" si="18"/>
        <v>16</v>
      </c>
      <c r="I1121" s="6">
        <f t="shared" si="19"/>
        <v>117</v>
      </c>
    </row>
    <row r="1122">
      <c r="A1122" s="1">
        <v>46020.0</v>
      </c>
      <c r="B1122" s="5" t="s">
        <v>58</v>
      </c>
      <c r="C1122" s="5" t="str">
        <f>IFERROR(VLOOKUP(B1122,'Overall Bean Summary'!A$2:B$36,2,FALSE),"")</f>
        <v>Bad</v>
      </c>
      <c r="D1122" s="6">
        <f t="shared" si="14"/>
        <v>0</v>
      </c>
      <c r="E1122" s="6">
        <f t="shared" si="15"/>
        <v>6</v>
      </c>
      <c r="F1122" s="5">
        <f t="shared" si="16"/>
        <v>1</v>
      </c>
      <c r="G1122" s="5">
        <f t="shared" si="17"/>
        <v>16</v>
      </c>
      <c r="H1122" s="5">
        <f t="shared" si="18"/>
        <v>17</v>
      </c>
      <c r="I1122" s="6">
        <f t="shared" si="19"/>
        <v>118</v>
      </c>
    </row>
    <row r="1123">
      <c r="A1123" s="1">
        <v>46020.0</v>
      </c>
      <c r="B1123" s="5" t="s">
        <v>80</v>
      </c>
      <c r="C1123" s="5" t="str">
        <f>IFERROR(VLOOKUP(B1123,'Overall Bean Summary'!A$2:B$36,2,FALSE),"")</f>
        <v>Bad</v>
      </c>
      <c r="D1123" s="6">
        <f t="shared" si="14"/>
        <v>0</v>
      </c>
      <c r="E1123" s="6">
        <f t="shared" si="15"/>
        <v>7</v>
      </c>
      <c r="F1123" s="5">
        <f t="shared" si="16"/>
        <v>1</v>
      </c>
      <c r="G1123" s="5">
        <f t="shared" si="17"/>
        <v>17</v>
      </c>
      <c r="H1123" s="5">
        <f t="shared" si="18"/>
        <v>18</v>
      </c>
      <c r="I1123" s="6">
        <f t="shared" si="19"/>
        <v>119</v>
      </c>
    </row>
    <row r="1124">
      <c r="A1124" s="1">
        <v>46020.0</v>
      </c>
      <c r="B1124" s="5" t="s">
        <v>63</v>
      </c>
      <c r="C1124" s="5" t="str">
        <f>IFERROR(VLOOKUP(B1124,'Overall Bean Summary'!A$2:B$36,2,FALSE),"")</f>
        <v>Bad</v>
      </c>
      <c r="D1124" s="6">
        <f t="shared" si="14"/>
        <v>0</v>
      </c>
      <c r="E1124" s="6">
        <f t="shared" si="15"/>
        <v>8</v>
      </c>
      <c r="F1124" s="5">
        <f t="shared" si="16"/>
        <v>1</v>
      </c>
      <c r="G1124" s="5">
        <f t="shared" si="17"/>
        <v>18</v>
      </c>
      <c r="H1124" s="5">
        <f t="shared" si="18"/>
        <v>19</v>
      </c>
      <c r="I1124" s="6">
        <f t="shared" si="19"/>
        <v>120</v>
      </c>
    </row>
    <row r="1125">
      <c r="A1125" s="1">
        <v>46020.0</v>
      </c>
      <c r="B1125" s="5" t="s">
        <v>136</v>
      </c>
      <c r="C1125" s="5" t="str">
        <f>IFERROR(VLOOKUP(B1125,'Overall Bean Summary'!A$2:B$36,2,FALSE),"")</f>
        <v>Bad</v>
      </c>
      <c r="D1125" s="6">
        <f t="shared" si="14"/>
        <v>0</v>
      </c>
      <c r="E1125" s="6">
        <f t="shared" si="15"/>
        <v>9</v>
      </c>
      <c r="F1125" s="5">
        <f t="shared" si="16"/>
        <v>1</v>
      </c>
      <c r="G1125" s="5">
        <f t="shared" si="17"/>
        <v>19</v>
      </c>
      <c r="H1125" s="5">
        <f t="shared" si="18"/>
        <v>20</v>
      </c>
      <c r="I1125" s="6">
        <f t="shared" si="19"/>
        <v>121</v>
      </c>
    </row>
    <row r="1126">
      <c r="A1126" s="1">
        <v>46020.0</v>
      </c>
      <c r="B1126" s="5" t="s">
        <v>51</v>
      </c>
      <c r="C1126" s="5" t="str">
        <f>IFERROR(VLOOKUP(B1126,'Overall Bean Summary'!A$2:B$36,2,FALSE),"")</f>
        <v>Bad</v>
      </c>
      <c r="D1126" s="6">
        <f t="shared" si="14"/>
        <v>0</v>
      </c>
      <c r="E1126" s="6">
        <f t="shared" si="15"/>
        <v>10</v>
      </c>
      <c r="F1126" s="5">
        <f t="shared" si="16"/>
        <v>1</v>
      </c>
      <c r="G1126" s="5">
        <f t="shared" si="17"/>
        <v>20</v>
      </c>
      <c r="H1126" s="5">
        <f t="shared" si="18"/>
        <v>21</v>
      </c>
      <c r="I1126" s="6">
        <f t="shared" si="19"/>
        <v>122</v>
      </c>
    </row>
    <row r="1127">
      <c r="A1127" s="1">
        <v>46022.0</v>
      </c>
      <c r="B1127" s="5" t="s">
        <v>63</v>
      </c>
      <c r="C1127" s="5" t="str">
        <f>IFERROR(VLOOKUP(B1127,'Overall Bean Summary'!A$2:B$36,2,FALSE),"")</f>
        <v>Bad</v>
      </c>
      <c r="D1127" s="6">
        <f t="shared" si="14"/>
        <v>0</v>
      </c>
      <c r="E1127" s="6">
        <f t="shared" si="15"/>
        <v>11</v>
      </c>
      <c r="F1127" s="5">
        <f t="shared" si="16"/>
        <v>1</v>
      </c>
      <c r="G1127" s="5">
        <f t="shared" si="17"/>
        <v>1</v>
      </c>
      <c r="H1127" s="5">
        <f t="shared" si="18"/>
        <v>22</v>
      </c>
      <c r="I1127" s="6">
        <f t="shared" si="19"/>
        <v>123</v>
      </c>
    </row>
    <row r="1128">
      <c r="A1128" s="1">
        <v>46022.0</v>
      </c>
      <c r="B1128" s="5" t="s">
        <v>45</v>
      </c>
      <c r="C1128" s="5" t="str">
        <f>IFERROR(VLOOKUP(B1128,'Overall Bean Summary'!A$2:B$36,2,FALSE),"")</f>
        <v>Good</v>
      </c>
      <c r="D1128" s="6">
        <f t="shared" si="14"/>
        <v>1</v>
      </c>
      <c r="E1128" s="6">
        <f t="shared" si="15"/>
        <v>0</v>
      </c>
      <c r="F1128" s="5">
        <f t="shared" si="16"/>
        <v>1</v>
      </c>
      <c r="G1128" s="5">
        <f t="shared" si="17"/>
        <v>2</v>
      </c>
      <c r="H1128" s="5">
        <f t="shared" si="18"/>
        <v>23</v>
      </c>
      <c r="I1128" s="6">
        <f t="shared" si="19"/>
        <v>124</v>
      </c>
    </row>
    <row r="1129">
      <c r="A1129" s="1">
        <v>46022.0</v>
      </c>
      <c r="B1129" s="5" t="s">
        <v>51</v>
      </c>
      <c r="C1129" s="5" t="str">
        <f>IFERROR(VLOOKUP(B1129,'Overall Bean Summary'!A$2:B$36,2,FALSE),"")</f>
        <v>Bad</v>
      </c>
      <c r="D1129" s="6">
        <f t="shared" si="14"/>
        <v>0</v>
      </c>
      <c r="E1129" s="6">
        <f t="shared" si="15"/>
        <v>1</v>
      </c>
      <c r="F1129" s="5">
        <f t="shared" si="16"/>
        <v>1</v>
      </c>
      <c r="G1129" s="5">
        <f t="shared" si="17"/>
        <v>3</v>
      </c>
      <c r="H1129" s="5">
        <f t="shared" si="18"/>
        <v>24</v>
      </c>
      <c r="I1129" s="6">
        <f t="shared" si="19"/>
        <v>125</v>
      </c>
    </row>
    <row r="1130">
      <c r="A1130" s="1">
        <v>46022.0</v>
      </c>
      <c r="B1130" s="5" t="s">
        <v>48</v>
      </c>
      <c r="C1130" s="5" t="str">
        <f>IFERROR(VLOOKUP(B1130,'Overall Bean Summary'!A$2:B$36,2,FALSE),"")</f>
        <v>Bad</v>
      </c>
      <c r="D1130" s="6">
        <f t="shared" si="14"/>
        <v>0</v>
      </c>
      <c r="E1130" s="6">
        <f t="shared" si="15"/>
        <v>2</v>
      </c>
      <c r="F1130" s="5">
        <f t="shared" si="16"/>
        <v>1</v>
      </c>
      <c r="G1130" s="5">
        <f t="shared" si="17"/>
        <v>4</v>
      </c>
      <c r="H1130" s="5">
        <f t="shared" si="18"/>
        <v>25</v>
      </c>
      <c r="I1130" s="6">
        <f t="shared" si="19"/>
        <v>126</v>
      </c>
    </row>
    <row r="1131">
      <c r="A1131" s="1">
        <v>46027.0</v>
      </c>
      <c r="B1131" s="5" t="s">
        <v>69</v>
      </c>
      <c r="C1131" s="5" t="str">
        <f>IFERROR(VLOOKUP(B1131,'Overall Bean Summary'!A$2:B$36,2,FALSE),"")</f>
        <v>Bad</v>
      </c>
      <c r="D1131" s="6">
        <f t="shared" si="14"/>
        <v>0</v>
      </c>
      <c r="E1131" s="6">
        <f t="shared" si="15"/>
        <v>3</v>
      </c>
      <c r="F1131" s="5">
        <f t="shared" si="16"/>
        <v>1</v>
      </c>
      <c r="G1131" s="5">
        <f t="shared" si="17"/>
        <v>1</v>
      </c>
      <c r="H1131" s="5">
        <f t="shared" si="18"/>
        <v>1</v>
      </c>
      <c r="I1131" s="6">
        <f t="shared" si="19"/>
        <v>1</v>
      </c>
    </row>
    <row r="1132">
      <c r="A1132" s="1">
        <v>46031.0</v>
      </c>
      <c r="B1132" s="5" t="s">
        <v>51</v>
      </c>
      <c r="C1132" s="5" t="str">
        <f>IFERROR(VLOOKUP(B1132,'Overall Bean Summary'!A$2:B$36,2,FALSE),"")</f>
        <v>Bad</v>
      </c>
      <c r="D1132" s="6">
        <f t="shared" si="14"/>
        <v>0</v>
      </c>
      <c r="E1132" s="6">
        <f t="shared" si="15"/>
        <v>4</v>
      </c>
      <c r="F1132" s="5">
        <f t="shared" si="16"/>
        <v>1</v>
      </c>
      <c r="G1132" s="5">
        <f t="shared" si="17"/>
        <v>1</v>
      </c>
      <c r="H1132" s="5">
        <f t="shared" si="18"/>
        <v>2</v>
      </c>
      <c r="I1132" s="6">
        <f t="shared" si="19"/>
        <v>2</v>
      </c>
    </row>
    <row r="1133">
      <c r="A1133" s="1">
        <v>46031.0</v>
      </c>
      <c r="B1133" s="5" t="s">
        <v>29</v>
      </c>
      <c r="C1133" s="5" t="str">
        <f>IFERROR(VLOOKUP(B1133,'Overall Bean Summary'!A$2:B$36,2,FALSE),"")</f>
        <v>Good</v>
      </c>
      <c r="D1133" s="6">
        <f t="shared" si="14"/>
        <v>1</v>
      </c>
      <c r="E1133" s="6">
        <f t="shared" si="15"/>
        <v>0</v>
      </c>
      <c r="F1133" s="5">
        <f t="shared" si="16"/>
        <v>1</v>
      </c>
      <c r="G1133" s="5">
        <f t="shared" si="17"/>
        <v>2</v>
      </c>
      <c r="H1133" s="5">
        <f t="shared" si="18"/>
        <v>3</v>
      </c>
      <c r="I1133" s="6">
        <f t="shared" si="19"/>
        <v>3</v>
      </c>
    </row>
    <row r="1134">
      <c r="A1134" s="1">
        <v>46031.0</v>
      </c>
      <c r="B1134" s="5" t="s">
        <v>51</v>
      </c>
      <c r="C1134" s="5" t="str">
        <f>IFERROR(VLOOKUP(B1134,'Overall Bean Summary'!A$2:B$36,2,FALSE),"")</f>
        <v>Bad</v>
      </c>
      <c r="D1134" s="6">
        <f t="shared" si="14"/>
        <v>0</v>
      </c>
      <c r="E1134" s="6">
        <f t="shared" si="15"/>
        <v>1</v>
      </c>
      <c r="F1134" s="5">
        <f t="shared" si="16"/>
        <v>1</v>
      </c>
      <c r="G1134" s="5">
        <f t="shared" si="17"/>
        <v>3</v>
      </c>
      <c r="H1134" s="5">
        <f t="shared" si="18"/>
        <v>4</v>
      </c>
      <c r="I1134" s="6">
        <f t="shared" si="19"/>
        <v>4</v>
      </c>
    </row>
    <row r="1135">
      <c r="A1135" s="1">
        <v>46034.0</v>
      </c>
      <c r="B1135" s="5" t="s">
        <v>69</v>
      </c>
      <c r="C1135" s="5" t="str">
        <f>IFERROR(VLOOKUP(B1135,'Overall Bean Summary'!A$2:B$36,2,FALSE),"")</f>
        <v>Bad</v>
      </c>
      <c r="D1135" s="6">
        <f t="shared" si="14"/>
        <v>0</v>
      </c>
      <c r="E1135" s="6">
        <f t="shared" si="15"/>
        <v>2</v>
      </c>
      <c r="F1135" s="5">
        <f t="shared" si="16"/>
        <v>1</v>
      </c>
      <c r="G1135" s="5">
        <f t="shared" si="17"/>
        <v>1</v>
      </c>
      <c r="H1135" s="5">
        <f t="shared" si="18"/>
        <v>5</v>
      </c>
      <c r="I1135" s="6">
        <f t="shared" si="19"/>
        <v>5</v>
      </c>
    </row>
    <row r="1136">
      <c r="A1136" s="1">
        <v>46041.0</v>
      </c>
      <c r="B1136" s="5" t="s">
        <v>63</v>
      </c>
      <c r="C1136" s="5" t="str">
        <f>IFERROR(VLOOKUP(B1136,'Overall Bean Summary'!A$2:B$36,2,FALSE),"")</f>
        <v>Bad</v>
      </c>
      <c r="D1136" s="6">
        <f t="shared" si="14"/>
        <v>0</v>
      </c>
      <c r="E1136" s="6">
        <f t="shared" si="15"/>
        <v>3</v>
      </c>
      <c r="F1136" s="5">
        <f t="shared" si="16"/>
        <v>1</v>
      </c>
      <c r="G1136" s="5">
        <f t="shared" si="17"/>
        <v>1</v>
      </c>
      <c r="H1136" s="5">
        <f t="shared" si="18"/>
        <v>6</v>
      </c>
      <c r="I1136" s="6">
        <f t="shared" si="19"/>
        <v>6</v>
      </c>
    </row>
    <row r="1137">
      <c r="A1137" s="1">
        <v>46043.0</v>
      </c>
      <c r="B1137" s="5" t="s">
        <v>40</v>
      </c>
      <c r="C1137" s="5" t="str">
        <f>IFERROR(VLOOKUP(B1137,'Overall Bean Summary'!A$2:B$36,2,FALSE),"")</f>
        <v>Bad</v>
      </c>
      <c r="D1137" s="6">
        <f t="shared" si="14"/>
        <v>0</v>
      </c>
      <c r="E1137" s="6">
        <f t="shared" si="15"/>
        <v>4</v>
      </c>
      <c r="F1137" s="5">
        <f t="shared" si="16"/>
        <v>1</v>
      </c>
      <c r="G1137" s="5">
        <f t="shared" si="17"/>
        <v>1</v>
      </c>
      <c r="H1137" s="5">
        <f t="shared" si="18"/>
        <v>7</v>
      </c>
      <c r="I1137" s="6">
        <f t="shared" si="19"/>
        <v>7</v>
      </c>
    </row>
    <row r="1138">
      <c r="A1138" s="1">
        <v>46044.0</v>
      </c>
      <c r="B1138" s="5" t="s">
        <v>132</v>
      </c>
      <c r="C1138" s="5" t="str">
        <f>IFERROR(VLOOKUP(B1138,'Overall Bean Summary'!A$2:B$36,2,FALSE),"")</f>
        <v>Bad</v>
      </c>
      <c r="D1138" s="6">
        <f t="shared" si="14"/>
        <v>0</v>
      </c>
      <c r="E1138" s="6">
        <f t="shared" si="15"/>
        <v>5</v>
      </c>
      <c r="F1138" s="5">
        <f t="shared" si="16"/>
        <v>1</v>
      </c>
      <c r="G1138" s="5">
        <f t="shared" si="17"/>
        <v>1</v>
      </c>
      <c r="H1138" s="5">
        <f t="shared" si="18"/>
        <v>8</v>
      </c>
      <c r="I1138" s="6">
        <f t="shared" si="19"/>
        <v>8</v>
      </c>
    </row>
    <row r="1139">
      <c r="A1139" s="1">
        <v>46044.0</v>
      </c>
      <c r="B1139" s="5" t="s">
        <v>40</v>
      </c>
      <c r="C1139" s="5" t="str">
        <f>IFERROR(VLOOKUP(B1139,'Overall Bean Summary'!A$2:B$36,2,FALSE),"")</f>
        <v>Bad</v>
      </c>
      <c r="D1139" s="6">
        <f t="shared" si="14"/>
        <v>0</v>
      </c>
      <c r="E1139" s="6">
        <f t="shared" si="15"/>
        <v>6</v>
      </c>
      <c r="F1139" s="5">
        <f t="shared" si="16"/>
        <v>1</v>
      </c>
      <c r="G1139" s="5">
        <f t="shared" si="17"/>
        <v>2</v>
      </c>
      <c r="H1139" s="5">
        <f t="shared" si="18"/>
        <v>9</v>
      </c>
      <c r="I1139" s="6">
        <f t="shared" si="19"/>
        <v>9</v>
      </c>
    </row>
    <row r="1140">
      <c r="A1140" s="1">
        <v>46044.0</v>
      </c>
      <c r="B1140" s="5" t="s">
        <v>132</v>
      </c>
      <c r="C1140" s="5" t="str">
        <f>IFERROR(VLOOKUP(B1140,'Overall Bean Summary'!A$2:B$36,2,FALSE),"")</f>
        <v>Bad</v>
      </c>
      <c r="D1140" s="6">
        <f t="shared" si="14"/>
        <v>0</v>
      </c>
      <c r="E1140" s="6">
        <f t="shared" si="15"/>
        <v>7</v>
      </c>
      <c r="F1140" s="5">
        <f t="shared" si="16"/>
        <v>1</v>
      </c>
      <c r="G1140" s="5">
        <f t="shared" si="17"/>
        <v>3</v>
      </c>
      <c r="H1140" s="5">
        <f t="shared" si="18"/>
        <v>10</v>
      </c>
      <c r="I1140" s="6">
        <f t="shared" si="19"/>
        <v>10</v>
      </c>
    </row>
    <row r="1141">
      <c r="A1141" s="1">
        <v>46048.0</v>
      </c>
      <c r="B1141" s="5" t="s">
        <v>40</v>
      </c>
      <c r="C1141" s="5" t="str">
        <f>IFERROR(VLOOKUP(B1141,'Overall Bean Summary'!A$2:B$36,2,FALSE),"")</f>
        <v>Bad</v>
      </c>
      <c r="D1141" s="6">
        <f t="shared" si="14"/>
        <v>0</v>
      </c>
      <c r="E1141" s="6">
        <f t="shared" si="15"/>
        <v>8</v>
      </c>
      <c r="F1141" s="5">
        <f t="shared" si="16"/>
        <v>1</v>
      </c>
      <c r="G1141" s="5">
        <f t="shared" si="17"/>
        <v>1</v>
      </c>
      <c r="H1141" s="5">
        <f t="shared" si="18"/>
        <v>11</v>
      </c>
      <c r="I1141" s="6">
        <f t="shared" si="19"/>
        <v>11</v>
      </c>
    </row>
    <row r="1142">
      <c r="A1142" s="1">
        <v>46048.0</v>
      </c>
      <c r="B1142" s="5" t="s">
        <v>80</v>
      </c>
      <c r="C1142" s="5" t="str">
        <f>IFERROR(VLOOKUP(B1142,'Overall Bean Summary'!A$2:B$36,2,FALSE),"")</f>
        <v>Bad</v>
      </c>
      <c r="D1142" s="6">
        <f t="shared" si="14"/>
        <v>0</v>
      </c>
      <c r="E1142" s="6">
        <f t="shared" si="15"/>
        <v>9</v>
      </c>
      <c r="F1142" s="5">
        <f t="shared" si="16"/>
        <v>1</v>
      </c>
      <c r="G1142" s="5">
        <f t="shared" si="17"/>
        <v>2</v>
      </c>
      <c r="H1142" s="5">
        <f t="shared" si="18"/>
        <v>12</v>
      </c>
      <c r="I1142" s="6">
        <f t="shared" si="19"/>
        <v>12</v>
      </c>
    </row>
    <row r="1143">
      <c r="A1143" s="1">
        <v>46048.0</v>
      </c>
      <c r="B1143" s="5" t="s">
        <v>69</v>
      </c>
      <c r="C1143" s="5" t="str">
        <f>IFERROR(VLOOKUP(B1143,'Overall Bean Summary'!A$2:B$36,2,FALSE),"")</f>
        <v>Bad</v>
      </c>
      <c r="D1143" s="6">
        <f t="shared" si="14"/>
        <v>0</v>
      </c>
      <c r="E1143" s="6">
        <f t="shared" si="15"/>
        <v>10</v>
      </c>
      <c r="F1143" s="5">
        <f t="shared" si="16"/>
        <v>1</v>
      </c>
      <c r="G1143" s="5">
        <f t="shared" si="17"/>
        <v>3</v>
      </c>
      <c r="H1143" s="5">
        <f t="shared" si="18"/>
        <v>13</v>
      </c>
      <c r="I1143" s="6">
        <f t="shared" si="19"/>
        <v>13</v>
      </c>
    </row>
    <row r="1144">
      <c r="A1144" s="1">
        <v>46051.0</v>
      </c>
      <c r="B1144" s="5" t="s">
        <v>132</v>
      </c>
      <c r="C1144" s="5" t="str">
        <f>IFERROR(VLOOKUP(B1144,'Overall Bean Summary'!A$2:B$36,2,FALSE),"")</f>
        <v>Bad</v>
      </c>
      <c r="D1144" s="6">
        <f t="shared" si="14"/>
        <v>0</v>
      </c>
      <c r="E1144" s="6">
        <f t="shared" si="15"/>
        <v>11</v>
      </c>
      <c r="F1144" s="5">
        <f t="shared" si="16"/>
        <v>1</v>
      </c>
      <c r="G1144" s="5">
        <f t="shared" si="17"/>
        <v>1</v>
      </c>
      <c r="H1144" s="5">
        <f t="shared" si="18"/>
        <v>14</v>
      </c>
      <c r="I1144" s="6">
        <f t="shared" si="19"/>
        <v>14</v>
      </c>
    </row>
    <row r="1145">
      <c r="A1145" s="1">
        <v>46051.0</v>
      </c>
      <c r="B1145" s="5" t="s">
        <v>63</v>
      </c>
      <c r="C1145" s="5" t="str">
        <f>IFERROR(VLOOKUP(B1145,'Overall Bean Summary'!A$2:B$36,2,FALSE),"")</f>
        <v>Bad</v>
      </c>
      <c r="D1145" s="6">
        <f t="shared" si="14"/>
        <v>0</v>
      </c>
      <c r="E1145" s="6">
        <f t="shared" si="15"/>
        <v>12</v>
      </c>
      <c r="F1145" s="5">
        <f t="shared" si="16"/>
        <v>1</v>
      </c>
      <c r="G1145" s="5">
        <f t="shared" si="17"/>
        <v>2</v>
      </c>
      <c r="H1145" s="5">
        <f t="shared" si="18"/>
        <v>15</v>
      </c>
      <c r="I1145" s="6">
        <f t="shared" si="19"/>
        <v>15</v>
      </c>
    </row>
    <row r="1146">
      <c r="A1146" s="1">
        <v>46057.0</v>
      </c>
      <c r="B1146" s="5" t="s">
        <v>40</v>
      </c>
      <c r="C1146" s="5" t="str">
        <f>IFERROR(VLOOKUP(B1146,'Overall Bean Summary'!A$2:B$36,2,FALSE),"")</f>
        <v>Bad</v>
      </c>
      <c r="D1146" s="6">
        <f t="shared" si="14"/>
        <v>0</v>
      </c>
      <c r="E1146" s="6">
        <f t="shared" si="15"/>
        <v>13</v>
      </c>
      <c r="F1146" s="5">
        <f t="shared" si="16"/>
        <v>1</v>
      </c>
      <c r="G1146" s="5">
        <f t="shared" si="17"/>
        <v>1</v>
      </c>
      <c r="H1146" s="5">
        <f t="shared" si="18"/>
        <v>1</v>
      </c>
      <c r="I1146" s="6">
        <f t="shared" si="19"/>
        <v>16</v>
      </c>
    </row>
    <row r="1147">
      <c r="A1147" s="1">
        <v>46069.0</v>
      </c>
      <c r="B1147" s="5" t="s">
        <v>29</v>
      </c>
      <c r="C1147" s="5" t="str">
        <f>IFERROR(VLOOKUP(B1147,'Overall Bean Summary'!A$2:B$36,2,FALSE),"")</f>
        <v>Good</v>
      </c>
      <c r="D1147" s="6">
        <f t="shared" si="14"/>
        <v>1</v>
      </c>
      <c r="E1147" s="6">
        <f t="shared" si="15"/>
        <v>0</v>
      </c>
      <c r="F1147" s="5">
        <f t="shared" si="16"/>
        <v>1</v>
      </c>
      <c r="G1147" s="5">
        <f t="shared" si="17"/>
        <v>1</v>
      </c>
      <c r="H1147" s="5">
        <f t="shared" si="18"/>
        <v>2</v>
      </c>
      <c r="I1147" s="6">
        <f t="shared" si="19"/>
        <v>17</v>
      </c>
    </row>
    <row r="1148">
      <c r="A1148" s="1">
        <v>46071.0</v>
      </c>
      <c r="B1148" s="5" t="s">
        <v>95</v>
      </c>
      <c r="C1148" s="5" t="str">
        <f>IFERROR(VLOOKUP(B1148,'Overall Bean Summary'!A$2:B$36,2,FALSE),"")</f>
        <v>Good</v>
      </c>
      <c r="D1148" s="6">
        <f t="shared" si="14"/>
        <v>2</v>
      </c>
      <c r="E1148" s="6">
        <f t="shared" si="15"/>
        <v>0</v>
      </c>
      <c r="F1148" s="5">
        <f t="shared" si="16"/>
        <v>1</v>
      </c>
      <c r="G1148" s="5">
        <f t="shared" si="17"/>
        <v>1</v>
      </c>
      <c r="H1148" s="5">
        <f t="shared" si="18"/>
        <v>3</v>
      </c>
      <c r="I1148" s="6">
        <f t="shared" si="19"/>
        <v>18</v>
      </c>
    </row>
    <row r="1149">
      <c r="A1149" s="1">
        <v>46071.0</v>
      </c>
      <c r="B1149" s="5" t="s">
        <v>95</v>
      </c>
      <c r="C1149" s="5" t="str">
        <f>IFERROR(VLOOKUP(B1149,'Overall Bean Summary'!A$2:B$36,2,FALSE),"")</f>
        <v>Good</v>
      </c>
      <c r="D1149" s="6">
        <f t="shared" si="14"/>
        <v>3</v>
      </c>
      <c r="E1149" s="6">
        <f t="shared" si="15"/>
        <v>0</v>
      </c>
      <c r="F1149" s="5">
        <f t="shared" si="16"/>
        <v>2</v>
      </c>
      <c r="G1149" s="5">
        <f t="shared" si="17"/>
        <v>2</v>
      </c>
      <c r="H1149" s="5">
        <f t="shared" si="18"/>
        <v>4</v>
      </c>
      <c r="I1149" s="6">
        <f t="shared" si="19"/>
        <v>19</v>
      </c>
      <c r="L1149" s="5" t="s">
        <v>369</v>
      </c>
    </row>
    <row r="1150">
      <c r="A1150" s="1">
        <v>46071.0</v>
      </c>
      <c r="B1150" s="5" t="s">
        <v>69</v>
      </c>
      <c r="C1150" s="5" t="str">
        <f>IFERROR(VLOOKUP(B1150,'Overall Bean Summary'!A$2:B$36,2,FALSE),"")</f>
        <v>Bad</v>
      </c>
      <c r="D1150" s="6">
        <f t="shared" si="14"/>
        <v>0</v>
      </c>
      <c r="E1150" s="6">
        <f t="shared" si="15"/>
        <v>1</v>
      </c>
      <c r="F1150" s="5">
        <f t="shared" si="16"/>
        <v>1</v>
      </c>
      <c r="G1150" s="5">
        <f t="shared" si="17"/>
        <v>3</v>
      </c>
      <c r="H1150" s="5">
        <f t="shared" si="18"/>
        <v>5</v>
      </c>
      <c r="I1150" s="6">
        <f t="shared" si="19"/>
        <v>20</v>
      </c>
      <c r="L1150" s="5" t="s">
        <v>369</v>
      </c>
    </row>
    <row r="1151">
      <c r="A1151" s="1">
        <v>46072.0</v>
      </c>
      <c r="B1151" s="5" t="s">
        <v>132</v>
      </c>
      <c r="C1151" s="5" t="str">
        <f>IFERROR(VLOOKUP(B1151,'Overall Bean Summary'!A$2:B$36,2,FALSE),"")</f>
        <v>Bad</v>
      </c>
      <c r="D1151" s="6">
        <f t="shared" si="14"/>
        <v>0</v>
      </c>
      <c r="E1151" s="6">
        <f t="shared" si="15"/>
        <v>2</v>
      </c>
      <c r="F1151" s="5">
        <f t="shared" si="16"/>
        <v>1</v>
      </c>
      <c r="G1151" s="5">
        <f t="shared" si="17"/>
        <v>1</v>
      </c>
      <c r="H1151" s="5">
        <f t="shared" si="18"/>
        <v>6</v>
      </c>
      <c r="I1151" s="6">
        <f t="shared" si="19"/>
        <v>21</v>
      </c>
    </row>
    <row r="1152">
      <c r="A1152" s="1">
        <v>46072.0</v>
      </c>
      <c r="B1152" s="5" t="s">
        <v>29</v>
      </c>
      <c r="C1152" s="5" t="str">
        <f>IFERROR(VLOOKUP(B1152,'Overall Bean Summary'!A$2:B$36,2,FALSE),"")</f>
        <v>Good</v>
      </c>
      <c r="D1152" s="6">
        <f t="shared" si="14"/>
        <v>1</v>
      </c>
      <c r="E1152" s="6">
        <f t="shared" si="15"/>
        <v>0</v>
      </c>
      <c r="F1152" s="5">
        <f t="shared" si="16"/>
        <v>1</v>
      </c>
      <c r="G1152" s="5">
        <f t="shared" si="17"/>
        <v>2</v>
      </c>
      <c r="H1152" s="5">
        <f t="shared" si="18"/>
        <v>7</v>
      </c>
      <c r="I1152" s="6">
        <f t="shared" si="19"/>
        <v>22</v>
      </c>
    </row>
    <row r="1153">
      <c r="A1153" s="1">
        <v>46072.0</v>
      </c>
      <c r="B1153" s="5" t="s">
        <v>132</v>
      </c>
      <c r="C1153" s="5" t="str">
        <f>IFERROR(VLOOKUP(B1153,'Overall Bean Summary'!A$2:B$36,2,FALSE),"")</f>
        <v>Bad</v>
      </c>
      <c r="D1153" s="6">
        <f t="shared" si="14"/>
        <v>0</v>
      </c>
      <c r="E1153" s="6">
        <f t="shared" si="15"/>
        <v>1</v>
      </c>
      <c r="F1153" s="5">
        <f t="shared" si="16"/>
        <v>1</v>
      </c>
      <c r="G1153" s="5">
        <f t="shared" si="17"/>
        <v>3</v>
      </c>
      <c r="H1153" s="5">
        <f t="shared" si="18"/>
        <v>8</v>
      </c>
      <c r="I1153" s="6">
        <f t="shared" si="19"/>
        <v>23</v>
      </c>
    </row>
    <row r="1154">
      <c r="A1154" s="1">
        <v>46072.0</v>
      </c>
      <c r="B1154" s="5" t="s">
        <v>69</v>
      </c>
      <c r="C1154" s="5" t="str">
        <f>IFERROR(VLOOKUP(B1154,'Overall Bean Summary'!A$2:B$36,2,FALSE),"")</f>
        <v>Bad</v>
      </c>
      <c r="D1154" s="6">
        <f t="shared" si="14"/>
        <v>0</v>
      </c>
      <c r="E1154" s="6">
        <f t="shared" si="15"/>
        <v>2</v>
      </c>
      <c r="F1154" s="5">
        <f t="shared" si="16"/>
        <v>1</v>
      </c>
      <c r="G1154" s="5">
        <f t="shared" si="17"/>
        <v>4</v>
      </c>
      <c r="H1154" s="5">
        <f t="shared" si="18"/>
        <v>9</v>
      </c>
      <c r="I1154" s="6">
        <f t="shared" si="19"/>
        <v>24</v>
      </c>
    </row>
    <row r="1155">
      <c r="A1155" s="1">
        <v>46077.0</v>
      </c>
      <c r="B1155" s="5" t="s">
        <v>132</v>
      </c>
      <c r="C1155" s="5" t="str">
        <f>IFERROR(VLOOKUP(B1155,'Overall Bean Summary'!A$2:B$36,2,FALSE),"")</f>
        <v>Bad</v>
      </c>
      <c r="D1155" s="6">
        <f t="shared" si="14"/>
        <v>0</v>
      </c>
      <c r="E1155" s="6">
        <f t="shared" si="15"/>
        <v>3</v>
      </c>
      <c r="F1155" s="5">
        <f t="shared" si="16"/>
        <v>1</v>
      </c>
      <c r="G1155" s="5">
        <f t="shared" si="17"/>
        <v>1</v>
      </c>
      <c r="H1155" s="5">
        <f t="shared" si="18"/>
        <v>10</v>
      </c>
      <c r="I1155" s="6">
        <f t="shared" si="19"/>
        <v>25</v>
      </c>
    </row>
    <row r="1156">
      <c r="A1156" s="1">
        <v>46098.0</v>
      </c>
      <c r="B1156" s="5" t="s">
        <v>132</v>
      </c>
      <c r="C1156" s="5" t="str">
        <f>IFERROR(VLOOKUP(B1156,'Overall Bean Summary'!A$2:B$36,2,FALSE),"")</f>
        <v>Bad</v>
      </c>
      <c r="D1156" s="6">
        <f t="shared" si="14"/>
        <v>0</v>
      </c>
      <c r="E1156" s="6">
        <f t="shared" si="15"/>
        <v>4</v>
      </c>
      <c r="F1156" s="5">
        <f t="shared" si="16"/>
        <v>2</v>
      </c>
      <c r="G1156" s="5">
        <f t="shared" si="17"/>
        <v>1</v>
      </c>
      <c r="H1156" s="5">
        <f t="shared" si="18"/>
        <v>1</v>
      </c>
      <c r="I1156" s="6">
        <f t="shared" si="19"/>
        <v>26</v>
      </c>
    </row>
    <row r="1157">
      <c r="A1157" s="1">
        <v>46100.0</v>
      </c>
      <c r="B1157" s="5" t="s">
        <v>45</v>
      </c>
      <c r="C1157" s="5" t="str">
        <f>IFERROR(VLOOKUP(B1157,'Overall Bean Summary'!A$2:B$36,2,FALSE),"")</f>
        <v>Good</v>
      </c>
      <c r="D1157" s="6">
        <f t="shared" si="14"/>
        <v>1</v>
      </c>
      <c r="E1157" s="6">
        <f t="shared" si="15"/>
        <v>0</v>
      </c>
      <c r="F1157" s="5">
        <f t="shared" si="16"/>
        <v>1</v>
      </c>
      <c r="G1157" s="5">
        <f t="shared" si="17"/>
        <v>1</v>
      </c>
      <c r="H1157" s="5">
        <f t="shared" si="18"/>
        <v>2</v>
      </c>
      <c r="I1157" s="6">
        <f t="shared" si="19"/>
        <v>27</v>
      </c>
    </row>
    <row r="1158">
      <c r="A1158" s="1">
        <v>46114.0</v>
      </c>
      <c r="B1158" s="5" t="s">
        <v>134</v>
      </c>
      <c r="C1158" s="5" t="str">
        <f>IFERROR(VLOOKUP(B1158,'Overall Bean Summary'!A$2:B$36,2,FALSE),"")</f>
        <v>Good</v>
      </c>
      <c r="D1158" s="6">
        <f t="shared" si="14"/>
        <v>2</v>
      </c>
      <c r="E1158" s="6">
        <f t="shared" si="15"/>
        <v>0</v>
      </c>
      <c r="F1158" s="5">
        <f t="shared" si="16"/>
        <v>1</v>
      </c>
      <c r="G1158" s="5">
        <f t="shared" si="17"/>
        <v>1</v>
      </c>
      <c r="H1158" s="5">
        <f t="shared" si="18"/>
        <v>1</v>
      </c>
      <c r="I1158" s="6">
        <f t="shared" si="19"/>
        <v>28</v>
      </c>
    </row>
    <row r="1159">
      <c r="A1159" s="1">
        <v>46126.0</v>
      </c>
      <c r="B1159" s="5" t="s">
        <v>80</v>
      </c>
      <c r="C1159" s="5" t="str">
        <f>IFERROR(VLOOKUP(B1159,'Overall Bean Summary'!A$2:B$36,2,FALSE),"")</f>
        <v>Bad</v>
      </c>
      <c r="D1159" s="6">
        <f t="shared" si="14"/>
        <v>0</v>
      </c>
      <c r="E1159" s="6">
        <f t="shared" si="15"/>
        <v>1</v>
      </c>
      <c r="F1159" s="5">
        <f t="shared" si="16"/>
        <v>1</v>
      </c>
      <c r="G1159" s="5">
        <f t="shared" si="17"/>
        <v>1</v>
      </c>
      <c r="H1159" s="5">
        <f t="shared" si="18"/>
        <v>2</v>
      </c>
      <c r="I1159" s="6">
        <f t="shared" si="19"/>
        <v>29</v>
      </c>
    </row>
    <row r="1160">
      <c r="A1160" s="1">
        <v>46126.0</v>
      </c>
      <c r="B1160" s="5" t="s">
        <v>63</v>
      </c>
      <c r="C1160" s="5" t="str">
        <f>IFERROR(VLOOKUP(B1160,'Overall Bean Summary'!A$2:B$36,2,FALSE),"")</f>
        <v>Bad</v>
      </c>
      <c r="D1160" s="6">
        <f t="shared" si="14"/>
        <v>0</v>
      </c>
      <c r="E1160" s="6">
        <f t="shared" si="15"/>
        <v>2</v>
      </c>
      <c r="F1160" s="5">
        <f t="shared" si="16"/>
        <v>1</v>
      </c>
      <c r="G1160" s="5">
        <f t="shared" si="17"/>
        <v>2</v>
      </c>
      <c r="H1160" s="5">
        <f t="shared" si="18"/>
        <v>3</v>
      </c>
      <c r="I1160" s="6">
        <f t="shared" si="19"/>
        <v>30</v>
      </c>
    </row>
    <row r="1161">
      <c r="A1161" s="1">
        <v>46133.0</v>
      </c>
      <c r="B1161" s="5" t="s">
        <v>132</v>
      </c>
      <c r="C1161" s="5" t="str">
        <f>IFERROR(VLOOKUP(B1161,'Overall Bean Summary'!A$2:B$36,2,FALSE),"")</f>
        <v>Bad</v>
      </c>
      <c r="D1161" s="6">
        <f t="shared" si="14"/>
        <v>0</v>
      </c>
      <c r="E1161" s="6">
        <f t="shared" si="15"/>
        <v>3</v>
      </c>
      <c r="F1161" s="5">
        <f t="shared" si="16"/>
        <v>1</v>
      </c>
      <c r="G1161" s="5">
        <f t="shared" si="17"/>
        <v>1</v>
      </c>
      <c r="H1161" s="5">
        <f t="shared" si="18"/>
        <v>4</v>
      </c>
      <c r="I1161" s="6">
        <f t="shared" si="19"/>
        <v>31</v>
      </c>
    </row>
    <row r="1162">
      <c r="A1162" s="1">
        <v>46136.0</v>
      </c>
      <c r="B1162" s="5" t="s">
        <v>44</v>
      </c>
      <c r="C1162" s="5" t="str">
        <f>IFERROR(VLOOKUP(B1162,'Overall Bean Summary'!A$2:B$36,2,FALSE),"")</f>
        <v>Good</v>
      </c>
      <c r="D1162" s="6">
        <f t="shared" si="14"/>
        <v>1</v>
      </c>
      <c r="E1162" s="6">
        <f t="shared" si="15"/>
        <v>0</v>
      </c>
      <c r="F1162" s="5">
        <f t="shared" si="16"/>
        <v>1</v>
      </c>
      <c r="G1162" s="5">
        <f t="shared" si="17"/>
        <v>1</v>
      </c>
      <c r="H1162" s="5">
        <f t="shared" si="18"/>
        <v>5</v>
      </c>
      <c r="I1162" s="6">
        <f t="shared" si="19"/>
        <v>32</v>
      </c>
    </row>
    <row r="1163">
      <c r="A1163" s="1">
        <v>46142.0</v>
      </c>
      <c r="B1163" s="5" t="s">
        <v>34</v>
      </c>
      <c r="C1163" s="5" t="str">
        <f>IFERROR(VLOOKUP(B1163,'Overall Bean Summary'!A$2:B$36,2,FALSE),"")</f>
        <v>Good</v>
      </c>
      <c r="D1163" s="6">
        <f t="shared" si="14"/>
        <v>2</v>
      </c>
      <c r="E1163" s="6">
        <f t="shared" si="15"/>
        <v>0</v>
      </c>
      <c r="F1163" s="5">
        <f t="shared" si="16"/>
        <v>1</v>
      </c>
      <c r="G1163" s="5">
        <f t="shared" si="17"/>
        <v>1</v>
      </c>
      <c r="H1163" s="5">
        <f t="shared" si="18"/>
        <v>6</v>
      </c>
      <c r="I1163" s="6">
        <f t="shared" si="19"/>
        <v>33</v>
      </c>
    </row>
    <row r="1164">
      <c r="A1164" s="1">
        <v>46149.0</v>
      </c>
      <c r="B1164" s="5" t="s">
        <v>40</v>
      </c>
      <c r="C1164" s="5" t="str">
        <f>IFERROR(VLOOKUP(B1164,'Overall Bean Summary'!A$2:B$36,2,FALSE),"")</f>
        <v>Bad</v>
      </c>
      <c r="D1164" s="6">
        <f t="shared" si="14"/>
        <v>0</v>
      </c>
      <c r="E1164" s="6">
        <f t="shared" si="15"/>
        <v>1</v>
      </c>
      <c r="F1164" s="5">
        <f t="shared" si="16"/>
        <v>1</v>
      </c>
      <c r="G1164" s="5">
        <f t="shared" si="17"/>
        <v>1</v>
      </c>
      <c r="H1164" s="5">
        <f t="shared" si="18"/>
        <v>1</v>
      </c>
      <c r="I1164" s="6">
        <f t="shared" si="19"/>
        <v>34</v>
      </c>
    </row>
    <row r="1165">
      <c r="A1165" s="1">
        <v>46149.0</v>
      </c>
      <c r="B1165" s="5" t="s">
        <v>95</v>
      </c>
      <c r="C1165" s="5" t="str">
        <f>IFERROR(VLOOKUP(B1165,'Overall Bean Summary'!A$2:B$36,2,FALSE),"")</f>
        <v>Good</v>
      </c>
      <c r="D1165" s="6">
        <f t="shared" si="14"/>
        <v>1</v>
      </c>
      <c r="E1165" s="6">
        <f t="shared" si="15"/>
        <v>0</v>
      </c>
      <c r="F1165" s="5">
        <f t="shared" si="16"/>
        <v>1</v>
      </c>
      <c r="G1165" s="5">
        <f t="shared" si="17"/>
        <v>2</v>
      </c>
      <c r="H1165" s="5">
        <f t="shared" si="18"/>
        <v>2</v>
      </c>
      <c r="I1165" s="6">
        <f t="shared" si="19"/>
        <v>35</v>
      </c>
      <c r="Q1165" s="5" t="s">
        <v>16</v>
      </c>
      <c r="R1165" s="5" t="s">
        <v>21</v>
      </c>
      <c r="S1165" s="5" t="s">
        <v>16</v>
      </c>
      <c r="T1165" s="5" t="s">
        <v>21</v>
      </c>
    </row>
    <row r="1166">
      <c r="A1166" s="1">
        <v>46153.0</v>
      </c>
      <c r="B1166" s="5" t="s">
        <v>63</v>
      </c>
      <c r="C1166" s="5" t="str">
        <f>IFERROR(VLOOKUP(B1166,'Overall Bean Summary'!A$2:B$36,2,FALSE),"")</f>
        <v>Bad</v>
      </c>
      <c r="D1166" s="6">
        <f t="shared" si="14"/>
        <v>0</v>
      </c>
      <c r="E1166" s="6">
        <f t="shared" si="15"/>
        <v>1</v>
      </c>
      <c r="F1166" s="5">
        <f t="shared" si="16"/>
        <v>1</v>
      </c>
      <c r="G1166" s="5">
        <f t="shared" si="17"/>
        <v>1</v>
      </c>
      <c r="H1166" s="5">
        <f t="shared" si="18"/>
        <v>3</v>
      </c>
      <c r="I1166" s="6">
        <f t="shared" si="19"/>
        <v>36</v>
      </c>
      <c r="L1166" s="5" t="s">
        <v>20</v>
      </c>
      <c r="Q1166" s="24">
        <f>COUNTIF(C1166:C1250, "Good") + COUNTIF(C1185:C1250,"Good") + COUNTIF(C1188:C1250,"Good")</f>
        <v>31</v>
      </c>
      <c r="R1166" s="24">
        <f>COUNTIF(C1166:C1250, "Bad") + COUNTIF(C1185:C1250, "Bad") + COUNTIF(C1188:C1250, "Bad")</f>
        <v>75</v>
      </c>
      <c r="S1166" s="25">
        <f>Q1166/(Q1166+R1166)</f>
        <v>0.2924528302</v>
      </c>
      <c r="T1166" s="25">
        <f>R1166/(Q1166+R1166)</f>
        <v>0.7075471698</v>
      </c>
    </row>
    <row r="1167">
      <c r="A1167" s="1">
        <v>46153.0</v>
      </c>
      <c r="B1167" s="5" t="s">
        <v>56</v>
      </c>
      <c r="C1167" s="5" t="str">
        <f>IFERROR(VLOOKUP(B1167,'Overall Bean Summary'!A$2:B$36,2,FALSE),"")</f>
        <v>Good</v>
      </c>
      <c r="D1167" s="6">
        <f t="shared" si="14"/>
        <v>1</v>
      </c>
      <c r="E1167" s="6">
        <f t="shared" si="15"/>
        <v>0</v>
      </c>
      <c r="F1167" s="5">
        <f t="shared" si="16"/>
        <v>1</v>
      </c>
      <c r="G1167" s="5">
        <f t="shared" si="17"/>
        <v>2</v>
      </c>
      <c r="H1167" s="5">
        <f t="shared" si="18"/>
        <v>4</v>
      </c>
      <c r="I1167" s="6">
        <f t="shared" si="19"/>
        <v>37</v>
      </c>
    </row>
    <row r="1168">
      <c r="A1168" s="1">
        <v>46154.0</v>
      </c>
      <c r="B1168" s="5" t="s">
        <v>44</v>
      </c>
      <c r="C1168" s="5" t="str">
        <f>IFERROR(VLOOKUP(B1168,'Overall Bean Summary'!A$2:B$36,2,FALSE),"")</f>
        <v>Good</v>
      </c>
      <c r="D1168" s="6">
        <f t="shared" si="14"/>
        <v>2</v>
      </c>
      <c r="E1168" s="6">
        <f t="shared" si="15"/>
        <v>0</v>
      </c>
      <c r="F1168" s="5">
        <f t="shared" si="16"/>
        <v>1</v>
      </c>
      <c r="G1168" s="5">
        <f t="shared" si="17"/>
        <v>1</v>
      </c>
      <c r="H1168" s="5">
        <f t="shared" si="18"/>
        <v>5</v>
      </c>
      <c r="I1168" s="6">
        <f t="shared" si="19"/>
        <v>38</v>
      </c>
    </row>
    <row r="1169">
      <c r="A1169" s="1">
        <v>46154.0</v>
      </c>
      <c r="B1169" s="5" t="s">
        <v>40</v>
      </c>
      <c r="C1169" s="5" t="str">
        <f>IFERROR(VLOOKUP(B1169,'Overall Bean Summary'!A$2:B$36,2,FALSE),"")</f>
        <v>Bad</v>
      </c>
      <c r="D1169" s="6">
        <f t="shared" si="14"/>
        <v>0</v>
      </c>
      <c r="E1169" s="6">
        <f t="shared" si="15"/>
        <v>1</v>
      </c>
      <c r="F1169" s="5">
        <f t="shared" si="16"/>
        <v>1</v>
      </c>
      <c r="G1169" s="5">
        <f t="shared" si="17"/>
        <v>2</v>
      </c>
      <c r="H1169" s="5">
        <f t="shared" si="18"/>
        <v>6</v>
      </c>
      <c r="I1169" s="6">
        <f t="shared" si="19"/>
        <v>39</v>
      </c>
    </row>
    <row r="1170">
      <c r="A1170" s="1">
        <v>46154.0</v>
      </c>
      <c r="B1170" s="5" t="s">
        <v>69</v>
      </c>
      <c r="C1170" s="5" t="str">
        <f>IFERROR(VLOOKUP(B1170,'Overall Bean Summary'!A$2:B$36,2,FALSE),"")</f>
        <v>Bad</v>
      </c>
      <c r="D1170" s="6">
        <f t="shared" si="14"/>
        <v>0</v>
      </c>
      <c r="E1170" s="6">
        <f t="shared" si="15"/>
        <v>2</v>
      </c>
      <c r="F1170" s="5">
        <f t="shared" si="16"/>
        <v>1</v>
      </c>
      <c r="G1170" s="5">
        <f t="shared" si="17"/>
        <v>3</v>
      </c>
      <c r="H1170" s="5">
        <f t="shared" si="18"/>
        <v>7</v>
      </c>
      <c r="I1170" s="6">
        <f t="shared" si="19"/>
        <v>40</v>
      </c>
    </row>
    <row r="1171">
      <c r="A1171" s="1">
        <v>46157.0</v>
      </c>
      <c r="B1171" s="5" t="s">
        <v>40</v>
      </c>
      <c r="C1171" s="5" t="str">
        <f>IFERROR(VLOOKUP(B1171,'Overall Bean Summary'!A$2:B$36,2,FALSE),"")</f>
        <v>Bad</v>
      </c>
      <c r="D1171" s="6">
        <f t="shared" si="14"/>
        <v>0</v>
      </c>
      <c r="E1171" s="6">
        <f t="shared" si="15"/>
        <v>3</v>
      </c>
      <c r="F1171" s="5">
        <f t="shared" si="16"/>
        <v>1</v>
      </c>
      <c r="G1171" s="5">
        <f t="shared" si="17"/>
        <v>1</v>
      </c>
      <c r="H1171" s="5">
        <f t="shared" si="18"/>
        <v>8</v>
      </c>
      <c r="I1171" s="6">
        <f t="shared" si="19"/>
        <v>41</v>
      </c>
    </row>
    <row r="1172">
      <c r="A1172" s="1">
        <v>46157.0</v>
      </c>
      <c r="B1172" s="5" t="s">
        <v>80</v>
      </c>
      <c r="C1172" s="5" t="str">
        <f>IFERROR(VLOOKUP(B1172,'Overall Bean Summary'!A$2:B$36,2,FALSE),"")</f>
        <v>Bad</v>
      </c>
      <c r="D1172" s="6">
        <f t="shared" si="14"/>
        <v>0</v>
      </c>
      <c r="E1172" s="6">
        <f t="shared" si="15"/>
        <v>4</v>
      </c>
      <c r="F1172" s="5">
        <f t="shared" si="16"/>
        <v>1</v>
      </c>
      <c r="G1172" s="5">
        <f t="shared" si="17"/>
        <v>2</v>
      </c>
      <c r="H1172" s="5">
        <f t="shared" si="18"/>
        <v>9</v>
      </c>
      <c r="I1172" s="6">
        <f t="shared" si="19"/>
        <v>42</v>
      </c>
    </row>
    <row r="1173">
      <c r="A1173" s="1">
        <v>46174.0</v>
      </c>
      <c r="B1173" s="5" t="s">
        <v>45</v>
      </c>
      <c r="C1173" s="5" t="str">
        <f>IFERROR(VLOOKUP(B1173,'Overall Bean Summary'!A$2:B$36,2,FALSE),"")</f>
        <v>Good</v>
      </c>
      <c r="D1173" s="6">
        <f t="shared" si="14"/>
        <v>1</v>
      </c>
      <c r="E1173" s="6">
        <f t="shared" si="15"/>
        <v>0</v>
      </c>
      <c r="F1173" s="5">
        <f t="shared" si="16"/>
        <v>1</v>
      </c>
      <c r="G1173" s="5">
        <f t="shared" si="17"/>
        <v>1</v>
      </c>
      <c r="H1173" s="5">
        <f t="shared" si="18"/>
        <v>1</v>
      </c>
      <c r="I1173" s="6">
        <f t="shared" si="19"/>
        <v>43</v>
      </c>
    </row>
    <row r="1174">
      <c r="A1174" s="1">
        <v>46191.0</v>
      </c>
      <c r="B1174" s="5" t="s">
        <v>80</v>
      </c>
      <c r="C1174" s="5" t="str">
        <f>IFERROR(VLOOKUP(B1174,'Overall Bean Summary'!A$2:B$36,2,FALSE),"")</f>
        <v>Bad</v>
      </c>
      <c r="D1174" s="6">
        <f t="shared" si="14"/>
        <v>0</v>
      </c>
      <c r="E1174" s="6">
        <f t="shared" si="15"/>
        <v>1</v>
      </c>
      <c r="F1174" s="5">
        <f t="shared" si="16"/>
        <v>1</v>
      </c>
      <c r="G1174" s="5">
        <f t="shared" si="17"/>
        <v>1</v>
      </c>
      <c r="H1174" s="5">
        <f t="shared" si="18"/>
        <v>2</v>
      </c>
      <c r="I1174" s="6">
        <f t="shared" si="19"/>
        <v>44</v>
      </c>
    </row>
    <row r="1175">
      <c r="A1175" s="1">
        <v>46231.0</v>
      </c>
      <c r="B1175" s="5" t="s">
        <v>69</v>
      </c>
      <c r="C1175" s="5" t="str">
        <f>IFERROR(VLOOKUP(B1175,'Overall Bean Summary'!A$2:B$36,2,FALSE),"")</f>
        <v>Bad</v>
      </c>
      <c r="D1175" s="6">
        <f t="shared" si="14"/>
        <v>0</v>
      </c>
      <c r="E1175" s="6">
        <f t="shared" si="15"/>
        <v>2</v>
      </c>
      <c r="F1175" s="5">
        <f t="shared" si="16"/>
        <v>1</v>
      </c>
      <c r="G1175" s="5">
        <f t="shared" si="17"/>
        <v>1</v>
      </c>
      <c r="H1175" s="5">
        <f t="shared" si="18"/>
        <v>1</v>
      </c>
      <c r="I1175" s="6">
        <f t="shared" si="19"/>
        <v>45</v>
      </c>
    </row>
    <row r="1176">
      <c r="A1176" s="1">
        <v>46248.0</v>
      </c>
      <c r="B1176" s="5" t="s">
        <v>69</v>
      </c>
      <c r="C1176" s="5" t="str">
        <f>IFERROR(VLOOKUP(B1176,'Overall Bean Summary'!A$2:B$36,2,FALSE),"")</f>
        <v>Bad</v>
      </c>
      <c r="D1176" s="6">
        <f t="shared" si="14"/>
        <v>0</v>
      </c>
      <c r="E1176" s="6">
        <f t="shared" si="15"/>
        <v>3</v>
      </c>
      <c r="F1176" s="5">
        <f t="shared" si="16"/>
        <v>2</v>
      </c>
      <c r="G1176" s="5">
        <f t="shared" si="17"/>
        <v>1</v>
      </c>
      <c r="H1176" s="5">
        <f t="shared" si="18"/>
        <v>1</v>
      </c>
      <c r="I1176" s="6">
        <f t="shared" si="19"/>
        <v>46</v>
      </c>
    </row>
    <row r="1177">
      <c r="A1177" s="1">
        <v>46248.0</v>
      </c>
      <c r="B1177" s="5" t="s">
        <v>132</v>
      </c>
      <c r="C1177" s="5" t="str">
        <f>IFERROR(VLOOKUP(B1177,'Overall Bean Summary'!A$2:B$36,2,FALSE),"")</f>
        <v>Bad</v>
      </c>
      <c r="D1177" s="6">
        <f t="shared" si="14"/>
        <v>0</v>
      </c>
      <c r="E1177" s="6">
        <f t="shared" si="15"/>
        <v>4</v>
      </c>
      <c r="F1177" s="5">
        <f t="shared" si="16"/>
        <v>1</v>
      </c>
      <c r="G1177" s="5">
        <f t="shared" si="17"/>
        <v>2</v>
      </c>
      <c r="H1177" s="5">
        <f t="shared" si="18"/>
        <v>2</v>
      </c>
      <c r="I1177" s="6">
        <f t="shared" si="19"/>
        <v>47</v>
      </c>
    </row>
    <row r="1178">
      <c r="A1178" s="1">
        <v>46248.0</v>
      </c>
      <c r="B1178" s="5" t="s">
        <v>136</v>
      </c>
      <c r="C1178" s="5" t="str">
        <f>IFERROR(VLOOKUP(B1178,'Overall Bean Summary'!A$2:B$36,2,FALSE),"")</f>
        <v>Bad</v>
      </c>
      <c r="D1178" s="6">
        <f t="shared" si="14"/>
        <v>0</v>
      </c>
      <c r="E1178" s="6">
        <f t="shared" si="15"/>
        <v>5</v>
      </c>
      <c r="F1178" s="5">
        <f t="shared" si="16"/>
        <v>1</v>
      </c>
      <c r="G1178" s="5">
        <f t="shared" si="17"/>
        <v>3</v>
      </c>
      <c r="H1178" s="5">
        <f t="shared" si="18"/>
        <v>3</v>
      </c>
      <c r="I1178" s="6">
        <f t="shared" si="19"/>
        <v>48</v>
      </c>
    </row>
    <row r="1179">
      <c r="A1179" s="1">
        <v>46255.0</v>
      </c>
      <c r="B1179" s="5" t="s">
        <v>85</v>
      </c>
      <c r="C1179" s="5" t="str">
        <f>IFERROR(VLOOKUP(B1179,'Overall Bean Summary'!A$2:B$36,2,FALSE),"")</f>
        <v>Good</v>
      </c>
      <c r="D1179" s="6">
        <f t="shared" si="14"/>
        <v>1</v>
      </c>
      <c r="E1179" s="6">
        <f t="shared" si="15"/>
        <v>0</v>
      </c>
      <c r="F1179" s="5">
        <f t="shared" si="16"/>
        <v>1</v>
      </c>
      <c r="G1179" s="5">
        <f t="shared" si="17"/>
        <v>1</v>
      </c>
      <c r="H1179" s="5">
        <f t="shared" si="18"/>
        <v>4</v>
      </c>
      <c r="I1179" s="6">
        <f t="shared" si="19"/>
        <v>49</v>
      </c>
    </row>
    <row r="1180">
      <c r="A1180" s="1">
        <v>46255.0</v>
      </c>
      <c r="B1180" s="5" t="s">
        <v>58</v>
      </c>
      <c r="C1180" s="5" t="str">
        <f>IFERROR(VLOOKUP(B1180,'Overall Bean Summary'!A$2:B$36,2,FALSE),"")</f>
        <v>Bad</v>
      </c>
      <c r="D1180" s="6">
        <f t="shared" si="14"/>
        <v>0</v>
      </c>
      <c r="E1180" s="6">
        <f t="shared" si="15"/>
        <v>1</v>
      </c>
      <c r="F1180" s="5">
        <f t="shared" si="16"/>
        <v>1</v>
      </c>
      <c r="G1180" s="5">
        <f t="shared" si="17"/>
        <v>2</v>
      </c>
      <c r="H1180" s="5">
        <f t="shared" si="18"/>
        <v>5</v>
      </c>
      <c r="I1180" s="6">
        <f t="shared" si="19"/>
        <v>50</v>
      </c>
    </row>
    <row r="1181">
      <c r="A1181" s="1">
        <v>46255.0</v>
      </c>
      <c r="B1181" s="5" t="s">
        <v>40</v>
      </c>
      <c r="C1181" s="5" t="str">
        <f>IFERROR(VLOOKUP(B1181,'Overall Bean Summary'!A$2:B$36,2,FALSE),"")</f>
        <v>Bad</v>
      </c>
      <c r="D1181" s="6">
        <f t="shared" si="14"/>
        <v>0</v>
      </c>
      <c r="E1181" s="6">
        <f t="shared" si="15"/>
        <v>2</v>
      </c>
      <c r="F1181" s="5">
        <f t="shared" si="16"/>
        <v>1</v>
      </c>
      <c r="G1181" s="5">
        <f t="shared" si="17"/>
        <v>3</v>
      </c>
      <c r="H1181" s="5">
        <f t="shared" si="18"/>
        <v>6</v>
      </c>
      <c r="I1181" s="6">
        <f t="shared" si="19"/>
        <v>51</v>
      </c>
    </row>
    <row r="1182">
      <c r="A1182" s="1">
        <v>46255.0</v>
      </c>
      <c r="B1182" s="5" t="s">
        <v>45</v>
      </c>
      <c r="C1182" s="5" t="str">
        <f>IFERROR(VLOOKUP(B1182,'Overall Bean Summary'!A$2:B$36,2,FALSE),"")</f>
        <v>Good</v>
      </c>
      <c r="D1182" s="6">
        <f t="shared" si="14"/>
        <v>1</v>
      </c>
      <c r="E1182" s="6">
        <f t="shared" si="15"/>
        <v>0</v>
      </c>
      <c r="F1182" s="5">
        <f t="shared" si="16"/>
        <v>1</v>
      </c>
      <c r="G1182" s="5">
        <f t="shared" si="17"/>
        <v>4</v>
      </c>
      <c r="H1182" s="5">
        <f t="shared" si="18"/>
        <v>7</v>
      </c>
      <c r="I1182" s="6">
        <f t="shared" si="19"/>
        <v>52</v>
      </c>
    </row>
    <row r="1183">
      <c r="A1183" s="1">
        <v>46255.0</v>
      </c>
      <c r="B1183" s="5" t="s">
        <v>95</v>
      </c>
      <c r="C1183" s="5" t="str">
        <f>IFERROR(VLOOKUP(B1183,'Overall Bean Summary'!A$2:B$36,2,FALSE),"")</f>
        <v>Good</v>
      </c>
      <c r="D1183" s="6">
        <f t="shared" si="14"/>
        <v>2</v>
      </c>
      <c r="E1183" s="6">
        <f t="shared" si="15"/>
        <v>0</v>
      </c>
      <c r="F1183" s="5">
        <f t="shared" si="16"/>
        <v>1</v>
      </c>
      <c r="G1183" s="5">
        <f t="shared" si="17"/>
        <v>5</v>
      </c>
      <c r="H1183" s="5">
        <f t="shared" si="18"/>
        <v>8</v>
      </c>
      <c r="I1183" s="6">
        <f t="shared" si="19"/>
        <v>53</v>
      </c>
      <c r="L1183" s="5" t="s">
        <v>370</v>
      </c>
    </row>
    <row r="1184">
      <c r="A1184" s="1">
        <v>46255.0</v>
      </c>
      <c r="B1184" s="5" t="s">
        <v>132</v>
      </c>
      <c r="C1184" s="5" t="str">
        <f>IFERROR(VLOOKUP(B1184,'Overall Bean Summary'!A$2:B$36,2,FALSE),"")</f>
        <v>Bad</v>
      </c>
      <c r="D1184" s="6">
        <f t="shared" si="14"/>
        <v>0</v>
      </c>
      <c r="E1184" s="6">
        <f t="shared" si="15"/>
        <v>1</v>
      </c>
      <c r="F1184" s="5">
        <f t="shared" si="16"/>
        <v>1</v>
      </c>
      <c r="G1184" s="5">
        <f t="shared" si="17"/>
        <v>6</v>
      </c>
      <c r="H1184" s="5">
        <f t="shared" si="18"/>
        <v>9</v>
      </c>
      <c r="I1184" s="6">
        <f t="shared" si="19"/>
        <v>54</v>
      </c>
    </row>
    <row r="1185">
      <c r="A1185" s="1">
        <v>46261.0</v>
      </c>
      <c r="B1185" s="5" t="s">
        <v>51</v>
      </c>
      <c r="C1185" s="5" t="str">
        <f>IFERROR(VLOOKUP(B1185,'Overall Bean Summary'!A$2:B$36,2,FALSE),"")</f>
        <v>Bad</v>
      </c>
      <c r="D1185" s="6">
        <f t="shared" si="14"/>
        <v>0</v>
      </c>
      <c r="E1185" s="6">
        <f t="shared" si="15"/>
        <v>2</v>
      </c>
      <c r="F1185" s="5">
        <f t="shared" si="16"/>
        <v>1</v>
      </c>
      <c r="G1185" s="5">
        <f t="shared" si="17"/>
        <v>1</v>
      </c>
      <c r="H1185" s="5">
        <f t="shared" si="18"/>
        <v>10</v>
      </c>
      <c r="I1185" s="6">
        <f t="shared" si="19"/>
        <v>55</v>
      </c>
    </row>
    <row r="1186">
      <c r="A1186" s="22">
        <v>46262.0</v>
      </c>
      <c r="B1186" s="5" t="s">
        <v>45</v>
      </c>
      <c r="C1186" s="5" t="str">
        <f>IFERROR(VLOOKUP(B1186,'Overall Bean Summary'!A$2:B$36,2,FALSE),"")</f>
        <v>Good</v>
      </c>
      <c r="D1186" s="6">
        <f t="shared" si="14"/>
        <v>1</v>
      </c>
      <c r="E1186" s="6">
        <f t="shared" si="15"/>
        <v>0</v>
      </c>
      <c r="F1186" s="5">
        <f t="shared" si="16"/>
        <v>1</v>
      </c>
      <c r="G1186" s="5">
        <f t="shared" si="17"/>
        <v>1</v>
      </c>
      <c r="H1186" s="5">
        <f t="shared" si="18"/>
        <v>11</v>
      </c>
      <c r="I1186" s="6">
        <f t="shared" si="19"/>
        <v>56</v>
      </c>
    </row>
    <row r="1187">
      <c r="A1187" s="1">
        <v>46266.0</v>
      </c>
      <c r="B1187" s="5" t="s">
        <v>85</v>
      </c>
      <c r="C1187" s="5" t="str">
        <f>IFERROR(VLOOKUP(B1187,'Overall Bean Summary'!A$2:B$36,2,FALSE),"")</f>
        <v>Good</v>
      </c>
      <c r="D1187" s="6">
        <f t="shared" si="14"/>
        <v>2</v>
      </c>
      <c r="E1187" s="6">
        <f t="shared" si="15"/>
        <v>0</v>
      </c>
      <c r="F1187" s="5">
        <f t="shared" si="16"/>
        <v>1</v>
      </c>
      <c r="G1187" s="5">
        <f t="shared" si="17"/>
        <v>1</v>
      </c>
      <c r="H1187" s="5">
        <f t="shared" si="18"/>
        <v>1</v>
      </c>
      <c r="I1187" s="6">
        <f t="shared" si="19"/>
        <v>57</v>
      </c>
    </row>
    <row r="1188">
      <c r="A1188" s="1">
        <v>46266.0</v>
      </c>
      <c r="B1188" s="5" t="s">
        <v>40</v>
      </c>
      <c r="C1188" s="5" t="str">
        <f>IFERROR(VLOOKUP(B1188,'Overall Bean Summary'!A$2:B$36,2,FALSE),"")</f>
        <v>Bad</v>
      </c>
      <c r="D1188" s="6">
        <f t="shared" si="14"/>
        <v>0</v>
      </c>
      <c r="E1188" s="6">
        <f t="shared" si="15"/>
        <v>1</v>
      </c>
      <c r="F1188" s="5">
        <f t="shared" si="16"/>
        <v>1</v>
      </c>
      <c r="G1188" s="5">
        <f t="shared" si="17"/>
        <v>2</v>
      </c>
      <c r="H1188" s="5">
        <f t="shared" si="18"/>
        <v>2</v>
      </c>
      <c r="I1188" s="6">
        <f t="shared" si="19"/>
        <v>58</v>
      </c>
    </row>
    <row r="1189">
      <c r="A1189" s="1">
        <v>46266.0</v>
      </c>
      <c r="B1189" s="5" t="s">
        <v>128</v>
      </c>
      <c r="C1189" s="5" t="str">
        <f>IFERROR(VLOOKUP(B1189,'Overall Bean Summary'!A$2:B$36,2,FALSE),"")</f>
        <v>Good</v>
      </c>
      <c r="D1189" s="6">
        <f t="shared" si="14"/>
        <v>1</v>
      </c>
      <c r="E1189" s="6">
        <f t="shared" si="15"/>
        <v>0</v>
      </c>
      <c r="F1189" s="5">
        <f t="shared" si="16"/>
        <v>1</v>
      </c>
      <c r="G1189" s="5">
        <f t="shared" si="17"/>
        <v>3</v>
      </c>
      <c r="H1189" s="5">
        <f t="shared" si="18"/>
        <v>3</v>
      </c>
      <c r="I1189" s="6">
        <f t="shared" si="19"/>
        <v>59</v>
      </c>
    </row>
    <row r="1190">
      <c r="A1190" s="1">
        <v>46266.0</v>
      </c>
      <c r="B1190" s="5" t="s">
        <v>58</v>
      </c>
      <c r="C1190" s="5" t="str">
        <f>IFERROR(VLOOKUP(B1190,'Overall Bean Summary'!A$2:B$36,2,FALSE),"")</f>
        <v>Bad</v>
      </c>
      <c r="D1190" s="6">
        <f t="shared" si="14"/>
        <v>0</v>
      </c>
      <c r="E1190" s="6">
        <f t="shared" si="15"/>
        <v>1</v>
      </c>
      <c r="F1190" s="5">
        <f t="shared" si="16"/>
        <v>1</v>
      </c>
      <c r="G1190" s="5">
        <f t="shared" si="17"/>
        <v>4</v>
      </c>
      <c r="H1190" s="5">
        <f t="shared" si="18"/>
        <v>4</v>
      </c>
      <c r="I1190" s="6">
        <f t="shared" si="19"/>
        <v>60</v>
      </c>
    </row>
    <row r="1191">
      <c r="A1191" s="1">
        <v>46266.0</v>
      </c>
      <c r="B1191" s="5" t="s">
        <v>134</v>
      </c>
      <c r="C1191" s="5" t="str">
        <f>IFERROR(VLOOKUP(B1191,'Overall Bean Summary'!A$2:B$36,2,FALSE),"")</f>
        <v>Good</v>
      </c>
      <c r="D1191" s="6">
        <f t="shared" si="14"/>
        <v>1</v>
      </c>
      <c r="E1191" s="6">
        <f t="shared" si="15"/>
        <v>0</v>
      </c>
      <c r="F1191" s="5">
        <f t="shared" si="16"/>
        <v>1</v>
      </c>
      <c r="G1191" s="5">
        <f t="shared" si="17"/>
        <v>5</v>
      </c>
      <c r="H1191" s="5">
        <f t="shared" si="18"/>
        <v>5</v>
      </c>
      <c r="I1191" s="6">
        <f t="shared" si="19"/>
        <v>61</v>
      </c>
    </row>
    <row r="1192">
      <c r="A1192" s="1">
        <v>46266.0</v>
      </c>
      <c r="B1192" s="5" t="s">
        <v>69</v>
      </c>
      <c r="C1192" s="5" t="str">
        <f>IFERROR(VLOOKUP(B1192,'Overall Bean Summary'!A$2:B$36,2,FALSE),"")</f>
        <v>Bad</v>
      </c>
      <c r="D1192" s="6">
        <f t="shared" si="14"/>
        <v>0</v>
      </c>
      <c r="E1192" s="6">
        <f t="shared" si="15"/>
        <v>1</v>
      </c>
      <c r="F1192" s="5">
        <f t="shared" si="16"/>
        <v>1</v>
      </c>
      <c r="G1192" s="5">
        <f t="shared" si="17"/>
        <v>6</v>
      </c>
      <c r="H1192" s="5">
        <f t="shared" si="18"/>
        <v>6</v>
      </c>
      <c r="I1192" s="6">
        <f t="shared" si="19"/>
        <v>62</v>
      </c>
    </row>
    <row r="1193">
      <c r="A1193" s="1">
        <v>46266.0</v>
      </c>
      <c r="B1193" s="5" t="s">
        <v>45</v>
      </c>
      <c r="C1193" s="5" t="str">
        <f>IFERROR(VLOOKUP(B1193,'Overall Bean Summary'!A$2:B$36,2,FALSE),"")</f>
        <v>Good</v>
      </c>
      <c r="D1193" s="6">
        <f t="shared" si="14"/>
        <v>1</v>
      </c>
      <c r="E1193" s="6">
        <f t="shared" si="15"/>
        <v>0</v>
      </c>
      <c r="F1193" s="5">
        <f t="shared" si="16"/>
        <v>1</v>
      </c>
      <c r="G1193" s="5">
        <f t="shared" si="17"/>
        <v>7</v>
      </c>
      <c r="H1193" s="5">
        <f t="shared" si="18"/>
        <v>7</v>
      </c>
      <c r="I1193" s="6">
        <f t="shared" si="19"/>
        <v>63</v>
      </c>
    </row>
    <row r="1194">
      <c r="A1194" s="1">
        <v>46266.0</v>
      </c>
      <c r="B1194" s="5" t="s">
        <v>132</v>
      </c>
      <c r="C1194" s="5" t="str">
        <f>IFERROR(VLOOKUP(B1194,'Overall Bean Summary'!A$2:B$36,2,FALSE),"")</f>
        <v>Bad</v>
      </c>
      <c r="D1194" s="6">
        <f t="shared" si="14"/>
        <v>0</v>
      </c>
      <c r="E1194" s="6">
        <f t="shared" si="15"/>
        <v>1</v>
      </c>
      <c r="F1194" s="5">
        <f t="shared" si="16"/>
        <v>1</v>
      </c>
      <c r="G1194" s="5">
        <f t="shared" si="17"/>
        <v>8</v>
      </c>
      <c r="H1194" s="5">
        <f t="shared" si="18"/>
        <v>8</v>
      </c>
      <c r="I1194" s="6">
        <f t="shared" si="19"/>
        <v>64</v>
      </c>
    </row>
    <row r="1195">
      <c r="A1195" s="1">
        <v>46266.0</v>
      </c>
      <c r="B1195" s="5" t="s">
        <v>48</v>
      </c>
      <c r="C1195" s="5" t="str">
        <f>IFERROR(VLOOKUP(B1195,'Overall Bean Summary'!A$2:B$36,2,FALSE),"")</f>
        <v>Bad</v>
      </c>
      <c r="D1195" s="6">
        <f t="shared" si="14"/>
        <v>0</v>
      </c>
      <c r="E1195" s="6">
        <f t="shared" si="15"/>
        <v>2</v>
      </c>
      <c r="F1195" s="5">
        <f t="shared" si="16"/>
        <v>1</v>
      </c>
      <c r="G1195" s="5">
        <f t="shared" si="17"/>
        <v>9</v>
      </c>
      <c r="H1195" s="5">
        <f t="shared" si="18"/>
        <v>9</v>
      </c>
      <c r="I1195" s="6">
        <f t="shared" si="19"/>
        <v>65</v>
      </c>
    </row>
    <row r="1196">
      <c r="A1196" s="1">
        <v>46272.0</v>
      </c>
      <c r="B1196" s="5" t="s">
        <v>40</v>
      </c>
      <c r="C1196" s="5" t="str">
        <f>IFERROR(VLOOKUP(B1196,'Overall Bean Summary'!A$2:B$36,2,FALSE),"")</f>
        <v>Bad</v>
      </c>
      <c r="D1196" s="6">
        <f t="shared" si="14"/>
        <v>0</v>
      </c>
      <c r="E1196" s="6">
        <f t="shared" si="15"/>
        <v>3</v>
      </c>
      <c r="F1196" s="5">
        <f t="shared" si="16"/>
        <v>1</v>
      </c>
      <c r="G1196" s="5">
        <f t="shared" si="17"/>
        <v>1</v>
      </c>
      <c r="H1196" s="5">
        <f t="shared" si="18"/>
        <v>10</v>
      </c>
      <c r="I1196" s="6">
        <f t="shared" si="19"/>
        <v>66</v>
      </c>
    </row>
    <row r="1197">
      <c r="A1197" s="1">
        <v>46272.0</v>
      </c>
      <c r="B1197" s="5" t="s">
        <v>132</v>
      </c>
      <c r="C1197" s="5" t="str">
        <f>IFERROR(VLOOKUP(B1197,'Overall Bean Summary'!A$2:B$36,2,FALSE),"")</f>
        <v>Bad</v>
      </c>
      <c r="D1197" s="6">
        <f t="shared" si="14"/>
        <v>0</v>
      </c>
      <c r="E1197" s="6">
        <f t="shared" si="15"/>
        <v>4</v>
      </c>
      <c r="F1197" s="5">
        <f t="shared" si="16"/>
        <v>1</v>
      </c>
      <c r="G1197" s="5">
        <f t="shared" si="17"/>
        <v>2</v>
      </c>
      <c r="H1197" s="5">
        <f t="shared" si="18"/>
        <v>11</v>
      </c>
      <c r="I1197" s="6">
        <f t="shared" si="19"/>
        <v>67</v>
      </c>
    </row>
    <row r="1198">
      <c r="A1198" s="1">
        <v>46273.0</v>
      </c>
      <c r="B1198" s="5" t="s">
        <v>80</v>
      </c>
      <c r="C1198" s="5" t="str">
        <f>IFERROR(VLOOKUP(B1198,'Overall Bean Summary'!A$2:B$36,2,FALSE),"")</f>
        <v>Bad</v>
      </c>
      <c r="D1198" s="6">
        <f t="shared" si="14"/>
        <v>0</v>
      </c>
      <c r="E1198" s="6">
        <f t="shared" si="15"/>
        <v>5</v>
      </c>
      <c r="F1198" s="5">
        <f t="shared" si="16"/>
        <v>1</v>
      </c>
      <c r="G1198" s="5">
        <f t="shared" si="17"/>
        <v>1</v>
      </c>
      <c r="H1198" s="5">
        <f t="shared" si="18"/>
        <v>12</v>
      </c>
      <c r="I1198" s="6">
        <f t="shared" si="19"/>
        <v>68</v>
      </c>
    </row>
    <row r="1199">
      <c r="A1199" s="1">
        <v>46275.0</v>
      </c>
      <c r="B1199" s="5" t="s">
        <v>40</v>
      </c>
      <c r="C1199" s="5" t="str">
        <f>IFERROR(VLOOKUP(B1199,'Overall Bean Summary'!A$2:B$36,2,FALSE),"")</f>
        <v>Bad</v>
      </c>
      <c r="D1199" s="6">
        <f t="shared" si="14"/>
        <v>0</v>
      </c>
      <c r="E1199" s="6">
        <f t="shared" si="15"/>
        <v>6</v>
      </c>
      <c r="F1199" s="5">
        <f t="shared" si="16"/>
        <v>1</v>
      </c>
      <c r="G1199" s="5">
        <f t="shared" si="17"/>
        <v>1</v>
      </c>
      <c r="H1199" s="5">
        <f t="shared" si="18"/>
        <v>13</v>
      </c>
      <c r="I1199" s="6">
        <f t="shared" si="19"/>
        <v>69</v>
      </c>
    </row>
    <row r="1200">
      <c r="A1200" s="1">
        <v>46276.0</v>
      </c>
      <c r="B1200" s="5" t="s">
        <v>40</v>
      </c>
      <c r="C1200" s="5" t="str">
        <f>IFERROR(VLOOKUP(B1200,'Overall Bean Summary'!A$2:B$36,2,FALSE),"")</f>
        <v>Bad</v>
      </c>
      <c r="D1200" s="6">
        <f t="shared" si="14"/>
        <v>0</v>
      </c>
      <c r="E1200" s="6">
        <f t="shared" si="15"/>
        <v>7</v>
      </c>
      <c r="F1200" s="5">
        <f t="shared" si="16"/>
        <v>2</v>
      </c>
      <c r="G1200" s="5">
        <f t="shared" si="17"/>
        <v>1</v>
      </c>
      <c r="H1200" s="5">
        <f t="shared" si="18"/>
        <v>14</v>
      </c>
      <c r="I1200" s="6">
        <f t="shared" si="19"/>
        <v>70</v>
      </c>
    </row>
    <row r="1201">
      <c r="A1201" s="1">
        <v>46276.0</v>
      </c>
      <c r="B1201" s="5" t="s">
        <v>45</v>
      </c>
      <c r="C1201" s="5" t="str">
        <f>IFERROR(VLOOKUP(B1201,'Overall Bean Summary'!A$2:B$36,2,FALSE),"")</f>
        <v>Good</v>
      </c>
      <c r="D1201" s="6">
        <f t="shared" si="14"/>
        <v>1</v>
      </c>
      <c r="E1201" s="6">
        <f t="shared" si="15"/>
        <v>0</v>
      </c>
      <c r="F1201" s="5">
        <f t="shared" si="16"/>
        <v>1</v>
      </c>
      <c r="G1201" s="5">
        <f t="shared" si="17"/>
        <v>2</v>
      </c>
      <c r="H1201" s="5">
        <f t="shared" si="18"/>
        <v>15</v>
      </c>
      <c r="I1201" s="6">
        <f t="shared" si="19"/>
        <v>71</v>
      </c>
    </row>
    <row r="1202">
      <c r="A1202" s="1">
        <v>46276.0</v>
      </c>
      <c r="B1202" s="5" t="s">
        <v>58</v>
      </c>
      <c r="C1202" s="5" t="str">
        <f>IFERROR(VLOOKUP(B1202,'Overall Bean Summary'!A$2:B$36,2,FALSE),"")</f>
        <v>Bad</v>
      </c>
      <c r="D1202" s="6">
        <f t="shared" si="14"/>
        <v>0</v>
      </c>
      <c r="E1202" s="6">
        <f t="shared" si="15"/>
        <v>1</v>
      </c>
      <c r="F1202" s="5">
        <f t="shared" si="16"/>
        <v>1</v>
      </c>
      <c r="G1202" s="5">
        <f t="shared" si="17"/>
        <v>3</v>
      </c>
      <c r="H1202" s="5">
        <f t="shared" si="18"/>
        <v>16</v>
      </c>
      <c r="I1202" s="6">
        <f t="shared" si="19"/>
        <v>72</v>
      </c>
    </row>
    <row r="1203">
      <c r="A1203" s="1">
        <v>46276.0</v>
      </c>
      <c r="B1203" s="5" t="s">
        <v>40</v>
      </c>
      <c r="C1203" s="5" t="str">
        <f>IFERROR(VLOOKUP(B1203,'Overall Bean Summary'!A$2:B$36,2,FALSE),"")</f>
        <v>Bad</v>
      </c>
      <c r="D1203" s="6">
        <f t="shared" si="14"/>
        <v>0</v>
      </c>
      <c r="E1203" s="6">
        <f t="shared" si="15"/>
        <v>2</v>
      </c>
      <c r="F1203" s="5">
        <f t="shared" si="16"/>
        <v>1</v>
      </c>
      <c r="G1203" s="5">
        <f t="shared" si="17"/>
        <v>4</v>
      </c>
      <c r="H1203" s="5">
        <f t="shared" si="18"/>
        <v>17</v>
      </c>
      <c r="I1203" s="6">
        <f t="shared" si="19"/>
        <v>73</v>
      </c>
    </row>
    <row r="1204">
      <c r="A1204" s="1">
        <v>46276.0</v>
      </c>
      <c r="B1204" s="5" t="s">
        <v>45</v>
      </c>
      <c r="C1204" s="5" t="str">
        <f>IFERROR(VLOOKUP(B1204,'Overall Bean Summary'!A$2:B$36,2,FALSE),"")</f>
        <v>Good</v>
      </c>
      <c r="D1204" s="6">
        <f t="shared" si="14"/>
        <v>1</v>
      </c>
      <c r="E1204" s="6">
        <f t="shared" si="15"/>
        <v>0</v>
      </c>
      <c r="F1204" s="5">
        <f t="shared" si="16"/>
        <v>1</v>
      </c>
      <c r="G1204" s="5">
        <f t="shared" si="17"/>
        <v>5</v>
      </c>
      <c r="H1204" s="5">
        <f t="shared" si="18"/>
        <v>18</v>
      </c>
      <c r="I1204" s="6">
        <f t="shared" si="19"/>
        <v>74</v>
      </c>
    </row>
    <row r="1205">
      <c r="A1205" s="1">
        <v>46276.0</v>
      </c>
      <c r="B1205" s="5" t="s">
        <v>44</v>
      </c>
      <c r="C1205" s="5" t="str">
        <f>IFERROR(VLOOKUP(B1205,'Overall Bean Summary'!A$2:B$36,2,FALSE),"")</f>
        <v>Good</v>
      </c>
      <c r="D1205" s="6">
        <f t="shared" si="14"/>
        <v>2</v>
      </c>
      <c r="E1205" s="6">
        <f t="shared" si="15"/>
        <v>0</v>
      </c>
      <c r="F1205" s="5">
        <f t="shared" si="16"/>
        <v>1</v>
      </c>
      <c r="G1205" s="5">
        <f t="shared" si="17"/>
        <v>6</v>
      </c>
      <c r="H1205" s="5">
        <f t="shared" si="18"/>
        <v>19</v>
      </c>
      <c r="I1205" s="6">
        <f t="shared" si="19"/>
        <v>75</v>
      </c>
    </row>
    <row r="1206">
      <c r="A1206" s="1">
        <v>46276.0</v>
      </c>
      <c r="B1206" s="5" t="s">
        <v>48</v>
      </c>
      <c r="C1206" s="5" t="str">
        <f>IFERROR(VLOOKUP(B1206,'Overall Bean Summary'!A$2:B$36,2,FALSE),"")</f>
        <v>Bad</v>
      </c>
      <c r="D1206" s="6">
        <f t="shared" si="14"/>
        <v>0</v>
      </c>
      <c r="E1206" s="6">
        <f t="shared" si="15"/>
        <v>1</v>
      </c>
      <c r="F1206" s="5">
        <f t="shared" si="16"/>
        <v>1</v>
      </c>
      <c r="G1206" s="5">
        <f t="shared" si="17"/>
        <v>7</v>
      </c>
      <c r="H1206" s="5">
        <f t="shared" si="18"/>
        <v>20</v>
      </c>
      <c r="I1206" s="6">
        <f t="shared" si="19"/>
        <v>76</v>
      </c>
    </row>
    <row r="1207">
      <c r="A1207" s="1">
        <v>46276.0</v>
      </c>
      <c r="B1207" s="5" t="s">
        <v>51</v>
      </c>
      <c r="C1207" s="5" t="str">
        <f>IFERROR(VLOOKUP(B1207,'Overall Bean Summary'!A$2:B$36,2,FALSE),"")</f>
        <v>Bad</v>
      </c>
      <c r="D1207" s="6">
        <f t="shared" si="14"/>
        <v>0</v>
      </c>
      <c r="E1207" s="6">
        <f t="shared" si="15"/>
        <v>2</v>
      </c>
      <c r="F1207" s="5">
        <f t="shared" si="16"/>
        <v>1</v>
      </c>
      <c r="G1207" s="5">
        <f t="shared" si="17"/>
        <v>8</v>
      </c>
      <c r="H1207" s="5">
        <f t="shared" si="18"/>
        <v>21</v>
      </c>
      <c r="I1207" s="6">
        <f t="shared" si="19"/>
        <v>77</v>
      </c>
    </row>
    <row r="1208">
      <c r="A1208" s="1">
        <v>46282.0</v>
      </c>
      <c r="B1208" s="5" t="s">
        <v>136</v>
      </c>
      <c r="C1208" s="5" t="str">
        <f>IFERROR(VLOOKUP(B1208,'Overall Bean Summary'!A$2:B$36,2,FALSE),"")</f>
        <v>Bad</v>
      </c>
      <c r="D1208" s="6">
        <f t="shared" si="14"/>
        <v>0</v>
      </c>
      <c r="E1208" s="6">
        <f t="shared" si="15"/>
        <v>3</v>
      </c>
      <c r="F1208" s="5">
        <f t="shared" si="16"/>
        <v>1</v>
      </c>
      <c r="G1208" s="5">
        <f t="shared" si="17"/>
        <v>1</v>
      </c>
      <c r="H1208" s="5">
        <f t="shared" si="18"/>
        <v>22</v>
      </c>
      <c r="I1208" s="6">
        <f t="shared" si="19"/>
        <v>78</v>
      </c>
    </row>
    <row r="1209">
      <c r="A1209" s="1">
        <v>46282.0</v>
      </c>
      <c r="B1209" s="5" t="s">
        <v>45</v>
      </c>
      <c r="C1209" s="5" t="str">
        <f>IFERROR(VLOOKUP(B1209,'Overall Bean Summary'!A$2:B$36,2,FALSE),"")</f>
        <v>Good</v>
      </c>
      <c r="D1209" s="6">
        <f t="shared" si="14"/>
        <v>1</v>
      </c>
      <c r="E1209" s="6">
        <f t="shared" si="15"/>
        <v>0</v>
      </c>
      <c r="F1209" s="5">
        <f t="shared" si="16"/>
        <v>1</v>
      </c>
      <c r="G1209" s="5">
        <f t="shared" si="17"/>
        <v>2</v>
      </c>
      <c r="H1209" s="5">
        <f t="shared" si="18"/>
        <v>23</v>
      </c>
      <c r="I1209" s="6">
        <f t="shared" si="19"/>
        <v>79</v>
      </c>
    </row>
    <row r="1210">
      <c r="A1210" s="1">
        <v>46282.0</v>
      </c>
      <c r="B1210" s="5" t="s">
        <v>132</v>
      </c>
      <c r="C1210" s="5" t="str">
        <f>IFERROR(VLOOKUP(B1210,'Overall Bean Summary'!A$2:B$36,2,FALSE),"")</f>
        <v>Bad</v>
      </c>
      <c r="D1210" s="6">
        <f t="shared" si="14"/>
        <v>0</v>
      </c>
      <c r="E1210" s="6">
        <f t="shared" si="15"/>
        <v>1</v>
      </c>
      <c r="F1210" s="5">
        <f t="shared" si="16"/>
        <v>1</v>
      </c>
      <c r="G1210" s="5">
        <f t="shared" si="17"/>
        <v>3</v>
      </c>
      <c r="H1210" s="5">
        <f t="shared" si="18"/>
        <v>24</v>
      </c>
      <c r="I1210" s="6">
        <f t="shared" si="19"/>
        <v>80</v>
      </c>
    </row>
    <row r="1211">
      <c r="A1211" s="1">
        <v>46282.0</v>
      </c>
      <c r="B1211" s="5" t="s">
        <v>51</v>
      </c>
      <c r="C1211" s="5" t="str">
        <f>IFERROR(VLOOKUP(B1211,'Overall Bean Summary'!A$2:B$36,2,FALSE),"")</f>
        <v>Bad</v>
      </c>
      <c r="D1211" s="6">
        <f t="shared" si="14"/>
        <v>0</v>
      </c>
      <c r="E1211" s="6">
        <f t="shared" si="15"/>
        <v>2</v>
      </c>
      <c r="F1211" s="5">
        <f t="shared" si="16"/>
        <v>1</v>
      </c>
      <c r="G1211" s="5">
        <f t="shared" si="17"/>
        <v>4</v>
      </c>
      <c r="H1211" s="5">
        <f t="shared" si="18"/>
        <v>25</v>
      </c>
      <c r="I1211" s="6">
        <f t="shared" si="19"/>
        <v>81</v>
      </c>
    </row>
    <row r="1212">
      <c r="A1212" s="1">
        <v>46283.0</v>
      </c>
      <c r="B1212" s="5" t="s">
        <v>48</v>
      </c>
      <c r="C1212" s="5" t="str">
        <f>IFERROR(VLOOKUP(B1212,'Overall Bean Summary'!A$2:B$36,2,FALSE),"")</f>
        <v>Bad</v>
      </c>
      <c r="D1212" s="6">
        <f t="shared" si="14"/>
        <v>0</v>
      </c>
      <c r="E1212" s="6">
        <f t="shared" si="15"/>
        <v>3</v>
      </c>
      <c r="F1212" s="5">
        <f t="shared" si="16"/>
        <v>1</v>
      </c>
      <c r="G1212" s="5">
        <f t="shared" si="17"/>
        <v>1</v>
      </c>
      <c r="H1212" s="5">
        <f t="shared" si="18"/>
        <v>26</v>
      </c>
      <c r="I1212" s="6">
        <f t="shared" si="19"/>
        <v>82</v>
      </c>
    </row>
    <row r="1213">
      <c r="A1213" s="1">
        <v>46286.0</v>
      </c>
      <c r="B1213" s="5" t="s">
        <v>69</v>
      </c>
      <c r="C1213" s="5" t="str">
        <f>IFERROR(VLOOKUP(B1213,'Overall Bean Summary'!A$2:B$36,2,FALSE),"")</f>
        <v>Bad</v>
      </c>
      <c r="D1213" s="6">
        <f t="shared" si="14"/>
        <v>0</v>
      </c>
      <c r="E1213" s="6">
        <f t="shared" si="15"/>
        <v>4</v>
      </c>
      <c r="F1213" s="5">
        <f t="shared" si="16"/>
        <v>1</v>
      </c>
      <c r="G1213" s="5">
        <f t="shared" si="17"/>
        <v>1</v>
      </c>
      <c r="H1213" s="5">
        <f t="shared" si="18"/>
        <v>27</v>
      </c>
      <c r="I1213" s="6">
        <f t="shared" si="19"/>
        <v>83</v>
      </c>
    </row>
    <row r="1214">
      <c r="A1214" s="1">
        <v>46286.0</v>
      </c>
      <c r="B1214" s="5" t="s">
        <v>63</v>
      </c>
      <c r="C1214" s="5" t="str">
        <f>IFERROR(VLOOKUP(B1214,'Overall Bean Summary'!A$2:B$36,2,FALSE),"")</f>
        <v>Bad</v>
      </c>
      <c r="D1214" s="6">
        <f t="shared" si="14"/>
        <v>0</v>
      </c>
      <c r="E1214" s="6">
        <f t="shared" si="15"/>
        <v>5</v>
      </c>
      <c r="F1214" s="5">
        <f t="shared" si="16"/>
        <v>1</v>
      </c>
      <c r="G1214" s="5">
        <f t="shared" si="17"/>
        <v>2</v>
      </c>
      <c r="H1214" s="5">
        <f t="shared" si="18"/>
        <v>28</v>
      </c>
      <c r="I1214" s="6">
        <f t="shared" si="19"/>
        <v>84</v>
      </c>
    </row>
    <row r="1215">
      <c r="A1215" s="1"/>
      <c r="B1215" s="35"/>
      <c r="C1215" s="5" t="str">
        <f>IFERROR(VLOOKUP(B1215,'Overall Bean Summary'!A$2:B$36,2,FALSE),"")</f>
        <v/>
      </c>
      <c r="D1215" s="6" t="str">
        <f t="shared" si="14"/>
        <v/>
      </c>
      <c r="E1215" s="6" t="str">
        <f t="shared" si="15"/>
        <v/>
      </c>
      <c r="F1215" s="5" t="str">
        <f t="shared" si="16"/>
        <v/>
      </c>
      <c r="G1215" s="5" t="str">
        <f t="shared" si="17"/>
        <v/>
      </c>
      <c r="H1215" s="5" t="str">
        <f t="shared" si="18"/>
        <v/>
      </c>
      <c r="I1215" s="6" t="str">
        <f t="shared" si="19"/>
        <v/>
      </c>
    </row>
    <row r="1216">
      <c r="A1216" s="1"/>
      <c r="B1216" s="35"/>
      <c r="C1216" s="5" t="str">
        <f>IFERROR(VLOOKUP(B1216,'Overall Bean Summary'!A$2:B$36,2,FALSE),"")</f>
        <v/>
      </c>
      <c r="D1216" s="6" t="str">
        <f t="shared" si="14"/>
        <v/>
      </c>
      <c r="E1216" s="6" t="str">
        <f t="shared" si="15"/>
        <v/>
      </c>
      <c r="F1216" s="5" t="str">
        <f t="shared" si="16"/>
        <v/>
      </c>
      <c r="G1216" s="5" t="str">
        <f t="shared" si="17"/>
        <v/>
      </c>
      <c r="H1216" s="5" t="str">
        <f t="shared" si="18"/>
        <v/>
      </c>
      <c r="I1216" s="6" t="str">
        <f t="shared" si="19"/>
        <v/>
      </c>
    </row>
    <row r="1217">
      <c r="A1217" s="1"/>
      <c r="B1217" s="35"/>
      <c r="C1217" s="5" t="str">
        <f>IFERROR(VLOOKUP(B1217,'Overall Bean Summary'!A$2:B$36,2,FALSE),"")</f>
        <v/>
      </c>
      <c r="D1217" s="6" t="str">
        <f t="shared" si="14"/>
        <v/>
      </c>
      <c r="E1217" s="6" t="str">
        <f t="shared" si="15"/>
        <v/>
      </c>
      <c r="F1217" s="5" t="str">
        <f t="shared" si="16"/>
        <v/>
      </c>
      <c r="G1217" s="5" t="str">
        <f t="shared" si="17"/>
        <v/>
      </c>
      <c r="H1217" s="5" t="str">
        <f t="shared" si="18"/>
        <v/>
      </c>
      <c r="I1217" s="6" t="str">
        <f t="shared" si="19"/>
        <v/>
      </c>
    </row>
    <row r="1218">
      <c r="A1218" s="1"/>
      <c r="B1218" s="35"/>
      <c r="C1218" s="5" t="str">
        <f>IFERROR(VLOOKUP(B1218,'Overall Bean Summary'!A$2:B$36,2,FALSE),"")</f>
        <v/>
      </c>
      <c r="D1218" s="6" t="str">
        <f t="shared" si="14"/>
        <v/>
      </c>
      <c r="E1218" s="6" t="str">
        <f t="shared" si="15"/>
        <v/>
      </c>
      <c r="F1218" s="5" t="str">
        <f t="shared" si="16"/>
        <v/>
      </c>
      <c r="G1218" s="5" t="str">
        <f t="shared" si="17"/>
        <v/>
      </c>
      <c r="H1218" s="5" t="str">
        <f t="shared" si="18"/>
        <v/>
      </c>
      <c r="I1218" s="6" t="str">
        <f t="shared" si="19"/>
        <v/>
      </c>
    </row>
    <row r="1219">
      <c r="A1219" s="1"/>
      <c r="B1219" s="35"/>
      <c r="C1219" s="5" t="str">
        <f>IFERROR(VLOOKUP(B1219,'Overall Bean Summary'!A$2:B$36,2,FALSE),"")</f>
        <v/>
      </c>
      <c r="D1219" s="6" t="str">
        <f t="shared" si="14"/>
        <v/>
      </c>
      <c r="E1219" s="6" t="str">
        <f t="shared" si="15"/>
        <v/>
      </c>
      <c r="F1219" s="5" t="str">
        <f t="shared" si="16"/>
        <v/>
      </c>
      <c r="G1219" s="5" t="str">
        <f t="shared" si="17"/>
        <v/>
      </c>
      <c r="H1219" s="5" t="str">
        <f t="shared" si="18"/>
        <v/>
      </c>
      <c r="I1219" s="6" t="str">
        <f t="shared" si="19"/>
        <v/>
      </c>
    </row>
    <row r="1220">
      <c r="A1220" s="1"/>
      <c r="B1220" s="35"/>
      <c r="C1220" s="5" t="str">
        <f>IFERROR(VLOOKUP(B1220,'Overall Bean Summary'!A$2:B$36,2,FALSE),"")</f>
        <v/>
      </c>
      <c r="D1220" s="6" t="str">
        <f t="shared" si="14"/>
        <v/>
      </c>
      <c r="E1220" s="6" t="str">
        <f t="shared" si="15"/>
        <v/>
      </c>
      <c r="F1220" s="5" t="str">
        <f t="shared" si="16"/>
        <v/>
      </c>
      <c r="G1220" s="5" t="str">
        <f t="shared" si="17"/>
        <v/>
      </c>
      <c r="H1220" s="5" t="str">
        <f t="shared" si="18"/>
        <v/>
      </c>
      <c r="I1220" s="6" t="str">
        <f t="shared" si="19"/>
        <v/>
      </c>
    </row>
    <row r="1221">
      <c r="A1221" s="1"/>
      <c r="B1221" s="35"/>
      <c r="C1221" s="5" t="str">
        <f>IFERROR(VLOOKUP(B1221,'Overall Bean Summary'!A$2:B$36,2,FALSE),"")</f>
        <v/>
      </c>
      <c r="D1221" s="6" t="str">
        <f t="shared" si="14"/>
        <v/>
      </c>
      <c r="E1221" s="6" t="str">
        <f t="shared" si="15"/>
        <v/>
      </c>
      <c r="F1221" s="5" t="str">
        <f t="shared" si="16"/>
        <v/>
      </c>
      <c r="G1221" s="5" t="str">
        <f t="shared" si="17"/>
        <v/>
      </c>
      <c r="H1221" s="5" t="str">
        <f t="shared" si="18"/>
        <v/>
      </c>
      <c r="I1221" s="6" t="str">
        <f t="shared" si="19"/>
        <v/>
      </c>
    </row>
    <row r="1222">
      <c r="A1222" s="1"/>
      <c r="B1222" s="35"/>
      <c r="C1222" s="5" t="str">
        <f>IFERROR(VLOOKUP(B1222,'Overall Bean Summary'!A$2:B$36,2,FALSE),"")</f>
        <v/>
      </c>
      <c r="D1222" s="6" t="str">
        <f t="shared" si="14"/>
        <v/>
      </c>
      <c r="E1222" s="6" t="str">
        <f t="shared" si="15"/>
        <v/>
      </c>
      <c r="F1222" s="5" t="str">
        <f t="shared" si="16"/>
        <v/>
      </c>
      <c r="G1222" s="5" t="str">
        <f t="shared" si="17"/>
        <v/>
      </c>
      <c r="H1222" s="5" t="str">
        <f t="shared" si="18"/>
        <v/>
      </c>
      <c r="I1222" s="6" t="str">
        <f t="shared" si="19"/>
        <v/>
      </c>
    </row>
    <row r="1223">
      <c r="A1223" s="1"/>
      <c r="B1223" s="35"/>
      <c r="C1223" s="5" t="str">
        <f>IFERROR(VLOOKUP(B1223,'Overall Bean Summary'!A$2:B$36,2,FALSE),"")</f>
        <v/>
      </c>
      <c r="D1223" s="6" t="str">
        <f t="shared" si="14"/>
        <v/>
      </c>
      <c r="E1223" s="6" t="str">
        <f t="shared" si="15"/>
        <v/>
      </c>
      <c r="F1223" s="5" t="str">
        <f t="shared" si="16"/>
        <v/>
      </c>
      <c r="G1223" s="5" t="str">
        <f t="shared" si="17"/>
        <v/>
      </c>
      <c r="H1223" s="5" t="str">
        <f t="shared" si="18"/>
        <v/>
      </c>
      <c r="I1223" s="6" t="str">
        <f t="shared" si="19"/>
        <v/>
      </c>
    </row>
    <row r="1224">
      <c r="A1224" s="1"/>
      <c r="B1224" s="35"/>
      <c r="C1224" s="5" t="str">
        <f>IFERROR(VLOOKUP(B1224,'Overall Bean Summary'!A$2:B$36,2,FALSE),"")</f>
        <v/>
      </c>
      <c r="D1224" s="6" t="str">
        <f t="shared" si="14"/>
        <v/>
      </c>
      <c r="E1224" s="6" t="str">
        <f t="shared" si="15"/>
        <v/>
      </c>
      <c r="F1224" s="5" t="str">
        <f t="shared" si="16"/>
        <v/>
      </c>
      <c r="G1224" s="5" t="str">
        <f t="shared" si="17"/>
        <v/>
      </c>
      <c r="H1224" s="5" t="str">
        <f t="shared" si="18"/>
        <v/>
      </c>
      <c r="I1224" s="6" t="str">
        <f t="shared" si="19"/>
        <v/>
      </c>
    </row>
    <row r="1225">
      <c r="A1225" s="1"/>
      <c r="B1225" s="35"/>
      <c r="C1225" s="5" t="str">
        <f>IFERROR(VLOOKUP(B1225,'Overall Bean Summary'!A$2:B$36,2,FALSE),"")</f>
        <v/>
      </c>
      <c r="D1225" s="6" t="str">
        <f t="shared" si="14"/>
        <v/>
      </c>
      <c r="E1225" s="6" t="str">
        <f t="shared" si="15"/>
        <v/>
      </c>
      <c r="F1225" s="5" t="str">
        <f t="shared" si="16"/>
        <v/>
      </c>
      <c r="G1225" s="5" t="str">
        <f t="shared" si="17"/>
        <v/>
      </c>
      <c r="H1225" s="5" t="str">
        <f t="shared" si="18"/>
        <v/>
      </c>
      <c r="I1225" s="6" t="str">
        <f t="shared" si="19"/>
        <v/>
      </c>
    </row>
    <row r="1226">
      <c r="A1226" s="1"/>
      <c r="B1226" s="35"/>
      <c r="C1226" s="5" t="str">
        <f>IFERROR(VLOOKUP(B1226,'Overall Bean Summary'!A$2:B$36,2,FALSE),"")</f>
        <v/>
      </c>
      <c r="D1226" s="6" t="str">
        <f t="shared" si="14"/>
        <v/>
      </c>
      <c r="E1226" s="6" t="str">
        <f t="shared" si="15"/>
        <v/>
      </c>
      <c r="F1226" s="5" t="str">
        <f t="shared" si="16"/>
        <v/>
      </c>
      <c r="G1226" s="5" t="str">
        <f t="shared" si="17"/>
        <v/>
      </c>
      <c r="H1226" s="5" t="str">
        <f t="shared" si="18"/>
        <v/>
      </c>
      <c r="I1226" s="6" t="str">
        <f t="shared" si="19"/>
        <v/>
      </c>
    </row>
    <row r="1227">
      <c r="A1227" s="1"/>
      <c r="B1227" s="35"/>
      <c r="C1227" s="5" t="str">
        <f>IFERROR(VLOOKUP(B1227,'Overall Bean Summary'!A$2:B$36,2,FALSE),"")</f>
        <v/>
      </c>
      <c r="D1227" s="6" t="str">
        <f t="shared" si="14"/>
        <v/>
      </c>
      <c r="E1227" s="6" t="str">
        <f t="shared" si="15"/>
        <v/>
      </c>
      <c r="F1227" s="5" t="str">
        <f t="shared" si="16"/>
        <v/>
      </c>
      <c r="G1227" s="5" t="str">
        <f t="shared" si="17"/>
        <v/>
      </c>
      <c r="H1227" s="5" t="str">
        <f t="shared" si="18"/>
        <v/>
      </c>
      <c r="I1227" s="6" t="str">
        <f t="shared" si="19"/>
        <v/>
      </c>
    </row>
    <row r="1228">
      <c r="A1228" s="1"/>
      <c r="B1228" s="35"/>
      <c r="C1228" s="5" t="str">
        <f>IFERROR(VLOOKUP(B1228,'Overall Bean Summary'!A$2:B$36,2,FALSE),"")</f>
        <v/>
      </c>
      <c r="D1228" s="6" t="str">
        <f t="shared" si="14"/>
        <v/>
      </c>
      <c r="E1228" s="6" t="str">
        <f t="shared" si="15"/>
        <v/>
      </c>
      <c r="F1228" s="5" t="str">
        <f t="shared" si="16"/>
        <v/>
      </c>
      <c r="G1228" s="5" t="str">
        <f t="shared" si="17"/>
        <v/>
      </c>
      <c r="H1228" s="5" t="str">
        <f t="shared" si="18"/>
        <v/>
      </c>
      <c r="I1228" s="6" t="str">
        <f t="shared" si="19"/>
        <v/>
      </c>
    </row>
    <row r="1229">
      <c r="A1229" s="1"/>
      <c r="B1229" s="35"/>
      <c r="C1229" s="5" t="str">
        <f>IFERROR(VLOOKUP(B1229,'Overall Bean Summary'!A$2:B$36,2,FALSE),"")</f>
        <v/>
      </c>
      <c r="D1229" s="6" t="str">
        <f t="shared" si="14"/>
        <v/>
      </c>
      <c r="E1229" s="6" t="str">
        <f t="shared" si="15"/>
        <v/>
      </c>
      <c r="F1229" s="5" t="str">
        <f t="shared" si="16"/>
        <v/>
      </c>
      <c r="G1229" s="5" t="str">
        <f t="shared" si="17"/>
        <v/>
      </c>
      <c r="H1229" s="5" t="str">
        <f t="shared" si="18"/>
        <v/>
      </c>
      <c r="I1229" s="6" t="str">
        <f t="shared" si="19"/>
        <v/>
      </c>
    </row>
    <row r="1230">
      <c r="A1230" s="1"/>
      <c r="B1230" s="35"/>
      <c r="C1230" s="5" t="str">
        <f>IFERROR(VLOOKUP(B1230,'Overall Bean Summary'!A$2:B$36,2,FALSE),"")</f>
        <v/>
      </c>
      <c r="D1230" s="6" t="str">
        <f t="shared" si="14"/>
        <v/>
      </c>
      <c r="E1230" s="6" t="str">
        <f t="shared" si="15"/>
        <v/>
      </c>
      <c r="F1230" s="5" t="str">
        <f t="shared" si="16"/>
        <v/>
      </c>
      <c r="G1230" s="5" t="str">
        <f t="shared" si="17"/>
        <v/>
      </c>
      <c r="H1230" s="5" t="str">
        <f t="shared" si="18"/>
        <v/>
      </c>
      <c r="I1230" s="6" t="str">
        <f t="shared" si="19"/>
        <v/>
      </c>
    </row>
    <row r="1231">
      <c r="A1231" s="1"/>
      <c r="B1231" s="35"/>
      <c r="C1231" s="5" t="str">
        <f>IFERROR(VLOOKUP(B1231,'Overall Bean Summary'!A$2:B$36,2,FALSE),"")</f>
        <v/>
      </c>
      <c r="D1231" s="6" t="str">
        <f t="shared" si="14"/>
        <v/>
      </c>
      <c r="E1231" s="6" t="str">
        <f t="shared" si="15"/>
        <v/>
      </c>
      <c r="F1231" s="5" t="str">
        <f t="shared" si="16"/>
        <v/>
      </c>
      <c r="G1231" s="5" t="str">
        <f t="shared" si="17"/>
        <v/>
      </c>
      <c r="H1231" s="5" t="str">
        <f t="shared" si="18"/>
        <v/>
      </c>
      <c r="I1231" s="6" t="str">
        <f t="shared" si="19"/>
        <v/>
      </c>
    </row>
    <row r="1232">
      <c r="A1232" s="1"/>
      <c r="B1232" s="35"/>
      <c r="C1232" s="5" t="str">
        <f>IFERROR(VLOOKUP(B1232,'Overall Bean Summary'!A$2:B$36,2,FALSE),"")</f>
        <v/>
      </c>
      <c r="D1232" s="6" t="str">
        <f t="shared" si="14"/>
        <v/>
      </c>
      <c r="E1232" s="6" t="str">
        <f t="shared" si="15"/>
        <v/>
      </c>
      <c r="F1232" s="5" t="str">
        <f t="shared" si="16"/>
        <v/>
      </c>
      <c r="G1232" s="5" t="str">
        <f t="shared" si="17"/>
        <v/>
      </c>
      <c r="H1232" s="5" t="str">
        <f t="shared" si="18"/>
        <v/>
      </c>
      <c r="I1232" s="6" t="str">
        <f t="shared" si="19"/>
        <v/>
      </c>
    </row>
    <row r="1233">
      <c r="A1233" s="1"/>
      <c r="B1233" s="35"/>
      <c r="C1233" s="5" t="str">
        <f>IFERROR(VLOOKUP(B1233,'Overall Bean Summary'!A$2:B$36,2,FALSE),"")</f>
        <v/>
      </c>
      <c r="D1233" s="6" t="str">
        <f t="shared" si="14"/>
        <v/>
      </c>
      <c r="E1233" s="6" t="str">
        <f t="shared" si="15"/>
        <v/>
      </c>
      <c r="F1233" s="5" t="str">
        <f t="shared" si="16"/>
        <v/>
      </c>
      <c r="G1233" s="5" t="str">
        <f t="shared" si="17"/>
        <v/>
      </c>
      <c r="H1233" s="5" t="str">
        <f t="shared" si="18"/>
        <v/>
      </c>
      <c r="I1233" s="6" t="str">
        <f t="shared" si="19"/>
        <v/>
      </c>
    </row>
    <row r="1234">
      <c r="A1234" s="1"/>
      <c r="B1234" s="35"/>
      <c r="C1234" s="5" t="str">
        <f>IFERROR(VLOOKUP(B1234,'Overall Bean Summary'!A$2:B$36,2,FALSE),"")</f>
        <v/>
      </c>
      <c r="D1234" s="6" t="str">
        <f t="shared" si="14"/>
        <v/>
      </c>
      <c r="E1234" s="6" t="str">
        <f t="shared" si="15"/>
        <v/>
      </c>
      <c r="F1234" s="5" t="str">
        <f t="shared" si="16"/>
        <v/>
      </c>
      <c r="G1234" s="5" t="str">
        <f t="shared" si="17"/>
        <v/>
      </c>
      <c r="H1234" s="5" t="str">
        <f t="shared" si="18"/>
        <v/>
      </c>
      <c r="I1234" s="6" t="str">
        <f t="shared" si="19"/>
        <v/>
      </c>
    </row>
    <row r="1235">
      <c r="A1235" s="1"/>
      <c r="B1235" s="35"/>
      <c r="C1235" s="5" t="str">
        <f>IFERROR(VLOOKUP(B1235,'Overall Bean Summary'!A$2:B$36,2,FALSE),"")</f>
        <v/>
      </c>
      <c r="D1235" s="6" t="str">
        <f t="shared" si="14"/>
        <v/>
      </c>
      <c r="E1235" s="6" t="str">
        <f t="shared" si="15"/>
        <v/>
      </c>
      <c r="F1235" s="5" t="str">
        <f t="shared" si="16"/>
        <v/>
      </c>
      <c r="G1235" s="5" t="str">
        <f t="shared" si="17"/>
        <v/>
      </c>
      <c r="H1235" s="5" t="str">
        <f t="shared" si="18"/>
        <v/>
      </c>
      <c r="I1235" s="6" t="str">
        <f t="shared" si="19"/>
        <v/>
      </c>
    </row>
    <row r="1236">
      <c r="A1236" s="1"/>
      <c r="B1236" s="35"/>
      <c r="C1236" s="5" t="str">
        <f>IFERROR(VLOOKUP(B1236,'Overall Bean Summary'!A$2:B$36,2,FALSE),"")</f>
        <v/>
      </c>
      <c r="D1236" s="6" t="str">
        <f t="shared" si="14"/>
        <v/>
      </c>
      <c r="E1236" s="6" t="str">
        <f t="shared" si="15"/>
        <v/>
      </c>
      <c r="F1236" s="5" t="str">
        <f t="shared" si="16"/>
        <v/>
      </c>
      <c r="G1236" s="5" t="str">
        <f t="shared" si="17"/>
        <v/>
      </c>
      <c r="H1236" s="5" t="str">
        <f t="shared" si="18"/>
        <v/>
      </c>
      <c r="I1236" s="6" t="str">
        <f t="shared" si="19"/>
        <v/>
      </c>
    </row>
    <row r="1237">
      <c r="A1237" s="1"/>
      <c r="B1237" s="35"/>
      <c r="C1237" s="5" t="str">
        <f>IFERROR(VLOOKUP(B1237,'Overall Bean Summary'!A$2:B$36,2,FALSE),"")</f>
        <v/>
      </c>
      <c r="D1237" s="6" t="str">
        <f t="shared" si="14"/>
        <v/>
      </c>
      <c r="E1237" s="6" t="str">
        <f t="shared" si="15"/>
        <v/>
      </c>
      <c r="F1237" s="5" t="str">
        <f t="shared" si="16"/>
        <v/>
      </c>
      <c r="G1237" s="5" t="str">
        <f t="shared" si="17"/>
        <v/>
      </c>
      <c r="H1237" s="5" t="str">
        <f t="shared" si="18"/>
        <v/>
      </c>
      <c r="I1237" s="6" t="str">
        <f t="shared" si="19"/>
        <v/>
      </c>
    </row>
    <row r="1238">
      <c r="A1238" s="1"/>
      <c r="B1238" s="35"/>
      <c r="C1238" s="5" t="str">
        <f>IFERROR(VLOOKUP(B1238,'Overall Bean Summary'!A$2:B$36,2,FALSE),"")</f>
        <v/>
      </c>
      <c r="D1238" s="6" t="str">
        <f t="shared" si="14"/>
        <v/>
      </c>
      <c r="E1238" s="6" t="str">
        <f t="shared" si="15"/>
        <v/>
      </c>
      <c r="F1238" s="5" t="str">
        <f t="shared" si="16"/>
        <v/>
      </c>
      <c r="G1238" s="5" t="str">
        <f t="shared" si="17"/>
        <v/>
      </c>
      <c r="H1238" s="5" t="str">
        <f t="shared" si="18"/>
        <v/>
      </c>
      <c r="I1238" s="6" t="str">
        <f t="shared" si="19"/>
        <v/>
      </c>
    </row>
    <row r="1239">
      <c r="A1239" s="1"/>
      <c r="B1239" s="35"/>
      <c r="C1239" s="5" t="str">
        <f>IFERROR(VLOOKUP(B1239,'Overall Bean Summary'!A$2:B$36,2,FALSE),"")</f>
        <v/>
      </c>
      <c r="D1239" s="6" t="str">
        <f t="shared" si="14"/>
        <v/>
      </c>
      <c r="E1239" s="6" t="str">
        <f t="shared" si="15"/>
        <v/>
      </c>
      <c r="F1239" s="5" t="str">
        <f t="shared" si="16"/>
        <v/>
      </c>
      <c r="G1239" s="5" t="str">
        <f t="shared" si="17"/>
        <v/>
      </c>
      <c r="H1239" s="5" t="str">
        <f t="shared" si="18"/>
        <v/>
      </c>
      <c r="I1239" s="6" t="str">
        <f t="shared" si="19"/>
        <v/>
      </c>
    </row>
    <row r="1240">
      <c r="A1240" s="1"/>
      <c r="B1240" s="35"/>
      <c r="C1240" s="5" t="str">
        <f>IFERROR(VLOOKUP(B1240,'Overall Bean Summary'!A$2:B$36,2,FALSE),"")</f>
        <v/>
      </c>
      <c r="D1240" s="6" t="str">
        <f t="shared" si="14"/>
        <v/>
      </c>
      <c r="E1240" s="6" t="str">
        <f t="shared" si="15"/>
        <v/>
      </c>
      <c r="F1240" s="5" t="str">
        <f t="shared" si="16"/>
        <v/>
      </c>
      <c r="G1240" s="5" t="str">
        <f t="shared" si="17"/>
        <v/>
      </c>
      <c r="H1240" s="5" t="str">
        <f t="shared" si="18"/>
        <v/>
      </c>
      <c r="I1240" s="6" t="str">
        <f t="shared" si="19"/>
        <v/>
      </c>
    </row>
    <row r="1241">
      <c r="A1241" s="1"/>
      <c r="B1241" s="35"/>
      <c r="C1241" s="5" t="str">
        <f>IFERROR(VLOOKUP(B1241,'Overall Bean Summary'!A$2:B$36,2,FALSE),"")</f>
        <v/>
      </c>
      <c r="D1241" s="6" t="str">
        <f t="shared" si="14"/>
        <v/>
      </c>
      <c r="E1241" s="6" t="str">
        <f t="shared" si="15"/>
        <v/>
      </c>
      <c r="F1241" s="5" t="str">
        <f t="shared" si="16"/>
        <v/>
      </c>
      <c r="G1241" s="5" t="str">
        <f t="shared" si="17"/>
        <v/>
      </c>
      <c r="H1241" s="5" t="str">
        <f t="shared" si="18"/>
        <v/>
      </c>
      <c r="I1241" s="6" t="str">
        <f t="shared" si="19"/>
        <v/>
      </c>
    </row>
    <row r="1242">
      <c r="A1242" s="1"/>
      <c r="B1242" s="35"/>
      <c r="C1242" s="5" t="str">
        <f>IFERROR(VLOOKUP(B1242,'Overall Bean Summary'!A$2:B$36,2,FALSE),"")</f>
        <v/>
      </c>
      <c r="D1242" s="6" t="str">
        <f t="shared" si="14"/>
        <v/>
      </c>
      <c r="E1242" s="6" t="str">
        <f t="shared" si="15"/>
        <v/>
      </c>
      <c r="F1242" s="5" t="str">
        <f t="shared" si="16"/>
        <v/>
      </c>
      <c r="G1242" s="5" t="str">
        <f t="shared" si="17"/>
        <v/>
      </c>
      <c r="H1242" s="5" t="str">
        <f t="shared" si="18"/>
        <v/>
      </c>
      <c r="I1242" s="6" t="str">
        <f t="shared" si="19"/>
        <v/>
      </c>
    </row>
    <row r="1243">
      <c r="A1243" s="1"/>
      <c r="B1243" s="35"/>
      <c r="C1243" s="5" t="str">
        <f>IFERROR(VLOOKUP(B1243,'Overall Bean Summary'!A$2:B$36,2,FALSE),"")</f>
        <v/>
      </c>
      <c r="D1243" s="6" t="str">
        <f t="shared" si="14"/>
        <v/>
      </c>
      <c r="E1243" s="6" t="str">
        <f t="shared" si="15"/>
        <v/>
      </c>
      <c r="F1243" s="5" t="str">
        <f t="shared" si="16"/>
        <v/>
      </c>
      <c r="G1243" s="5" t="str">
        <f t="shared" si="17"/>
        <v/>
      </c>
      <c r="H1243" s="5" t="str">
        <f t="shared" si="18"/>
        <v/>
      </c>
      <c r="I1243" s="6" t="str">
        <f t="shared" si="19"/>
        <v/>
      </c>
    </row>
    <row r="1244">
      <c r="A1244" s="1"/>
      <c r="B1244" s="35"/>
      <c r="C1244" s="5" t="str">
        <f>IFERROR(VLOOKUP(B1244,'Overall Bean Summary'!A$2:B$36,2,FALSE),"")</f>
        <v/>
      </c>
      <c r="D1244" s="6" t="str">
        <f t="shared" si="14"/>
        <v/>
      </c>
      <c r="E1244" s="6" t="str">
        <f t="shared" si="15"/>
        <v/>
      </c>
      <c r="F1244" s="5" t="str">
        <f t="shared" si="16"/>
        <v/>
      </c>
      <c r="G1244" s="5" t="str">
        <f t="shared" si="17"/>
        <v/>
      </c>
      <c r="H1244" s="5" t="str">
        <f t="shared" si="18"/>
        <v/>
      </c>
      <c r="I1244" s="6" t="str">
        <f t="shared" si="19"/>
        <v/>
      </c>
    </row>
    <row r="1245">
      <c r="A1245" s="1"/>
      <c r="B1245" s="35"/>
      <c r="C1245" s="5" t="str">
        <f>IFERROR(VLOOKUP(B1245,'Overall Bean Summary'!A$2:B$36,2,FALSE),"")</f>
        <v/>
      </c>
      <c r="D1245" s="6" t="str">
        <f t="shared" si="14"/>
        <v/>
      </c>
      <c r="E1245" s="6" t="str">
        <f t="shared" si="15"/>
        <v/>
      </c>
      <c r="F1245" s="5" t="str">
        <f t="shared" si="16"/>
        <v/>
      </c>
      <c r="G1245" s="5" t="str">
        <f t="shared" si="17"/>
        <v/>
      </c>
      <c r="H1245" s="5" t="str">
        <f t="shared" si="18"/>
        <v/>
      </c>
      <c r="I1245" s="6" t="str">
        <f t="shared" si="19"/>
        <v/>
      </c>
    </row>
    <row r="1246">
      <c r="A1246" s="1"/>
      <c r="B1246" s="35"/>
      <c r="C1246" s="5" t="str">
        <f>IFERROR(VLOOKUP(B1246,'Overall Bean Summary'!A$2:B$36,2,FALSE),"")</f>
        <v/>
      </c>
      <c r="D1246" s="6" t="str">
        <f t="shared" si="14"/>
        <v/>
      </c>
      <c r="E1246" s="6" t="str">
        <f t="shared" si="15"/>
        <v/>
      </c>
      <c r="F1246" s="5" t="str">
        <f t="shared" si="16"/>
        <v/>
      </c>
      <c r="G1246" s="5" t="str">
        <f t="shared" si="17"/>
        <v/>
      </c>
      <c r="H1246" s="5" t="str">
        <f t="shared" si="18"/>
        <v/>
      </c>
      <c r="I1246" s="6" t="str">
        <f t="shared" si="19"/>
        <v/>
      </c>
    </row>
    <row r="1247">
      <c r="A1247" s="1"/>
      <c r="B1247" s="35"/>
      <c r="C1247" s="5" t="str">
        <f>IFERROR(VLOOKUP(B1247,'Overall Bean Summary'!A$2:B$36,2,FALSE),"")</f>
        <v/>
      </c>
      <c r="D1247" s="6" t="str">
        <f t="shared" si="14"/>
        <v/>
      </c>
      <c r="E1247" s="6" t="str">
        <f t="shared" si="15"/>
        <v/>
      </c>
      <c r="F1247" s="5" t="str">
        <f t="shared" si="16"/>
        <v/>
      </c>
      <c r="G1247" s="5" t="str">
        <f t="shared" si="17"/>
        <v/>
      </c>
      <c r="H1247" s="5" t="str">
        <f t="shared" si="18"/>
        <v/>
      </c>
      <c r="I1247" s="6" t="str">
        <f t="shared" si="19"/>
        <v/>
      </c>
    </row>
    <row r="1248">
      <c r="A1248" s="1"/>
      <c r="B1248" s="35"/>
      <c r="C1248" s="5" t="str">
        <f>IFERROR(VLOOKUP(B1248,'Overall Bean Summary'!A$2:B$36,2,FALSE),"")</f>
        <v/>
      </c>
      <c r="D1248" s="6" t="str">
        <f t="shared" si="14"/>
        <v/>
      </c>
      <c r="E1248" s="6" t="str">
        <f t="shared" si="15"/>
        <v/>
      </c>
      <c r="F1248" s="5" t="str">
        <f t="shared" si="16"/>
        <v/>
      </c>
      <c r="G1248" s="5" t="str">
        <f t="shared" si="17"/>
        <v/>
      </c>
      <c r="H1248" s="5" t="str">
        <f t="shared" si="18"/>
        <v/>
      </c>
      <c r="I1248" s="6" t="str">
        <f t="shared" si="19"/>
        <v/>
      </c>
    </row>
    <row r="1249">
      <c r="A1249" s="1"/>
      <c r="B1249" s="35"/>
      <c r="C1249" s="5" t="str">
        <f>IFERROR(VLOOKUP(B1249,'Overall Bean Summary'!A$2:B$36,2,FALSE),"")</f>
        <v/>
      </c>
      <c r="D1249" s="6" t="str">
        <f t="shared" si="14"/>
        <v/>
      </c>
      <c r="E1249" s="6" t="str">
        <f t="shared" si="15"/>
        <v/>
      </c>
      <c r="F1249" s="5" t="str">
        <f t="shared" si="16"/>
        <v/>
      </c>
      <c r="G1249" s="5" t="str">
        <f t="shared" si="17"/>
        <v/>
      </c>
      <c r="H1249" s="5" t="str">
        <f t="shared" si="18"/>
        <v/>
      </c>
      <c r="I1249" s="6" t="str">
        <f t="shared" si="19"/>
        <v/>
      </c>
    </row>
    <row r="1250">
      <c r="A1250" s="1"/>
      <c r="B1250" s="35"/>
      <c r="C1250" s="5" t="str">
        <f>IFERROR(VLOOKUP(B1250,'Overall Bean Summary'!A$2:B$36,2,FALSE),"")</f>
        <v/>
      </c>
      <c r="D1250" s="6" t="str">
        <f t="shared" si="14"/>
        <v/>
      </c>
      <c r="E1250" s="6" t="str">
        <f t="shared" si="15"/>
        <v/>
      </c>
      <c r="F1250" s="5" t="str">
        <f t="shared" si="16"/>
        <v/>
      </c>
      <c r="G1250" s="5" t="str">
        <f t="shared" si="17"/>
        <v/>
      </c>
      <c r="H1250" s="5" t="str">
        <f t="shared" si="18"/>
        <v/>
      </c>
      <c r="I1250" s="6" t="str">
        <f t="shared" si="19"/>
        <v/>
      </c>
    </row>
  </sheetData>
  <autoFilter ref="$C$1:$C$1250"/>
  <dataValidations>
    <dataValidation type="list" allowBlank="1" showErrorMessage="1" sqref="B2:B1250">
      <formula1>'Overall Bean Summary'!$A$2:$A$36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63"/>
  </cols>
  <sheetData>
    <row r="1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/>
      <c r="G1" s="2"/>
      <c r="H1" s="2"/>
      <c r="I1" s="2"/>
      <c r="J1" s="2"/>
      <c r="K1" s="2" t="s">
        <v>10</v>
      </c>
      <c r="L1" s="2" t="s">
        <v>11</v>
      </c>
    </row>
    <row r="2">
      <c r="A2" s="3">
        <v>45043.0</v>
      </c>
      <c r="B2" s="4" t="s">
        <v>12</v>
      </c>
      <c r="C2" s="5" t="s">
        <v>13</v>
      </c>
      <c r="D2" s="4"/>
      <c r="E2" s="4"/>
      <c r="F2" s="4"/>
      <c r="G2" s="4"/>
      <c r="H2" s="6"/>
      <c r="I2" s="6"/>
      <c r="J2" s="6"/>
      <c r="K2" s="6"/>
      <c r="L2" s="6"/>
      <c r="M2" s="6"/>
      <c r="N2" s="6"/>
      <c r="O2" s="6"/>
      <c r="P2" s="6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>
      <c r="A3" s="3">
        <v>45806.0</v>
      </c>
      <c r="B3" s="6" t="s">
        <v>15</v>
      </c>
      <c r="C3" s="5" t="s">
        <v>16</v>
      </c>
      <c r="D3" s="4">
        <v>1.0</v>
      </c>
      <c r="E3" s="4">
        <v>0.0</v>
      </c>
      <c r="F3" s="4"/>
      <c r="G3" s="4"/>
      <c r="H3" s="6"/>
      <c r="I3" s="6"/>
      <c r="J3" s="6"/>
      <c r="K3" s="6"/>
      <c r="L3" s="6" t="s">
        <v>17</v>
      </c>
      <c r="M3" s="6"/>
      <c r="N3" s="6"/>
      <c r="O3" s="6"/>
      <c r="P3" s="6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>
      <c r="A4" s="3">
        <v>45806.0</v>
      </c>
      <c r="B4" s="6" t="s">
        <v>18</v>
      </c>
      <c r="C4" s="5" t="s">
        <v>16</v>
      </c>
      <c r="D4" s="6">
        <f t="shared" ref="D4:D6" si="1">IF(A4 &lt;&gt; "", IF(C4 = "Spicy", D3, IF(C4 = "Good", D3+1, 0)), "")</f>
        <v>2</v>
      </c>
      <c r="E4" s="6">
        <f t="shared" ref="E4:E6" si="2">IF(A4 &lt;&gt; "", IF(C4 = "Spicy", E3, IF(C4 = "Bad", E3+1 , 0)), "")</f>
        <v>0</v>
      </c>
      <c r="F4" s="5">
        <f t="shared" ref="F4:F6" si="3">IF(B4 &lt;&gt; "", if(B4 = B3, F3+1, 1) ,"")</f>
        <v>1</v>
      </c>
      <c r="G4" s="6">
        <f t="shared" ref="G4:G6" si="4">IF(C4 &lt;&gt; "", IF(DAY(A3) = DAY(A4), G3+1, 1) ,"")</f>
        <v>1</v>
      </c>
      <c r="H4" s="6">
        <f t="shared" ref="H4:H6" si="5">IF(C4 &lt;&gt; "", IF(MONTH(A3) = MONTH(A4), H3+1, 1) ,"")</f>
        <v>1</v>
      </c>
      <c r="I4" s="6">
        <f t="shared" ref="I4:I6" si="6">IF(C4 &lt;&gt; "", IF(YEAR(A3) = YEAR(A4), I3+1, 1) ,"")</f>
        <v>1</v>
      </c>
      <c r="J4" s="6"/>
      <c r="K4" s="6"/>
      <c r="L4" s="6" t="s">
        <v>17</v>
      </c>
      <c r="M4" s="15"/>
      <c r="N4" s="15"/>
      <c r="O4" s="14"/>
      <c r="P4" s="1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>
      <c r="A5" s="1">
        <v>45841.0</v>
      </c>
      <c r="B5" s="5" t="s">
        <v>37</v>
      </c>
      <c r="C5" s="5" t="s">
        <v>16</v>
      </c>
      <c r="D5" s="6">
        <f t="shared" si="1"/>
        <v>3</v>
      </c>
      <c r="E5" s="6">
        <f t="shared" si="2"/>
        <v>0</v>
      </c>
      <c r="F5" s="5">
        <f t="shared" si="3"/>
        <v>1</v>
      </c>
      <c r="G5" s="6">
        <f t="shared" si="4"/>
        <v>1</v>
      </c>
      <c r="H5" s="6">
        <f t="shared" si="5"/>
        <v>1</v>
      </c>
      <c r="I5" s="6">
        <f t="shared" si="6"/>
        <v>2</v>
      </c>
    </row>
    <row r="6">
      <c r="A6" s="1">
        <v>45841.0</v>
      </c>
      <c r="B6" s="19" t="s">
        <v>39</v>
      </c>
      <c r="C6" s="5" t="s">
        <v>21</v>
      </c>
      <c r="D6" s="6">
        <f t="shared" si="1"/>
        <v>0</v>
      </c>
      <c r="E6" s="6">
        <f t="shared" si="2"/>
        <v>1</v>
      </c>
      <c r="F6" s="5">
        <f t="shared" si="3"/>
        <v>1</v>
      </c>
      <c r="G6" s="6">
        <f t="shared" si="4"/>
        <v>2</v>
      </c>
      <c r="H6" s="6">
        <f t="shared" si="5"/>
        <v>2</v>
      </c>
      <c r="I6" s="6">
        <f t="shared" si="6"/>
        <v>3</v>
      </c>
    </row>
    <row r="7">
      <c r="A7" s="1"/>
      <c r="D7" s="6"/>
      <c r="E7" s="6"/>
      <c r="I7" s="6"/>
    </row>
    <row r="8">
      <c r="A8" s="1"/>
      <c r="D8" s="6"/>
      <c r="E8" s="6"/>
      <c r="I8" s="6"/>
    </row>
    <row r="9">
      <c r="A9" s="1"/>
      <c r="D9" s="6"/>
      <c r="E9" s="6"/>
      <c r="I9" s="6"/>
    </row>
    <row r="10">
      <c r="A10" s="1"/>
      <c r="D10" s="6"/>
      <c r="E10" s="6"/>
      <c r="I10" s="6"/>
    </row>
    <row r="11">
      <c r="A11" s="22"/>
      <c r="D11" s="6"/>
      <c r="E11" s="6"/>
      <c r="I11" s="6"/>
    </row>
    <row r="12">
      <c r="A12" s="1"/>
      <c r="D12" s="6"/>
      <c r="E12" s="6"/>
      <c r="I12" s="6"/>
    </row>
    <row r="13">
      <c r="A13" s="1"/>
      <c r="D13" s="6"/>
      <c r="E13" s="6"/>
      <c r="I13" s="6"/>
    </row>
    <row r="14">
      <c r="A14" s="1"/>
      <c r="D14" s="6"/>
      <c r="E14" s="6"/>
      <c r="G14" s="23"/>
      <c r="I14" s="6"/>
    </row>
    <row r="15">
      <c r="A15" s="1"/>
      <c r="D15" s="6"/>
      <c r="E15" s="6"/>
      <c r="I15" s="6"/>
    </row>
    <row r="16">
      <c r="A16" s="1"/>
      <c r="D16" s="6"/>
      <c r="E16" s="6"/>
      <c r="I16" s="6"/>
    </row>
    <row r="17">
      <c r="A17" s="1"/>
      <c r="D17" s="6"/>
      <c r="E17" s="6"/>
      <c r="I17" s="6"/>
    </row>
    <row r="18">
      <c r="A18" s="1"/>
      <c r="D18" s="6"/>
      <c r="E18" s="6"/>
      <c r="I18" s="6"/>
    </row>
    <row r="19">
      <c r="A19" s="1"/>
      <c r="D19" s="6"/>
      <c r="E19" s="6"/>
      <c r="I19" s="6"/>
    </row>
    <row r="20">
      <c r="A20" s="22"/>
      <c r="D20" s="6"/>
      <c r="E20" s="6"/>
      <c r="I20" s="6"/>
    </row>
    <row r="21">
      <c r="A21" s="1"/>
      <c r="D21" s="6"/>
      <c r="E21" s="6"/>
      <c r="I21" s="6"/>
    </row>
    <row r="22">
      <c r="A22" s="1"/>
      <c r="D22" s="6"/>
      <c r="E22" s="6"/>
      <c r="I22" s="6"/>
    </row>
    <row r="23">
      <c r="A23" s="1"/>
      <c r="D23" s="6"/>
      <c r="E23" s="6"/>
      <c r="I23" s="6"/>
    </row>
    <row r="24">
      <c r="A24" s="1"/>
      <c r="D24" s="6"/>
      <c r="E24" s="6"/>
      <c r="I24" s="6"/>
    </row>
    <row r="25">
      <c r="A25" s="1"/>
      <c r="D25" s="6"/>
      <c r="E25" s="6"/>
      <c r="I25" s="6"/>
    </row>
    <row r="26">
      <c r="A26" s="1"/>
      <c r="D26" s="6"/>
      <c r="E26" s="6"/>
      <c r="I26" s="6"/>
    </row>
    <row r="27">
      <c r="A27" s="1"/>
      <c r="D27" s="6"/>
      <c r="E27" s="6"/>
      <c r="I27" s="6"/>
    </row>
    <row r="28">
      <c r="A28" s="1"/>
      <c r="D28" s="6"/>
      <c r="E28" s="6"/>
      <c r="I28" s="6"/>
    </row>
    <row r="29">
      <c r="A29" s="1"/>
      <c r="D29" s="6"/>
      <c r="E29" s="6"/>
      <c r="I29" s="6"/>
    </row>
    <row r="30">
      <c r="A30" s="1"/>
      <c r="D30" s="6"/>
      <c r="E30" s="6"/>
      <c r="I30" s="6"/>
    </row>
    <row r="31">
      <c r="A31" s="1"/>
      <c r="D31" s="6"/>
      <c r="E31" s="6"/>
      <c r="I31" s="6"/>
    </row>
    <row r="32">
      <c r="A32" s="1"/>
      <c r="D32" s="6"/>
      <c r="E32" s="6"/>
      <c r="I32" s="6"/>
    </row>
    <row r="33">
      <c r="A33" s="1"/>
      <c r="D33" s="6"/>
      <c r="E33" s="6"/>
      <c r="I33" s="6"/>
    </row>
    <row r="34">
      <c r="A34" s="1"/>
      <c r="D34" s="6"/>
      <c r="E34" s="6"/>
      <c r="I34" s="6"/>
    </row>
    <row r="35">
      <c r="A35" s="1"/>
      <c r="D35" s="6"/>
      <c r="E35" s="6"/>
      <c r="I35" s="6"/>
    </row>
    <row r="36">
      <c r="A36" s="1"/>
      <c r="D36" s="6"/>
      <c r="E36" s="6"/>
      <c r="I36" s="6"/>
      <c r="M36" s="24"/>
      <c r="N36" s="24"/>
      <c r="O36" s="25"/>
      <c r="P36" s="25"/>
    </row>
    <row r="37">
      <c r="A37" s="1"/>
      <c r="D37" s="6"/>
      <c r="E37" s="6"/>
      <c r="I37" s="6"/>
    </row>
    <row r="38">
      <c r="A38" s="1"/>
      <c r="D38" s="6"/>
      <c r="E38" s="6"/>
      <c r="I38" s="6"/>
    </row>
    <row r="39">
      <c r="A39" s="1"/>
      <c r="D39" s="6"/>
      <c r="E39" s="6"/>
      <c r="I39" s="6"/>
    </row>
    <row r="40">
      <c r="A40" s="1"/>
      <c r="D40" s="6"/>
      <c r="E40" s="6"/>
      <c r="I40" s="6"/>
    </row>
    <row r="41">
      <c r="A41" s="1"/>
      <c r="D41" s="6"/>
      <c r="E41" s="6"/>
      <c r="I41" s="6"/>
    </row>
    <row r="42">
      <c r="A42" s="1"/>
      <c r="D42" s="6"/>
      <c r="E42" s="6"/>
      <c r="I42" s="6"/>
    </row>
    <row r="43">
      <c r="A43" s="1"/>
      <c r="D43" s="6"/>
      <c r="E43" s="6"/>
      <c r="I43" s="6"/>
    </row>
    <row r="44">
      <c r="A44" s="1"/>
      <c r="D44" s="6"/>
      <c r="E44" s="6"/>
      <c r="I44" s="6"/>
    </row>
    <row r="45">
      <c r="A45" s="1"/>
      <c r="D45" s="6"/>
      <c r="E45" s="6"/>
      <c r="I45" s="6"/>
    </row>
    <row r="46">
      <c r="A46" s="1"/>
      <c r="D46" s="6"/>
      <c r="E46" s="6"/>
      <c r="I46" s="6"/>
    </row>
    <row r="47">
      <c r="A47" s="1"/>
      <c r="D47" s="6"/>
      <c r="E47" s="6"/>
      <c r="I47" s="6"/>
    </row>
    <row r="48">
      <c r="A48" s="1"/>
      <c r="D48" s="6"/>
      <c r="E48" s="6"/>
      <c r="I48" s="6"/>
    </row>
    <row r="49">
      <c r="A49" s="1"/>
      <c r="D49" s="6"/>
      <c r="E49" s="6"/>
      <c r="I49" s="6"/>
    </row>
    <row r="50">
      <c r="A50" s="1"/>
      <c r="D50" s="6"/>
      <c r="E50" s="6"/>
      <c r="I50" s="6"/>
    </row>
    <row r="51">
      <c r="A51" s="1"/>
      <c r="D51" s="6"/>
      <c r="E51" s="6"/>
      <c r="I51" s="6"/>
    </row>
    <row r="52">
      <c r="A52" s="1"/>
      <c r="D52" s="6"/>
      <c r="E52" s="6"/>
      <c r="I52" s="6"/>
    </row>
    <row r="53">
      <c r="A53" s="1"/>
      <c r="D53" s="6"/>
      <c r="E53" s="6"/>
      <c r="I53" s="6"/>
    </row>
    <row r="54">
      <c r="A54" s="1"/>
      <c r="D54" s="6"/>
      <c r="E54" s="6"/>
      <c r="I54" s="6"/>
    </row>
    <row r="55">
      <c r="A55" s="1"/>
      <c r="D55" s="6"/>
      <c r="E55" s="6"/>
      <c r="I55" s="6"/>
    </row>
    <row r="56">
      <c r="A56" s="1"/>
      <c r="D56" s="6"/>
      <c r="E56" s="6"/>
      <c r="I56" s="6"/>
    </row>
    <row r="57">
      <c r="A57" s="1"/>
      <c r="D57" s="6"/>
      <c r="E57" s="6"/>
      <c r="I57" s="6"/>
    </row>
    <row r="58">
      <c r="A58" s="1"/>
      <c r="D58" s="6"/>
      <c r="E58" s="6"/>
      <c r="H58" s="6"/>
      <c r="I58" s="6"/>
    </row>
    <row r="59">
      <c r="A59" s="1"/>
      <c r="D59" s="6"/>
      <c r="E59" s="6"/>
      <c r="H59" s="6"/>
      <c r="I59" s="6"/>
    </row>
    <row r="60">
      <c r="A60" s="1"/>
      <c r="D60" s="6"/>
      <c r="E60" s="6"/>
      <c r="H60" s="6"/>
      <c r="I60" s="6"/>
    </row>
    <row r="61">
      <c r="A61" s="1"/>
      <c r="D61" s="6"/>
      <c r="E61" s="6"/>
      <c r="H61" s="6"/>
      <c r="I61" s="6"/>
    </row>
    <row r="62">
      <c r="A62" s="1"/>
      <c r="D62" s="6"/>
      <c r="E62" s="6"/>
      <c r="H62" s="6"/>
      <c r="I62" s="6"/>
    </row>
    <row r="63">
      <c r="A63" s="1"/>
      <c r="D63" s="6"/>
      <c r="E63" s="6"/>
      <c r="H63" s="6"/>
      <c r="I63" s="6"/>
    </row>
    <row r="64">
      <c r="A64" s="1"/>
      <c r="D64" s="6"/>
      <c r="E64" s="6"/>
      <c r="H64" s="6"/>
      <c r="I64" s="6"/>
    </row>
    <row r="65">
      <c r="A65" s="1"/>
      <c r="D65" s="6"/>
      <c r="E65" s="6"/>
      <c r="H65" s="6"/>
      <c r="I65" s="6"/>
    </row>
    <row r="66">
      <c r="A66" s="1"/>
      <c r="D66" s="6"/>
      <c r="E66" s="6"/>
      <c r="H66" s="6"/>
      <c r="I66" s="6"/>
    </row>
    <row r="67">
      <c r="A67" s="1"/>
      <c r="D67" s="6"/>
      <c r="E67" s="6"/>
      <c r="H67" s="6"/>
      <c r="I67" s="6"/>
    </row>
    <row r="68">
      <c r="A68" s="1"/>
      <c r="D68" s="6"/>
      <c r="E68" s="6"/>
      <c r="H68" s="6"/>
      <c r="I68" s="6"/>
    </row>
    <row r="69">
      <c r="A69" s="1"/>
      <c r="D69" s="6"/>
      <c r="E69" s="6"/>
      <c r="H69" s="6"/>
      <c r="I69" s="6"/>
    </row>
    <row r="70">
      <c r="A70" s="1"/>
      <c r="D70" s="6"/>
      <c r="E70" s="6"/>
      <c r="H70" s="6"/>
      <c r="I70" s="6"/>
    </row>
    <row r="71">
      <c r="A71" s="1"/>
      <c r="D71" s="6"/>
      <c r="E71" s="6"/>
      <c r="H71" s="6"/>
      <c r="I71" s="6"/>
    </row>
    <row r="72">
      <c r="A72" s="3"/>
      <c r="B72" s="6"/>
      <c r="D72" s="6"/>
      <c r="E72" s="6"/>
      <c r="H72" s="6"/>
      <c r="I72" s="6"/>
      <c r="J72" s="6"/>
      <c r="K72" s="6"/>
    </row>
    <row r="73">
      <c r="A73" s="3"/>
      <c r="B73" s="6"/>
      <c r="D73" s="6"/>
      <c r="E73" s="6"/>
      <c r="H73" s="6"/>
      <c r="I73" s="6"/>
      <c r="J73" s="6"/>
      <c r="K73" s="6"/>
    </row>
    <row r="74">
      <c r="A74" s="3"/>
      <c r="B74" s="6"/>
      <c r="D74" s="6"/>
      <c r="E74" s="6"/>
      <c r="H74" s="6"/>
      <c r="I74" s="6"/>
      <c r="J74" s="6"/>
      <c r="K74" s="6"/>
    </row>
    <row r="75">
      <c r="A75" s="3"/>
      <c r="B75" s="6"/>
      <c r="D75" s="6"/>
      <c r="E75" s="6"/>
      <c r="H75" s="6"/>
      <c r="I75" s="6"/>
      <c r="J75" s="6"/>
      <c r="K75" s="6"/>
    </row>
    <row r="76">
      <c r="A76" s="3"/>
      <c r="B76" s="6"/>
      <c r="D76" s="6"/>
      <c r="E76" s="6"/>
      <c r="H76" s="6"/>
      <c r="I76" s="6"/>
      <c r="J76" s="6"/>
      <c r="K76" s="6"/>
    </row>
    <row r="77">
      <c r="A77" s="3"/>
      <c r="B77" s="6"/>
      <c r="D77" s="6"/>
      <c r="E77" s="6"/>
      <c r="H77" s="6"/>
      <c r="I77" s="6"/>
      <c r="J77" s="6"/>
      <c r="K77" s="6"/>
    </row>
    <row r="78">
      <c r="A78" s="3"/>
      <c r="B78" s="6"/>
      <c r="D78" s="6"/>
      <c r="E78" s="6"/>
      <c r="H78" s="6"/>
      <c r="I78" s="6"/>
      <c r="J78" s="6"/>
      <c r="K78" s="6"/>
    </row>
    <row r="79">
      <c r="A79" s="3"/>
      <c r="B79" s="6"/>
      <c r="D79" s="6"/>
      <c r="E79" s="6"/>
      <c r="H79" s="6"/>
      <c r="I79" s="6"/>
      <c r="J79" s="6"/>
      <c r="K79" s="6"/>
    </row>
    <row r="80">
      <c r="A80" s="3"/>
      <c r="B80" s="9"/>
      <c r="D80" s="6"/>
      <c r="E80" s="6"/>
      <c r="H80" s="6"/>
      <c r="I80" s="6"/>
      <c r="J80" s="6"/>
      <c r="K80" s="6"/>
    </row>
    <row r="81">
      <c r="A81" s="3"/>
      <c r="B81" s="9"/>
      <c r="D81" s="6"/>
      <c r="E81" s="6"/>
      <c r="H81" s="6"/>
      <c r="I81" s="6"/>
      <c r="J81" s="6"/>
      <c r="K81" s="6"/>
    </row>
    <row r="82">
      <c r="A82" s="3"/>
      <c r="B82" s="26"/>
      <c r="D82" s="6"/>
      <c r="E82" s="6"/>
      <c r="H82" s="6"/>
      <c r="I82" s="6"/>
      <c r="J82" s="6"/>
      <c r="K82" s="6"/>
    </row>
    <row r="83">
      <c r="A83" s="3"/>
      <c r="B83" s="6"/>
      <c r="D83" s="6"/>
      <c r="E83" s="6"/>
      <c r="H83" s="6"/>
      <c r="I83" s="6"/>
      <c r="J83" s="6"/>
      <c r="K83" s="6"/>
    </row>
    <row r="84">
      <c r="A84" s="3"/>
      <c r="B84" s="6"/>
      <c r="D84" s="6"/>
      <c r="E84" s="6"/>
      <c r="H84" s="6"/>
      <c r="I84" s="6"/>
      <c r="J84" s="6"/>
      <c r="K84" s="6"/>
    </row>
    <row r="85">
      <c r="A85" s="3"/>
      <c r="B85" s="6"/>
      <c r="D85" s="6"/>
      <c r="E85" s="6"/>
      <c r="H85" s="6"/>
      <c r="I85" s="6"/>
      <c r="J85" s="6"/>
      <c r="K85" s="6"/>
    </row>
    <row r="86">
      <c r="A86" s="3"/>
      <c r="B86" s="6"/>
      <c r="D86" s="6"/>
      <c r="E86" s="6"/>
      <c r="H86" s="6"/>
      <c r="I86" s="6"/>
      <c r="J86" s="6"/>
      <c r="K86" s="6"/>
    </row>
    <row r="87">
      <c r="A87" s="3"/>
      <c r="B87" s="9"/>
      <c r="D87" s="6"/>
      <c r="E87" s="6"/>
      <c r="H87" s="6"/>
      <c r="I87" s="6"/>
      <c r="J87" s="6"/>
      <c r="K87" s="6"/>
    </row>
    <row r="88">
      <c r="A88" s="3"/>
      <c r="B88" s="9"/>
      <c r="D88" s="6"/>
      <c r="E88" s="6"/>
      <c r="H88" s="6"/>
      <c r="I88" s="6"/>
      <c r="J88" s="6"/>
      <c r="K88" s="6"/>
    </row>
    <row r="89">
      <c r="A89" s="3"/>
      <c r="B89" s="9"/>
      <c r="D89" s="6"/>
      <c r="E89" s="6"/>
      <c r="H89" s="6"/>
      <c r="I89" s="6"/>
      <c r="J89" s="6"/>
      <c r="K89" s="6"/>
    </row>
    <row r="90">
      <c r="A90" s="3"/>
      <c r="B90" s="9"/>
      <c r="D90" s="6"/>
      <c r="E90" s="6"/>
      <c r="H90" s="6"/>
      <c r="I90" s="6"/>
      <c r="J90" s="6"/>
      <c r="K90" s="6"/>
    </row>
    <row r="91">
      <c r="A91" s="3"/>
      <c r="B91" s="9"/>
      <c r="D91" s="6"/>
      <c r="E91" s="6"/>
      <c r="H91" s="6"/>
      <c r="I91" s="6"/>
      <c r="J91" s="6"/>
      <c r="K91" s="6"/>
    </row>
    <row r="92">
      <c r="A92" s="3"/>
      <c r="B92" s="9"/>
      <c r="D92" s="6"/>
      <c r="E92" s="6"/>
      <c r="H92" s="6"/>
      <c r="I92" s="6"/>
      <c r="J92" s="6"/>
      <c r="K92" s="6"/>
    </row>
    <row r="93">
      <c r="A93" s="3"/>
      <c r="B93" s="9"/>
      <c r="D93" s="6"/>
      <c r="E93" s="6"/>
      <c r="H93" s="6"/>
      <c r="I93" s="6"/>
      <c r="J93" s="6"/>
      <c r="K93" s="6"/>
    </row>
    <row r="94">
      <c r="A94" s="3"/>
      <c r="B94" s="9"/>
      <c r="D94" s="6"/>
      <c r="E94" s="6"/>
      <c r="H94" s="6"/>
      <c r="I94" s="6"/>
      <c r="J94" s="6"/>
      <c r="K94" s="6"/>
    </row>
    <row r="95">
      <c r="A95" s="3"/>
      <c r="B95" s="9"/>
      <c r="D95" s="6"/>
      <c r="E95" s="6"/>
      <c r="H95" s="6"/>
      <c r="I95" s="6"/>
      <c r="J95" s="6"/>
      <c r="K95" s="6"/>
    </row>
    <row r="96">
      <c r="A96" s="3"/>
      <c r="B96" s="9"/>
      <c r="D96" s="6"/>
      <c r="E96" s="6"/>
      <c r="H96" s="6"/>
      <c r="I96" s="6"/>
      <c r="J96" s="6"/>
      <c r="K96" s="6"/>
    </row>
    <row r="97">
      <c r="A97" s="3"/>
      <c r="B97" s="9"/>
      <c r="D97" s="6"/>
      <c r="E97" s="6"/>
      <c r="H97" s="6"/>
      <c r="I97" s="6"/>
      <c r="J97" s="6"/>
      <c r="K97" s="6"/>
    </row>
    <row r="98">
      <c r="A98" s="3"/>
      <c r="B98" s="9"/>
      <c r="D98" s="6"/>
      <c r="E98" s="6"/>
      <c r="H98" s="6"/>
      <c r="I98" s="6"/>
      <c r="J98" s="6"/>
      <c r="K98" s="6"/>
    </row>
    <row r="99">
      <c r="A99" s="3"/>
      <c r="B99" s="9"/>
      <c r="D99" s="6"/>
      <c r="E99" s="6"/>
      <c r="H99" s="6"/>
      <c r="I99" s="6"/>
      <c r="J99" s="6"/>
      <c r="K99" s="6"/>
    </row>
    <row r="100">
      <c r="A100" s="3"/>
      <c r="B100" s="6"/>
      <c r="D100" s="6"/>
      <c r="E100" s="6"/>
      <c r="H100" s="6"/>
      <c r="I100" s="6"/>
      <c r="J100" s="6"/>
      <c r="K100" s="6"/>
    </row>
    <row r="101">
      <c r="A101" s="3"/>
      <c r="B101" s="6"/>
      <c r="D101" s="6"/>
      <c r="E101" s="6"/>
      <c r="H101" s="6"/>
      <c r="I101" s="6"/>
      <c r="J101" s="6"/>
      <c r="K101" s="6"/>
    </row>
    <row r="102">
      <c r="A102" s="3"/>
      <c r="B102" s="6"/>
      <c r="D102" s="6"/>
      <c r="E102" s="6"/>
      <c r="H102" s="6"/>
      <c r="I102" s="6"/>
      <c r="J102" s="6"/>
      <c r="K102" s="6"/>
    </row>
    <row r="103">
      <c r="A103" s="3"/>
      <c r="B103" s="6"/>
      <c r="D103" s="6"/>
      <c r="E103" s="6"/>
      <c r="H103" s="6"/>
      <c r="I103" s="6"/>
      <c r="J103" s="6"/>
      <c r="K103" s="6"/>
    </row>
    <row r="104">
      <c r="A104" s="3"/>
      <c r="B104" s="6"/>
      <c r="D104" s="6"/>
      <c r="E104" s="6"/>
      <c r="H104" s="6"/>
      <c r="I104" s="6"/>
      <c r="J104" s="6"/>
      <c r="K104" s="6"/>
    </row>
    <row r="105">
      <c r="A105" s="3"/>
      <c r="B105" s="6"/>
      <c r="D105" s="6"/>
      <c r="E105" s="6"/>
      <c r="H105" s="6"/>
      <c r="I105" s="6"/>
      <c r="J105" s="6"/>
      <c r="K105" s="6"/>
    </row>
    <row r="106">
      <c r="A106" s="3"/>
      <c r="B106" s="6"/>
      <c r="D106" s="6"/>
      <c r="E106" s="6"/>
      <c r="H106" s="6"/>
      <c r="I106" s="6"/>
      <c r="J106" s="6"/>
      <c r="K106" s="6"/>
    </row>
    <row r="107">
      <c r="A107" s="3"/>
      <c r="B107" s="6"/>
      <c r="D107" s="6"/>
      <c r="E107" s="6"/>
      <c r="H107" s="6"/>
      <c r="I107" s="6"/>
      <c r="J107" s="6"/>
      <c r="K107" s="6"/>
    </row>
    <row r="108">
      <c r="A108" s="3"/>
      <c r="B108" s="6"/>
      <c r="D108" s="6"/>
      <c r="E108" s="6"/>
      <c r="H108" s="6"/>
      <c r="I108" s="6"/>
      <c r="J108" s="6"/>
      <c r="K108" s="6"/>
    </row>
    <row r="109">
      <c r="A109" s="3"/>
      <c r="B109" s="6"/>
      <c r="D109" s="6"/>
      <c r="E109" s="6"/>
      <c r="H109" s="6"/>
      <c r="I109" s="6"/>
      <c r="J109" s="6"/>
      <c r="K109" s="6"/>
    </row>
    <row r="110">
      <c r="A110" s="3"/>
      <c r="B110" s="6"/>
      <c r="D110" s="6"/>
      <c r="E110" s="6"/>
      <c r="H110" s="6"/>
      <c r="I110" s="6"/>
      <c r="J110" s="6"/>
      <c r="K110" s="6"/>
    </row>
    <row r="111">
      <c r="A111" s="3"/>
      <c r="B111" s="6"/>
      <c r="D111" s="6"/>
      <c r="E111" s="6"/>
      <c r="H111" s="6"/>
      <c r="I111" s="6"/>
      <c r="J111" s="6"/>
      <c r="K111" s="6"/>
    </row>
    <row r="112">
      <c r="A112" s="3"/>
      <c r="B112" s="6"/>
      <c r="D112" s="6"/>
      <c r="E112" s="6"/>
      <c r="H112" s="6"/>
      <c r="I112" s="6"/>
      <c r="J112" s="6"/>
      <c r="K112" s="6"/>
    </row>
    <row r="113">
      <c r="A113" s="3"/>
      <c r="B113" s="6"/>
      <c r="D113" s="6"/>
      <c r="E113" s="6"/>
      <c r="H113" s="6"/>
      <c r="I113" s="6"/>
      <c r="J113" s="6"/>
      <c r="K113" s="6"/>
    </row>
    <row r="114">
      <c r="A114" s="3"/>
      <c r="B114" s="6"/>
      <c r="D114" s="6"/>
      <c r="E114" s="6"/>
      <c r="H114" s="6"/>
      <c r="I114" s="6"/>
      <c r="J114" s="6"/>
      <c r="K114" s="6"/>
    </row>
    <row r="115">
      <c r="A115" s="3"/>
      <c r="B115" s="6"/>
      <c r="D115" s="6"/>
      <c r="E115" s="6"/>
      <c r="H115" s="6"/>
      <c r="I115" s="6"/>
      <c r="J115" s="6"/>
      <c r="K115" s="6"/>
      <c r="M115" s="24"/>
      <c r="N115" s="24"/>
      <c r="O115" s="25"/>
      <c r="P115" s="25"/>
    </row>
    <row r="116">
      <c r="A116" s="3"/>
      <c r="B116" s="6"/>
      <c r="D116" s="6"/>
      <c r="E116" s="6"/>
      <c r="H116" s="6"/>
      <c r="I116" s="6"/>
      <c r="J116" s="7"/>
      <c r="K116" s="7"/>
      <c r="L116" s="7"/>
    </row>
    <row r="117">
      <c r="A117" s="3"/>
      <c r="B117" s="6"/>
      <c r="D117" s="6"/>
      <c r="E117" s="6"/>
      <c r="H117" s="6"/>
      <c r="I117" s="6"/>
      <c r="J117" s="7"/>
      <c r="K117" s="7"/>
      <c r="L117" s="7"/>
    </row>
    <row r="118">
      <c r="A118" s="3"/>
      <c r="B118" s="9"/>
      <c r="D118" s="6"/>
      <c r="E118" s="6"/>
      <c r="H118" s="6"/>
      <c r="I118" s="6"/>
      <c r="J118" s="7"/>
      <c r="K118" s="7"/>
      <c r="L118" s="7"/>
    </row>
    <row r="119">
      <c r="A119" s="3"/>
      <c r="B119" s="9"/>
      <c r="D119" s="6"/>
      <c r="E119" s="6"/>
      <c r="H119" s="6"/>
      <c r="I119" s="6"/>
      <c r="J119" s="7"/>
      <c r="K119" s="7"/>
      <c r="L119" s="7"/>
    </row>
    <row r="120">
      <c r="A120" s="3"/>
      <c r="B120" s="6"/>
      <c r="D120" s="6"/>
      <c r="E120" s="6"/>
      <c r="H120" s="6"/>
      <c r="I120" s="6"/>
      <c r="J120" s="7"/>
      <c r="K120" s="7"/>
      <c r="L120" s="7"/>
    </row>
    <row r="121">
      <c r="A121" s="3"/>
      <c r="B121" s="9"/>
      <c r="D121" s="6"/>
      <c r="E121" s="6"/>
      <c r="H121" s="6"/>
      <c r="I121" s="6"/>
      <c r="J121" s="7"/>
      <c r="K121" s="7"/>
      <c r="L121" s="7"/>
    </row>
    <row r="122">
      <c r="A122" s="3"/>
      <c r="B122" s="9"/>
      <c r="D122" s="6"/>
      <c r="E122" s="6"/>
      <c r="H122" s="6"/>
      <c r="I122" s="6"/>
      <c r="J122" s="7"/>
      <c r="K122" s="7"/>
      <c r="L122" s="7"/>
    </row>
    <row r="123">
      <c r="A123" s="3"/>
      <c r="B123" s="9"/>
      <c r="D123" s="6"/>
      <c r="E123" s="6"/>
      <c r="H123" s="6"/>
      <c r="I123" s="6"/>
      <c r="J123" s="7"/>
      <c r="K123" s="7"/>
      <c r="L123" s="7"/>
    </row>
    <row r="124">
      <c r="A124" s="3"/>
      <c r="B124" s="6"/>
      <c r="D124" s="6"/>
      <c r="E124" s="6"/>
      <c r="H124" s="6"/>
      <c r="I124" s="6"/>
      <c r="J124" s="7"/>
      <c r="K124" s="7"/>
      <c r="L124" s="7"/>
    </row>
    <row r="125">
      <c r="A125" s="3"/>
      <c r="B125" s="9"/>
      <c r="D125" s="6"/>
      <c r="E125" s="6"/>
      <c r="H125" s="6"/>
      <c r="I125" s="6"/>
      <c r="J125" s="7"/>
      <c r="K125" s="7"/>
      <c r="L125" s="7"/>
    </row>
    <row r="126">
      <c r="A126" s="3"/>
      <c r="B126" s="6"/>
      <c r="D126" s="6"/>
      <c r="E126" s="6"/>
      <c r="H126" s="6"/>
      <c r="I126" s="6"/>
      <c r="J126" s="7"/>
      <c r="K126" s="7"/>
      <c r="L126" s="7"/>
    </row>
    <row r="127">
      <c r="A127" s="3"/>
      <c r="B127" s="6"/>
      <c r="D127" s="6"/>
      <c r="E127" s="6"/>
      <c r="H127" s="6"/>
      <c r="I127" s="6"/>
      <c r="J127" s="7"/>
      <c r="K127" s="7"/>
      <c r="L127" s="7"/>
    </row>
    <row r="128">
      <c r="A128" s="3"/>
      <c r="B128" s="26"/>
      <c r="D128" s="6"/>
      <c r="E128" s="6"/>
      <c r="H128" s="6"/>
      <c r="I128" s="6"/>
      <c r="J128" s="7"/>
      <c r="K128" s="7"/>
      <c r="L128" s="7"/>
    </row>
    <row r="129">
      <c r="A129" s="3"/>
      <c r="B129" s="6"/>
      <c r="D129" s="6"/>
      <c r="E129" s="6"/>
      <c r="H129" s="6"/>
      <c r="I129" s="6"/>
      <c r="J129" s="7"/>
      <c r="K129" s="7"/>
      <c r="L129" s="7"/>
    </row>
    <row r="130">
      <c r="A130" s="3"/>
      <c r="B130" s="6"/>
      <c r="D130" s="6"/>
      <c r="E130" s="6"/>
      <c r="H130" s="6"/>
      <c r="I130" s="6"/>
      <c r="J130" s="7"/>
      <c r="K130" s="7"/>
      <c r="L130" s="7"/>
    </row>
    <row r="131">
      <c r="A131" s="3"/>
      <c r="B131" s="6"/>
      <c r="D131" s="6"/>
      <c r="E131" s="6"/>
      <c r="H131" s="6"/>
      <c r="I131" s="6"/>
      <c r="J131" s="7"/>
      <c r="K131" s="7"/>
      <c r="L131" s="7"/>
    </row>
    <row r="132">
      <c r="A132" s="3"/>
      <c r="B132" s="6"/>
      <c r="D132" s="6"/>
      <c r="E132" s="6"/>
      <c r="H132" s="6"/>
      <c r="I132" s="6"/>
      <c r="J132" s="7"/>
      <c r="K132" s="7"/>
      <c r="L132" s="7"/>
    </row>
    <row r="133">
      <c r="A133" s="3"/>
      <c r="B133" s="26"/>
      <c r="D133" s="6"/>
      <c r="E133" s="6"/>
      <c r="H133" s="6"/>
      <c r="I133" s="6"/>
      <c r="J133" s="7"/>
      <c r="K133" s="7"/>
      <c r="L133" s="7"/>
    </row>
    <row r="134">
      <c r="A134" s="3"/>
      <c r="B134" s="26"/>
      <c r="D134" s="6"/>
      <c r="E134" s="6"/>
      <c r="H134" s="6"/>
      <c r="I134" s="6"/>
      <c r="J134" s="7"/>
      <c r="K134" s="7"/>
      <c r="L134" s="7"/>
    </row>
    <row r="135">
      <c r="A135" s="3"/>
      <c r="B135" s="6"/>
      <c r="D135" s="6"/>
      <c r="E135" s="6"/>
      <c r="H135" s="6"/>
      <c r="I135" s="6"/>
      <c r="J135" s="7"/>
      <c r="K135" s="7"/>
      <c r="L135" s="7"/>
    </row>
    <row r="136">
      <c r="A136" s="3"/>
      <c r="B136" s="6"/>
      <c r="D136" s="6"/>
      <c r="E136" s="6"/>
      <c r="H136" s="6"/>
      <c r="I136" s="6"/>
      <c r="J136" s="7"/>
      <c r="K136" s="7"/>
      <c r="L136" s="7"/>
    </row>
    <row r="137">
      <c r="A137" s="3"/>
      <c r="B137" s="6"/>
      <c r="D137" s="6"/>
      <c r="E137" s="6"/>
      <c r="H137" s="6"/>
      <c r="I137" s="6"/>
      <c r="J137" s="7"/>
      <c r="K137" s="7"/>
      <c r="L137" s="7"/>
    </row>
    <row r="138">
      <c r="A138" s="3"/>
      <c r="B138" s="26"/>
      <c r="D138" s="6"/>
      <c r="E138" s="6"/>
      <c r="H138" s="6"/>
      <c r="I138" s="6"/>
      <c r="J138" s="7"/>
      <c r="K138" s="7"/>
      <c r="L138" s="7"/>
    </row>
    <row r="139">
      <c r="A139" s="3"/>
      <c r="B139" s="6"/>
      <c r="D139" s="6"/>
      <c r="E139" s="6"/>
      <c r="H139" s="6"/>
      <c r="I139" s="6"/>
      <c r="J139" s="7"/>
      <c r="K139" s="7"/>
      <c r="L139" s="7"/>
    </row>
    <row r="140">
      <c r="A140" s="3"/>
      <c r="B140" s="33"/>
      <c r="D140" s="6"/>
      <c r="E140" s="6"/>
      <c r="H140" s="6"/>
      <c r="I140" s="6"/>
      <c r="J140" s="7"/>
      <c r="K140" s="7"/>
      <c r="L140" s="7"/>
    </row>
    <row r="141">
      <c r="A141" s="3"/>
      <c r="B141" s="6"/>
      <c r="D141" s="6"/>
      <c r="E141" s="6"/>
      <c r="H141" s="6"/>
      <c r="I141" s="6"/>
      <c r="J141" s="7"/>
      <c r="K141" s="7"/>
      <c r="L141" s="7"/>
    </row>
    <row r="142">
      <c r="A142" s="3"/>
      <c r="B142" s="6"/>
      <c r="D142" s="6"/>
      <c r="E142" s="6"/>
      <c r="H142" s="6"/>
      <c r="I142" s="6"/>
      <c r="J142" s="7"/>
      <c r="K142" s="7"/>
      <c r="L142" s="7"/>
    </row>
    <row r="143">
      <c r="A143" s="3"/>
      <c r="B143" s="6"/>
      <c r="D143" s="6"/>
      <c r="E143" s="6"/>
      <c r="H143" s="6"/>
      <c r="I143" s="6"/>
      <c r="J143" s="7"/>
      <c r="K143" s="7"/>
      <c r="L143" s="7"/>
    </row>
    <row r="144">
      <c r="A144" s="3"/>
      <c r="B144" s="33"/>
      <c r="D144" s="6"/>
      <c r="E144" s="6"/>
      <c r="H144" s="6"/>
      <c r="I144" s="6"/>
      <c r="J144" s="7"/>
      <c r="K144" s="7"/>
      <c r="L144" s="7"/>
    </row>
    <row r="145">
      <c r="A145" s="3"/>
      <c r="B145" s="6"/>
      <c r="D145" s="6"/>
      <c r="E145" s="6"/>
      <c r="H145" s="6"/>
      <c r="I145" s="6"/>
      <c r="J145" s="7"/>
      <c r="K145" s="7"/>
      <c r="L145" s="7"/>
    </row>
    <row r="146">
      <c r="A146" s="3"/>
      <c r="B146" s="6"/>
      <c r="D146" s="6"/>
      <c r="E146" s="6"/>
      <c r="H146" s="6"/>
      <c r="I146" s="6"/>
      <c r="J146" s="7"/>
      <c r="K146" s="7"/>
      <c r="L146" s="7"/>
    </row>
    <row r="147">
      <c r="A147" s="3"/>
      <c r="B147" s="26"/>
      <c r="D147" s="6"/>
      <c r="E147" s="6"/>
      <c r="H147" s="6"/>
      <c r="I147" s="6"/>
      <c r="J147" s="7"/>
      <c r="K147" s="7"/>
      <c r="L147" s="7"/>
    </row>
    <row r="148">
      <c r="A148" s="3"/>
      <c r="B148" s="6"/>
      <c r="D148" s="6"/>
      <c r="E148" s="6"/>
      <c r="H148" s="6"/>
      <c r="I148" s="6"/>
      <c r="J148" s="7"/>
      <c r="K148" s="7"/>
      <c r="L148" s="7"/>
    </row>
    <row r="149">
      <c r="A149" s="3"/>
      <c r="B149" s="6"/>
      <c r="D149" s="6"/>
      <c r="E149" s="6"/>
      <c r="H149" s="6"/>
      <c r="I149" s="6"/>
      <c r="J149" s="7"/>
      <c r="K149" s="7"/>
      <c r="L149" s="7"/>
    </row>
    <row r="150">
      <c r="A150" s="3"/>
      <c r="B150" s="6"/>
      <c r="D150" s="6"/>
      <c r="E150" s="6"/>
      <c r="H150" s="6"/>
      <c r="I150" s="6"/>
      <c r="J150" s="7"/>
      <c r="K150" s="7"/>
      <c r="L150" s="7"/>
    </row>
    <row r="151">
      <c r="A151" s="3"/>
      <c r="B151" s="6"/>
      <c r="D151" s="6"/>
      <c r="E151" s="6"/>
      <c r="H151" s="6"/>
      <c r="I151" s="6"/>
      <c r="J151" s="7"/>
      <c r="K151" s="7"/>
      <c r="L151" s="7"/>
    </row>
    <row r="152">
      <c r="A152" s="3"/>
      <c r="B152" s="6"/>
      <c r="D152" s="6"/>
      <c r="E152" s="6"/>
      <c r="H152" s="6"/>
      <c r="I152" s="6"/>
      <c r="J152" s="7"/>
      <c r="K152" s="7"/>
      <c r="L152" s="7"/>
    </row>
    <row r="153">
      <c r="A153" s="3"/>
      <c r="B153" s="6"/>
      <c r="D153" s="6"/>
      <c r="E153" s="6"/>
      <c r="H153" s="6"/>
      <c r="I153" s="6"/>
      <c r="J153" s="7"/>
      <c r="K153" s="7"/>
      <c r="L153" s="7"/>
    </row>
    <row r="154">
      <c r="A154" s="3"/>
      <c r="B154" s="6"/>
      <c r="D154" s="6"/>
      <c r="E154" s="6"/>
      <c r="H154" s="6"/>
      <c r="I154" s="6"/>
      <c r="J154" s="7"/>
      <c r="K154" s="7"/>
      <c r="L154" s="7"/>
    </row>
    <row r="155">
      <c r="A155" s="3"/>
      <c r="B155" s="9"/>
      <c r="D155" s="6"/>
      <c r="E155" s="6"/>
      <c r="H155" s="6"/>
      <c r="I155" s="6"/>
      <c r="J155" s="7"/>
      <c r="K155" s="7"/>
      <c r="L155" s="7"/>
    </row>
    <row r="156">
      <c r="A156" s="3"/>
      <c r="B156" s="6"/>
      <c r="D156" s="6"/>
      <c r="E156" s="6"/>
      <c r="H156" s="6"/>
      <c r="I156" s="6"/>
      <c r="J156" s="7"/>
      <c r="K156" s="7"/>
      <c r="L156" s="7"/>
    </row>
    <row r="157">
      <c r="A157" s="3"/>
      <c r="B157" s="26"/>
      <c r="D157" s="6"/>
      <c r="E157" s="6"/>
      <c r="H157" s="6"/>
      <c r="I157" s="6"/>
      <c r="J157" s="7"/>
      <c r="K157" s="7"/>
      <c r="L157" s="7"/>
    </row>
    <row r="158">
      <c r="A158" s="3"/>
      <c r="B158" s="26"/>
      <c r="D158" s="6"/>
      <c r="E158" s="6"/>
      <c r="H158" s="6"/>
      <c r="I158" s="6"/>
      <c r="J158" s="7"/>
      <c r="K158" s="7"/>
      <c r="L158" s="7"/>
    </row>
    <row r="159">
      <c r="A159" s="3"/>
      <c r="B159" s="6"/>
      <c r="D159" s="6"/>
      <c r="E159" s="6"/>
      <c r="H159" s="6"/>
      <c r="I159" s="6"/>
      <c r="J159" s="7"/>
      <c r="K159" s="7"/>
      <c r="L159" s="7"/>
    </row>
    <row r="160">
      <c r="A160" s="3"/>
      <c r="B160" s="6"/>
      <c r="D160" s="6"/>
      <c r="E160" s="6"/>
      <c r="H160" s="6"/>
      <c r="I160" s="6"/>
      <c r="J160" s="7"/>
      <c r="K160" s="7"/>
      <c r="L160" s="7"/>
    </row>
    <row r="161">
      <c r="A161" s="3"/>
      <c r="B161" s="26"/>
      <c r="D161" s="6"/>
      <c r="E161" s="6"/>
      <c r="H161" s="6"/>
      <c r="I161" s="6"/>
      <c r="J161" s="7"/>
      <c r="K161" s="7"/>
      <c r="L161" s="7"/>
    </row>
    <row r="162">
      <c r="A162" s="3"/>
      <c r="B162" s="33"/>
      <c r="D162" s="6"/>
      <c r="E162" s="6"/>
      <c r="H162" s="6"/>
      <c r="I162" s="6"/>
      <c r="J162" s="7"/>
      <c r="K162" s="7"/>
      <c r="L162" s="7"/>
    </row>
    <row r="163">
      <c r="A163" s="3"/>
      <c r="B163" s="6"/>
      <c r="D163" s="6"/>
      <c r="E163" s="6"/>
      <c r="H163" s="6"/>
      <c r="I163" s="6"/>
      <c r="J163" s="7"/>
      <c r="K163" s="7"/>
      <c r="L163" s="7"/>
    </row>
    <row r="164">
      <c r="A164" s="3"/>
      <c r="B164" s="6"/>
      <c r="D164" s="6"/>
      <c r="E164" s="6"/>
      <c r="H164" s="6"/>
      <c r="I164" s="6"/>
      <c r="J164" s="7"/>
      <c r="K164" s="7"/>
      <c r="L164" s="7"/>
    </row>
    <row r="165">
      <c r="A165" s="3"/>
      <c r="B165" s="26"/>
      <c r="D165" s="6"/>
      <c r="E165" s="6"/>
      <c r="H165" s="6"/>
      <c r="I165" s="6"/>
      <c r="J165" s="7"/>
      <c r="K165" s="7"/>
      <c r="L165" s="7"/>
    </row>
    <row r="166">
      <c r="A166" s="3"/>
      <c r="B166" s="6"/>
      <c r="D166" s="6"/>
      <c r="E166" s="6"/>
      <c r="H166" s="6"/>
      <c r="I166" s="6"/>
      <c r="J166" s="7"/>
      <c r="K166" s="7"/>
      <c r="L166" s="7"/>
    </row>
    <row r="167">
      <c r="A167" s="3"/>
      <c r="B167" s="6"/>
      <c r="D167" s="6"/>
      <c r="E167" s="6"/>
      <c r="H167" s="6"/>
      <c r="I167" s="6"/>
      <c r="J167" s="7"/>
      <c r="K167" s="7"/>
      <c r="L167" s="7"/>
    </row>
    <row r="168">
      <c r="A168" s="3"/>
      <c r="B168" s="6"/>
      <c r="D168" s="6"/>
      <c r="E168" s="6"/>
      <c r="H168" s="6"/>
      <c r="I168" s="6"/>
      <c r="J168" s="7"/>
      <c r="K168" s="7"/>
      <c r="L168" s="7"/>
    </row>
    <row r="169">
      <c r="A169" s="3"/>
      <c r="B169" s="6"/>
      <c r="D169" s="6"/>
      <c r="E169" s="6"/>
      <c r="H169" s="6"/>
      <c r="I169" s="6"/>
      <c r="J169" s="7"/>
      <c r="K169" s="7"/>
      <c r="L169" s="7"/>
    </row>
    <row r="170">
      <c r="A170" s="3"/>
      <c r="B170" s="6"/>
      <c r="D170" s="6"/>
      <c r="E170" s="6"/>
      <c r="H170" s="6"/>
      <c r="I170" s="6"/>
      <c r="J170" s="7"/>
      <c r="K170" s="7"/>
      <c r="L170" s="7"/>
    </row>
    <row r="171">
      <c r="A171" s="3"/>
      <c r="B171" s="6"/>
      <c r="D171" s="6"/>
      <c r="E171" s="6"/>
      <c r="H171" s="6"/>
      <c r="I171" s="6"/>
      <c r="J171" s="7"/>
      <c r="K171" s="7"/>
      <c r="L171" s="7"/>
    </row>
    <row r="172">
      <c r="A172" s="3"/>
      <c r="B172" s="6"/>
      <c r="D172" s="6"/>
      <c r="E172" s="6"/>
      <c r="H172" s="6"/>
      <c r="I172" s="6"/>
      <c r="J172" s="7"/>
      <c r="K172" s="7"/>
      <c r="L172" s="7"/>
    </row>
    <row r="173">
      <c r="A173" s="3"/>
      <c r="B173" s="6"/>
      <c r="D173" s="6"/>
      <c r="E173" s="6"/>
      <c r="H173" s="6"/>
      <c r="I173" s="6"/>
      <c r="J173" s="7"/>
      <c r="K173" s="7"/>
      <c r="L173" s="7"/>
    </row>
    <row r="174">
      <c r="A174" s="3"/>
      <c r="B174" s="6"/>
      <c r="D174" s="6"/>
      <c r="E174" s="6"/>
      <c r="H174" s="6"/>
      <c r="I174" s="6"/>
      <c r="J174" s="7"/>
      <c r="K174" s="7"/>
      <c r="L174" s="7"/>
    </row>
    <row r="175">
      <c r="A175" s="3"/>
      <c r="B175" s="6"/>
      <c r="D175" s="6"/>
      <c r="E175" s="6"/>
      <c r="H175" s="6"/>
      <c r="I175" s="6"/>
      <c r="J175" s="7"/>
      <c r="K175" s="7"/>
      <c r="L175" s="7"/>
    </row>
    <row r="176">
      <c r="A176" s="3"/>
      <c r="B176" s="6"/>
      <c r="D176" s="6"/>
      <c r="E176" s="6"/>
      <c r="H176" s="6"/>
      <c r="I176" s="6"/>
      <c r="J176" s="7"/>
      <c r="K176" s="7"/>
      <c r="L176" s="7"/>
    </row>
    <row r="177">
      <c r="A177" s="3"/>
      <c r="B177" s="6"/>
      <c r="D177" s="6"/>
      <c r="E177" s="6"/>
      <c r="H177" s="6"/>
      <c r="I177" s="6"/>
      <c r="J177" s="7"/>
      <c r="K177" s="7"/>
      <c r="L177" s="7"/>
    </row>
    <row r="178">
      <c r="A178" s="3"/>
      <c r="B178" s="6"/>
      <c r="D178" s="6"/>
      <c r="E178" s="6"/>
      <c r="H178" s="6"/>
      <c r="I178" s="6"/>
      <c r="J178" s="7"/>
      <c r="K178" s="7"/>
      <c r="L178" s="7"/>
    </row>
    <row r="179">
      <c r="A179" s="3"/>
      <c r="B179" s="6"/>
      <c r="D179" s="6"/>
      <c r="E179" s="6"/>
      <c r="H179" s="6"/>
      <c r="I179" s="6"/>
      <c r="J179" s="7"/>
      <c r="K179" s="7"/>
      <c r="L179" s="7"/>
    </row>
    <row r="180">
      <c r="A180" s="3"/>
      <c r="B180" s="6"/>
      <c r="D180" s="6"/>
      <c r="E180" s="6"/>
      <c r="H180" s="6"/>
      <c r="I180" s="6"/>
      <c r="J180" s="7"/>
      <c r="K180" s="7"/>
      <c r="L180" s="7"/>
    </row>
    <row r="181">
      <c r="A181" s="3"/>
      <c r="B181" s="6"/>
      <c r="D181" s="6"/>
      <c r="E181" s="6"/>
      <c r="H181" s="6"/>
      <c r="I181" s="6"/>
      <c r="J181" s="7"/>
      <c r="K181" s="7"/>
      <c r="L181" s="6"/>
    </row>
    <row r="182">
      <c r="A182" s="3"/>
      <c r="B182" s="6"/>
      <c r="D182" s="6"/>
      <c r="E182" s="6"/>
      <c r="H182" s="6"/>
      <c r="I182" s="6"/>
      <c r="J182" s="7"/>
      <c r="K182" s="7"/>
      <c r="L182" s="6"/>
    </row>
    <row r="183">
      <c r="A183" s="3"/>
      <c r="B183" s="6"/>
      <c r="D183" s="6"/>
      <c r="E183" s="6"/>
      <c r="H183" s="6"/>
      <c r="I183" s="6"/>
      <c r="J183" s="7"/>
      <c r="K183" s="7"/>
      <c r="L183" s="7"/>
    </row>
    <row r="184">
      <c r="A184" s="3"/>
      <c r="B184" s="6"/>
      <c r="D184" s="6"/>
      <c r="E184" s="6"/>
      <c r="H184" s="6"/>
      <c r="I184" s="6"/>
      <c r="J184" s="7"/>
      <c r="K184" s="7"/>
      <c r="L184" s="7"/>
    </row>
    <row r="185">
      <c r="A185" s="3"/>
      <c r="B185" s="6"/>
      <c r="D185" s="6"/>
      <c r="E185" s="6"/>
      <c r="H185" s="6"/>
      <c r="I185" s="6"/>
      <c r="J185" s="7"/>
      <c r="K185" s="7"/>
      <c r="L185" s="7"/>
    </row>
    <row r="186">
      <c r="A186" s="3"/>
      <c r="B186" s="6"/>
      <c r="D186" s="6"/>
      <c r="E186" s="6"/>
      <c r="H186" s="6"/>
      <c r="I186" s="6"/>
      <c r="J186" s="7"/>
      <c r="K186" s="7"/>
      <c r="L186" s="7"/>
    </row>
    <row r="187">
      <c r="A187" s="3"/>
      <c r="B187" s="6"/>
      <c r="D187" s="6"/>
      <c r="E187" s="6"/>
      <c r="H187" s="6"/>
      <c r="I187" s="6"/>
      <c r="J187" s="7"/>
      <c r="K187" s="7"/>
      <c r="L187" s="7"/>
    </row>
    <row r="188">
      <c r="A188" s="3"/>
      <c r="B188" s="6"/>
      <c r="D188" s="6"/>
      <c r="E188" s="6"/>
      <c r="H188" s="6"/>
      <c r="I188" s="6"/>
      <c r="J188" s="7"/>
      <c r="K188" s="7"/>
      <c r="L188" s="7"/>
    </row>
    <row r="189">
      <c r="A189" s="3"/>
      <c r="B189" s="6"/>
      <c r="D189" s="6"/>
      <c r="E189" s="6"/>
      <c r="H189" s="6"/>
      <c r="I189" s="6"/>
      <c r="J189" s="7"/>
      <c r="K189" s="7"/>
      <c r="L189" s="7"/>
    </row>
    <row r="190">
      <c r="A190" s="3"/>
      <c r="B190" s="6"/>
      <c r="D190" s="6"/>
      <c r="E190" s="6"/>
      <c r="H190" s="6"/>
      <c r="I190" s="6"/>
      <c r="J190" s="7"/>
      <c r="K190" s="7"/>
      <c r="L190" s="7"/>
    </row>
    <row r="191">
      <c r="A191" s="3"/>
      <c r="B191" s="6"/>
      <c r="D191" s="6"/>
      <c r="E191" s="6"/>
      <c r="H191" s="6"/>
      <c r="I191" s="6"/>
      <c r="J191" s="7"/>
      <c r="K191" s="7"/>
      <c r="L191" s="6"/>
    </row>
    <row r="192">
      <c r="A192" s="3"/>
      <c r="B192" s="6"/>
      <c r="D192" s="6"/>
      <c r="E192" s="6"/>
      <c r="H192" s="6"/>
      <c r="I192" s="6"/>
      <c r="J192" s="7"/>
      <c r="K192" s="7"/>
      <c r="L192" s="7"/>
    </row>
    <row r="193">
      <c r="A193" s="3"/>
      <c r="B193" s="6"/>
      <c r="D193" s="6"/>
      <c r="E193" s="6"/>
      <c r="H193" s="6"/>
      <c r="I193" s="6"/>
      <c r="J193" s="7"/>
      <c r="K193" s="7"/>
      <c r="L193" s="7"/>
    </row>
    <row r="194">
      <c r="A194" s="3"/>
      <c r="B194" s="6"/>
      <c r="D194" s="6"/>
      <c r="E194" s="6"/>
      <c r="H194" s="6"/>
      <c r="I194" s="6"/>
      <c r="J194" s="7"/>
      <c r="K194" s="7"/>
      <c r="L194" s="7"/>
    </row>
    <row r="195">
      <c r="A195" s="3"/>
      <c r="B195" s="6"/>
      <c r="D195" s="6"/>
      <c r="E195" s="6"/>
      <c r="H195" s="6"/>
      <c r="I195" s="6"/>
      <c r="J195" s="7"/>
      <c r="K195" s="7"/>
      <c r="L195" s="7"/>
    </row>
    <row r="196">
      <c r="A196" s="3"/>
      <c r="B196" s="6"/>
      <c r="D196" s="6"/>
      <c r="E196" s="6"/>
      <c r="H196" s="6"/>
      <c r="I196" s="6"/>
      <c r="J196" s="7"/>
      <c r="K196" s="7"/>
      <c r="L196" s="7"/>
    </row>
    <row r="197">
      <c r="A197" s="3"/>
      <c r="B197" s="6"/>
      <c r="D197" s="6"/>
      <c r="E197" s="6"/>
      <c r="H197" s="6"/>
      <c r="I197" s="6"/>
      <c r="J197" s="7"/>
      <c r="K197" s="7"/>
      <c r="L197" s="7"/>
    </row>
    <row r="198">
      <c r="A198" s="3"/>
      <c r="B198" s="6"/>
      <c r="D198" s="6"/>
      <c r="E198" s="6"/>
      <c r="H198" s="6"/>
      <c r="I198" s="6"/>
      <c r="J198" s="7"/>
      <c r="K198" s="7"/>
      <c r="L198" s="7"/>
    </row>
    <row r="199">
      <c r="A199" s="3"/>
      <c r="B199" s="6"/>
      <c r="D199" s="6"/>
      <c r="E199" s="6"/>
      <c r="H199" s="6"/>
      <c r="I199" s="6"/>
      <c r="J199" s="7"/>
      <c r="K199" s="7"/>
      <c r="L199" s="6"/>
    </row>
    <row r="200">
      <c r="A200" s="3"/>
      <c r="B200" s="6"/>
      <c r="D200" s="6"/>
      <c r="E200" s="6"/>
      <c r="H200" s="6"/>
      <c r="I200" s="6"/>
      <c r="J200" s="7"/>
      <c r="K200" s="7"/>
      <c r="L200" s="7"/>
    </row>
    <row r="201">
      <c r="A201" s="3"/>
      <c r="B201" s="6"/>
      <c r="D201" s="6"/>
      <c r="E201" s="6"/>
      <c r="H201" s="6"/>
      <c r="I201" s="6"/>
      <c r="J201" s="7"/>
      <c r="K201" s="7"/>
      <c r="L201" s="7"/>
    </row>
    <row r="202">
      <c r="A202" s="3"/>
      <c r="B202" s="6"/>
      <c r="D202" s="6"/>
      <c r="E202" s="6"/>
      <c r="H202" s="6"/>
      <c r="I202" s="6"/>
      <c r="J202" s="7"/>
      <c r="K202" s="7"/>
      <c r="L202" s="7"/>
    </row>
    <row r="203">
      <c r="A203" s="3"/>
      <c r="B203" s="6"/>
      <c r="D203" s="6"/>
      <c r="E203" s="6"/>
      <c r="H203" s="6"/>
      <c r="I203" s="6"/>
      <c r="J203" s="7"/>
      <c r="K203" s="7"/>
      <c r="L203" s="7"/>
    </row>
    <row r="204">
      <c r="A204" s="3"/>
      <c r="B204" s="6"/>
      <c r="D204" s="6"/>
      <c r="E204" s="6"/>
      <c r="H204" s="6"/>
      <c r="I204" s="6"/>
      <c r="J204" s="7"/>
      <c r="K204" s="7"/>
      <c r="L204" s="7"/>
    </row>
    <row r="205">
      <c r="A205" s="3"/>
      <c r="B205" s="6"/>
      <c r="D205" s="6"/>
      <c r="E205" s="6"/>
      <c r="H205" s="6"/>
      <c r="I205" s="6"/>
      <c r="J205" s="7"/>
      <c r="K205" s="7"/>
      <c r="L205" s="7"/>
    </row>
    <row r="206">
      <c r="A206" s="3"/>
      <c r="B206" s="6"/>
      <c r="D206" s="6"/>
      <c r="E206" s="6"/>
      <c r="H206" s="6"/>
      <c r="I206" s="6"/>
      <c r="J206" s="7"/>
      <c r="K206" s="7"/>
      <c r="L206" s="7"/>
    </row>
    <row r="207">
      <c r="A207" s="3"/>
      <c r="B207" s="6"/>
      <c r="D207" s="6"/>
      <c r="E207" s="6"/>
      <c r="H207" s="6"/>
      <c r="I207" s="6"/>
      <c r="J207" s="7"/>
      <c r="K207" s="7"/>
      <c r="L207" s="7"/>
    </row>
    <row r="208">
      <c r="A208" s="3"/>
      <c r="B208" s="6"/>
      <c r="D208" s="6"/>
      <c r="E208" s="6"/>
      <c r="H208" s="6"/>
      <c r="I208" s="6"/>
      <c r="J208" s="7"/>
      <c r="K208" s="7"/>
      <c r="L208" s="6"/>
    </row>
    <row r="209">
      <c r="A209" s="3"/>
      <c r="B209" s="6"/>
      <c r="D209" s="6"/>
      <c r="E209" s="6"/>
      <c r="H209" s="6"/>
      <c r="I209" s="6"/>
      <c r="J209" s="7"/>
      <c r="K209" s="7"/>
      <c r="L209" s="7"/>
    </row>
    <row r="210">
      <c r="A210" s="3"/>
      <c r="B210" s="6"/>
      <c r="D210" s="6"/>
      <c r="E210" s="6"/>
      <c r="H210" s="6"/>
      <c r="I210" s="6"/>
      <c r="J210" s="7"/>
      <c r="K210" s="7"/>
      <c r="L210" s="7"/>
    </row>
    <row r="211">
      <c r="A211" s="3"/>
      <c r="B211" s="6"/>
      <c r="D211" s="6"/>
      <c r="E211" s="6"/>
      <c r="H211" s="6"/>
      <c r="I211" s="6"/>
      <c r="J211" s="7"/>
      <c r="K211" s="7"/>
      <c r="L211" s="7"/>
    </row>
    <row r="212">
      <c r="A212" s="3"/>
      <c r="B212" s="6"/>
      <c r="D212" s="6"/>
      <c r="E212" s="6"/>
      <c r="H212" s="6"/>
      <c r="I212" s="6"/>
      <c r="J212" s="7"/>
      <c r="K212" s="7"/>
      <c r="L212" s="7"/>
    </row>
    <row r="213">
      <c r="A213" s="3"/>
      <c r="B213" s="6"/>
      <c r="D213" s="6"/>
      <c r="E213" s="6"/>
      <c r="H213" s="6"/>
      <c r="I213" s="6"/>
      <c r="J213" s="7"/>
      <c r="K213" s="7"/>
      <c r="L213" s="7"/>
    </row>
    <row r="214">
      <c r="A214" s="3"/>
      <c r="B214" s="6"/>
      <c r="D214" s="6"/>
      <c r="E214" s="6"/>
      <c r="H214" s="6"/>
      <c r="I214" s="6"/>
      <c r="J214" s="7"/>
      <c r="K214" s="7"/>
    </row>
    <row r="215">
      <c r="A215" s="3"/>
      <c r="B215" s="6"/>
      <c r="D215" s="6"/>
      <c r="E215" s="6"/>
      <c r="H215" s="6"/>
      <c r="I215" s="6"/>
      <c r="J215" s="7"/>
      <c r="K215" s="7"/>
      <c r="M215" s="24"/>
      <c r="N215" s="24"/>
      <c r="O215" s="25"/>
      <c r="P215" s="25"/>
    </row>
    <row r="216">
      <c r="A216" s="3"/>
      <c r="B216" s="6"/>
      <c r="D216" s="6"/>
      <c r="E216" s="6"/>
      <c r="H216" s="6"/>
      <c r="I216" s="6"/>
      <c r="J216" s="7"/>
      <c r="K216" s="7"/>
      <c r="L216" s="7"/>
    </row>
    <row r="217">
      <c r="A217" s="3"/>
      <c r="B217" s="6"/>
      <c r="D217" s="6"/>
      <c r="E217" s="6"/>
      <c r="H217" s="6"/>
      <c r="I217" s="6"/>
      <c r="J217" s="7"/>
      <c r="K217" s="7"/>
      <c r="L217" s="7"/>
    </row>
    <row r="218">
      <c r="A218" s="3"/>
      <c r="B218" s="6"/>
      <c r="D218" s="6"/>
      <c r="E218" s="6"/>
      <c r="H218" s="6"/>
      <c r="I218" s="6"/>
      <c r="J218" s="7"/>
      <c r="K218" s="7"/>
      <c r="L218" s="7"/>
    </row>
    <row r="219">
      <c r="A219" s="3"/>
      <c r="B219" s="6"/>
      <c r="D219" s="6"/>
      <c r="E219" s="6"/>
      <c r="H219" s="6"/>
      <c r="I219" s="6"/>
      <c r="J219" s="7"/>
      <c r="K219" s="7"/>
      <c r="L219" s="7"/>
    </row>
    <row r="220">
      <c r="A220" s="3"/>
      <c r="B220" s="6"/>
      <c r="D220" s="6"/>
      <c r="E220" s="6"/>
      <c r="H220" s="6"/>
      <c r="I220" s="6"/>
      <c r="J220" s="7"/>
      <c r="K220" s="7"/>
      <c r="L220" s="7"/>
    </row>
    <row r="221">
      <c r="A221" s="3"/>
      <c r="B221" s="6"/>
      <c r="D221" s="6"/>
      <c r="E221" s="6"/>
      <c r="H221" s="6"/>
      <c r="I221" s="6"/>
      <c r="J221" s="7"/>
      <c r="K221" s="7"/>
      <c r="L221" s="7"/>
    </row>
    <row r="222">
      <c r="A222" s="3"/>
      <c r="B222" s="6"/>
      <c r="D222" s="6"/>
      <c r="E222" s="6"/>
      <c r="H222" s="6"/>
      <c r="I222" s="6"/>
      <c r="J222" s="7"/>
      <c r="K222" s="7"/>
      <c r="L222" s="7"/>
    </row>
    <row r="223">
      <c r="A223" s="3"/>
      <c r="B223" s="6"/>
      <c r="D223" s="6"/>
      <c r="E223" s="6"/>
      <c r="H223" s="6"/>
      <c r="I223" s="6"/>
      <c r="J223" s="7"/>
      <c r="K223" s="7"/>
      <c r="L223" s="7"/>
    </row>
    <row r="224">
      <c r="A224" s="3"/>
      <c r="B224" s="6"/>
      <c r="D224" s="6"/>
      <c r="E224" s="6"/>
      <c r="H224" s="6"/>
      <c r="I224" s="6"/>
      <c r="J224" s="7"/>
      <c r="K224" s="7"/>
      <c r="L224" s="7"/>
    </row>
    <row r="225">
      <c r="A225" s="3"/>
      <c r="B225" s="6"/>
      <c r="D225" s="6"/>
      <c r="E225" s="6"/>
      <c r="H225" s="6"/>
      <c r="I225" s="6"/>
      <c r="J225" s="7"/>
      <c r="K225" s="7"/>
      <c r="L225" s="7"/>
    </row>
    <row r="226">
      <c r="A226" s="1"/>
      <c r="D226" s="6"/>
      <c r="E226" s="6"/>
      <c r="I226" s="6"/>
    </row>
    <row r="227">
      <c r="A227" s="1"/>
      <c r="D227" s="6"/>
      <c r="E227" s="6"/>
      <c r="I227" s="6"/>
    </row>
    <row r="228">
      <c r="A228" s="1"/>
      <c r="D228" s="6"/>
      <c r="E228" s="6"/>
      <c r="I228" s="6"/>
    </row>
    <row r="229">
      <c r="A229" s="1"/>
      <c r="D229" s="6"/>
      <c r="E229" s="6"/>
      <c r="I229" s="6"/>
    </row>
    <row r="230">
      <c r="A230" s="1"/>
      <c r="D230" s="6"/>
      <c r="E230" s="6"/>
      <c r="I230" s="6"/>
    </row>
    <row r="231">
      <c r="A231" s="1"/>
      <c r="D231" s="6"/>
      <c r="E231" s="6"/>
      <c r="I231" s="6"/>
    </row>
    <row r="232">
      <c r="A232" s="1"/>
      <c r="D232" s="6"/>
      <c r="E232" s="6"/>
      <c r="I232" s="6"/>
    </row>
    <row r="233">
      <c r="A233" s="1"/>
      <c r="D233" s="6"/>
      <c r="E233" s="6"/>
      <c r="I233" s="6"/>
    </row>
    <row r="234">
      <c r="A234" s="1"/>
      <c r="D234" s="6"/>
      <c r="E234" s="6"/>
      <c r="I234" s="6"/>
    </row>
    <row r="235">
      <c r="A235" s="1"/>
      <c r="D235" s="6"/>
      <c r="E235" s="6"/>
      <c r="I235" s="6"/>
    </row>
    <row r="236">
      <c r="A236" s="1"/>
      <c r="D236" s="6"/>
      <c r="E236" s="6"/>
      <c r="I236" s="6"/>
    </row>
    <row r="237">
      <c r="A237" s="1"/>
      <c r="D237" s="6"/>
      <c r="E237" s="6"/>
      <c r="I237" s="6"/>
    </row>
    <row r="238">
      <c r="A238" s="1"/>
      <c r="D238" s="6"/>
      <c r="E238" s="6"/>
      <c r="I238" s="6"/>
    </row>
    <row r="239">
      <c r="A239" s="1"/>
      <c r="D239" s="6"/>
      <c r="E239" s="6"/>
      <c r="I239" s="6"/>
    </row>
    <row r="240">
      <c r="A240" s="1"/>
      <c r="D240" s="6"/>
      <c r="E240" s="6"/>
      <c r="I240" s="6"/>
    </row>
    <row r="241">
      <c r="A241" s="1"/>
      <c r="D241" s="6"/>
      <c r="E241" s="6"/>
      <c r="I241" s="6"/>
    </row>
    <row r="242">
      <c r="A242" s="1"/>
      <c r="D242" s="6"/>
      <c r="E242" s="6"/>
      <c r="I242" s="6"/>
    </row>
    <row r="243">
      <c r="A243" s="1"/>
      <c r="D243" s="6"/>
      <c r="E243" s="6"/>
      <c r="I243" s="6"/>
    </row>
    <row r="244">
      <c r="A244" s="1"/>
      <c r="D244" s="6"/>
      <c r="E244" s="6"/>
      <c r="I244" s="6"/>
    </row>
    <row r="245">
      <c r="A245" s="1"/>
      <c r="D245" s="6"/>
      <c r="E245" s="6"/>
      <c r="I245" s="6"/>
    </row>
    <row r="246">
      <c r="A246" s="1"/>
      <c r="D246" s="6"/>
      <c r="E246" s="6"/>
      <c r="I246" s="6"/>
    </row>
    <row r="247">
      <c r="A247" s="1"/>
      <c r="D247" s="6"/>
      <c r="E247" s="6"/>
      <c r="I247" s="6"/>
    </row>
    <row r="248">
      <c r="A248" s="1"/>
      <c r="D248" s="6"/>
      <c r="E248" s="6"/>
      <c r="I248" s="6"/>
    </row>
    <row r="249">
      <c r="A249" s="1"/>
      <c r="D249" s="6"/>
      <c r="E249" s="6"/>
      <c r="I249" s="6"/>
    </row>
    <row r="250">
      <c r="A250" s="1"/>
      <c r="D250" s="6"/>
      <c r="E250" s="6"/>
      <c r="I250" s="6"/>
    </row>
    <row r="251">
      <c r="A251" s="1"/>
      <c r="D251" s="6"/>
      <c r="E251" s="6"/>
      <c r="I251" s="6"/>
    </row>
    <row r="252">
      <c r="A252" s="1"/>
      <c r="D252" s="6"/>
      <c r="E252" s="6"/>
      <c r="I252" s="6"/>
    </row>
    <row r="253">
      <c r="A253" s="1"/>
      <c r="D253" s="6"/>
      <c r="E253" s="6"/>
      <c r="I253" s="6"/>
    </row>
    <row r="254">
      <c r="A254" s="1"/>
      <c r="D254" s="6"/>
      <c r="E254" s="6"/>
      <c r="I254" s="6"/>
    </row>
    <row r="255">
      <c r="A255" s="1"/>
      <c r="D255" s="6"/>
      <c r="E255" s="6"/>
      <c r="I255" s="6"/>
    </row>
    <row r="256">
      <c r="A256" s="1"/>
      <c r="D256" s="6"/>
      <c r="E256" s="6"/>
      <c r="I256" s="6"/>
    </row>
    <row r="257">
      <c r="A257" s="1"/>
      <c r="D257" s="6"/>
      <c r="E257" s="6"/>
      <c r="I257" s="6"/>
    </row>
    <row r="258">
      <c r="A258" s="1"/>
      <c r="D258" s="6"/>
      <c r="E258" s="6"/>
      <c r="I258" s="6"/>
    </row>
    <row r="259">
      <c r="A259" s="1"/>
      <c r="D259" s="6"/>
      <c r="E259" s="6"/>
      <c r="I259" s="6"/>
    </row>
    <row r="260">
      <c r="A260" s="1"/>
      <c r="D260" s="6"/>
      <c r="E260" s="6"/>
      <c r="I260" s="6"/>
    </row>
    <row r="261">
      <c r="A261" s="1"/>
      <c r="D261" s="6"/>
      <c r="E261" s="6"/>
      <c r="I261" s="6"/>
    </row>
    <row r="262">
      <c r="A262" s="1"/>
      <c r="D262" s="6"/>
      <c r="E262" s="6"/>
      <c r="I262" s="6"/>
    </row>
    <row r="263">
      <c r="A263" s="1"/>
      <c r="D263" s="6"/>
      <c r="E263" s="6"/>
      <c r="I263" s="6"/>
    </row>
    <row r="264">
      <c r="A264" s="1"/>
      <c r="D264" s="6"/>
      <c r="E264" s="6"/>
      <c r="I264" s="6"/>
    </row>
    <row r="265">
      <c r="A265" s="1"/>
      <c r="D265" s="6"/>
      <c r="E265" s="6"/>
      <c r="I265" s="6"/>
    </row>
    <row r="266">
      <c r="A266" s="1"/>
      <c r="D266" s="6"/>
      <c r="E266" s="6"/>
      <c r="I266" s="6"/>
    </row>
    <row r="267">
      <c r="A267" s="1"/>
      <c r="D267" s="6"/>
      <c r="E267" s="6"/>
      <c r="I267" s="6"/>
    </row>
    <row r="268">
      <c r="A268" s="1"/>
      <c r="D268" s="6"/>
      <c r="E268" s="6"/>
      <c r="I268" s="6"/>
    </row>
    <row r="269">
      <c r="A269" s="1"/>
      <c r="D269" s="6"/>
      <c r="E269" s="6"/>
      <c r="I269" s="6"/>
    </row>
    <row r="270">
      <c r="A270" s="1"/>
      <c r="D270" s="6"/>
      <c r="E270" s="6"/>
      <c r="I270" s="6"/>
    </row>
    <row r="271">
      <c r="A271" s="1"/>
      <c r="D271" s="6"/>
      <c r="E271" s="6"/>
      <c r="I271" s="6"/>
    </row>
    <row r="272">
      <c r="A272" s="1"/>
      <c r="D272" s="6"/>
      <c r="E272" s="6"/>
      <c r="I272" s="6"/>
    </row>
    <row r="273">
      <c r="A273" s="1"/>
      <c r="D273" s="6"/>
      <c r="E273" s="6"/>
      <c r="I273" s="6"/>
    </row>
    <row r="274">
      <c r="A274" s="1"/>
      <c r="D274" s="6"/>
      <c r="E274" s="6"/>
      <c r="I274" s="6"/>
    </row>
    <row r="275">
      <c r="A275" s="1"/>
      <c r="D275" s="6"/>
      <c r="E275" s="6"/>
      <c r="I275" s="6"/>
    </row>
    <row r="276">
      <c r="A276" s="1"/>
      <c r="D276" s="6"/>
      <c r="E276" s="6"/>
      <c r="I276" s="6"/>
    </row>
    <row r="277">
      <c r="A277" s="1"/>
      <c r="D277" s="6"/>
      <c r="E277" s="6"/>
      <c r="I277" s="6"/>
    </row>
    <row r="278">
      <c r="A278" s="1"/>
      <c r="D278" s="6"/>
      <c r="E278" s="6"/>
      <c r="I278" s="6"/>
    </row>
    <row r="279">
      <c r="A279" s="1"/>
      <c r="D279" s="6"/>
      <c r="E279" s="6"/>
      <c r="I279" s="6"/>
    </row>
    <row r="280">
      <c r="A280" s="1"/>
      <c r="D280" s="6"/>
      <c r="E280" s="6"/>
      <c r="I280" s="6"/>
    </row>
    <row r="281">
      <c r="A281" s="1"/>
      <c r="D281" s="6"/>
      <c r="E281" s="6"/>
      <c r="I281" s="6"/>
    </row>
    <row r="282">
      <c r="A282" s="1"/>
      <c r="D282" s="6"/>
      <c r="E282" s="6"/>
      <c r="I282" s="6"/>
    </row>
    <row r="283">
      <c r="A283" s="1"/>
      <c r="D283" s="6"/>
      <c r="E283" s="6"/>
      <c r="I283" s="6"/>
    </row>
    <row r="284">
      <c r="A284" s="1"/>
      <c r="D284" s="6"/>
      <c r="E284" s="6"/>
      <c r="I284" s="6"/>
    </row>
    <row r="285">
      <c r="A285" s="1"/>
      <c r="D285" s="6"/>
      <c r="E285" s="6"/>
      <c r="I285" s="6"/>
    </row>
    <row r="286">
      <c r="A286" s="1"/>
      <c r="D286" s="6"/>
      <c r="E286" s="6"/>
      <c r="I286" s="6"/>
    </row>
    <row r="287">
      <c r="A287" s="1"/>
      <c r="D287" s="6"/>
      <c r="E287" s="6"/>
      <c r="I287" s="6"/>
    </row>
    <row r="288">
      <c r="A288" s="1"/>
      <c r="D288" s="6"/>
      <c r="E288" s="6"/>
      <c r="I288" s="6"/>
    </row>
    <row r="289">
      <c r="A289" s="1"/>
      <c r="D289" s="6"/>
      <c r="E289" s="6"/>
      <c r="I289" s="6"/>
    </row>
    <row r="290">
      <c r="A290" s="1"/>
      <c r="D290" s="6"/>
      <c r="E290" s="6"/>
      <c r="I290" s="6"/>
    </row>
    <row r="291">
      <c r="A291" s="1"/>
      <c r="D291" s="6"/>
      <c r="E291" s="6"/>
      <c r="I291" s="6"/>
    </row>
    <row r="292">
      <c r="A292" s="1"/>
      <c r="D292" s="6"/>
      <c r="E292" s="6"/>
      <c r="I292" s="6"/>
    </row>
    <row r="293">
      <c r="A293" s="1"/>
      <c r="D293" s="6"/>
      <c r="E293" s="6"/>
      <c r="I293" s="6"/>
    </row>
    <row r="294">
      <c r="A294" s="1"/>
      <c r="D294" s="6"/>
      <c r="E294" s="6"/>
      <c r="I294" s="6"/>
    </row>
    <row r="295">
      <c r="A295" s="1"/>
      <c r="D295" s="6"/>
      <c r="E295" s="6"/>
      <c r="I295" s="6"/>
    </row>
    <row r="296">
      <c r="A296" s="1"/>
      <c r="D296" s="6"/>
      <c r="E296" s="6"/>
      <c r="I296" s="6"/>
    </row>
    <row r="297">
      <c r="A297" s="1"/>
      <c r="D297" s="6"/>
      <c r="E297" s="6"/>
      <c r="I297" s="6"/>
    </row>
    <row r="298">
      <c r="A298" s="1"/>
      <c r="D298" s="6"/>
      <c r="E298" s="6"/>
      <c r="I298" s="6"/>
    </row>
    <row r="299">
      <c r="A299" s="1"/>
      <c r="D299" s="6"/>
      <c r="E299" s="6"/>
      <c r="I299" s="6"/>
    </row>
    <row r="300">
      <c r="A300" s="1"/>
      <c r="D300" s="6"/>
      <c r="E300" s="6"/>
      <c r="I300" s="6"/>
    </row>
    <row r="301">
      <c r="A301" s="1"/>
      <c r="D301" s="6"/>
      <c r="E301" s="6"/>
      <c r="I301" s="6"/>
    </row>
    <row r="302">
      <c r="A302" s="1"/>
      <c r="D302" s="6"/>
      <c r="E302" s="6"/>
      <c r="I302" s="6"/>
    </row>
    <row r="303">
      <c r="A303" s="1"/>
      <c r="D303" s="6"/>
      <c r="E303" s="6"/>
      <c r="I303" s="6"/>
    </row>
    <row r="304">
      <c r="A304" s="1"/>
      <c r="D304" s="6"/>
      <c r="E304" s="6"/>
      <c r="I304" s="6"/>
    </row>
    <row r="305">
      <c r="A305" s="1"/>
      <c r="D305" s="6"/>
      <c r="E305" s="6"/>
      <c r="I305" s="6"/>
    </row>
    <row r="306">
      <c r="A306" s="1"/>
      <c r="D306" s="6"/>
      <c r="E306" s="6"/>
      <c r="I306" s="6"/>
    </row>
    <row r="307">
      <c r="A307" s="1"/>
      <c r="D307" s="6"/>
      <c r="E307" s="6"/>
      <c r="I307" s="6"/>
    </row>
    <row r="308">
      <c r="A308" s="1"/>
      <c r="D308" s="6"/>
      <c r="E308" s="6"/>
      <c r="I308" s="6"/>
    </row>
    <row r="309">
      <c r="A309" s="1"/>
      <c r="D309" s="6"/>
      <c r="E309" s="6"/>
      <c r="I309" s="6"/>
    </row>
    <row r="310">
      <c r="A310" s="1"/>
      <c r="D310" s="6"/>
      <c r="E310" s="6"/>
      <c r="I310" s="6"/>
    </row>
    <row r="311">
      <c r="A311" s="1"/>
      <c r="D311" s="6"/>
      <c r="E311" s="6"/>
      <c r="I311" s="6"/>
    </row>
    <row r="312">
      <c r="A312" s="1"/>
      <c r="D312" s="6"/>
      <c r="E312" s="6"/>
      <c r="I312" s="6"/>
    </row>
    <row r="313">
      <c r="A313" s="1"/>
      <c r="D313" s="6"/>
      <c r="E313" s="6"/>
      <c r="I313" s="6"/>
    </row>
    <row r="314">
      <c r="A314" s="1"/>
      <c r="D314" s="6"/>
      <c r="E314" s="6"/>
      <c r="I314" s="6"/>
    </row>
    <row r="315">
      <c r="A315" s="1"/>
      <c r="D315" s="6"/>
      <c r="E315" s="6"/>
      <c r="I315" s="6"/>
    </row>
    <row r="316">
      <c r="A316" s="1"/>
      <c r="D316" s="6"/>
      <c r="E316" s="6"/>
      <c r="I316" s="6"/>
    </row>
    <row r="317">
      <c r="A317" s="1"/>
      <c r="D317" s="6"/>
      <c r="E317" s="6"/>
      <c r="I317" s="6"/>
    </row>
    <row r="318">
      <c r="A318" s="1"/>
      <c r="D318" s="6"/>
      <c r="E318" s="6"/>
      <c r="I318" s="6"/>
    </row>
    <row r="319">
      <c r="A319" s="1"/>
      <c r="D319" s="6"/>
      <c r="E319" s="6"/>
      <c r="I319" s="6"/>
    </row>
    <row r="320">
      <c r="A320" s="1"/>
      <c r="D320" s="6"/>
      <c r="E320" s="6"/>
      <c r="I320" s="6"/>
    </row>
    <row r="321">
      <c r="A321" s="1"/>
      <c r="D321" s="6"/>
      <c r="E321" s="6"/>
      <c r="I321" s="6"/>
    </row>
    <row r="322">
      <c r="A322" s="1"/>
      <c r="D322" s="6"/>
      <c r="E322" s="6"/>
      <c r="I322" s="6"/>
    </row>
    <row r="323">
      <c r="A323" s="1"/>
      <c r="D323" s="6"/>
      <c r="E323" s="6"/>
      <c r="I323" s="6"/>
    </row>
    <row r="324">
      <c r="A324" s="1"/>
      <c r="D324" s="6"/>
      <c r="E324" s="6"/>
      <c r="I324" s="6"/>
    </row>
    <row r="325">
      <c r="A325" s="1"/>
      <c r="D325" s="6"/>
      <c r="E325" s="6"/>
      <c r="I325" s="6"/>
    </row>
    <row r="326">
      <c r="A326" s="1"/>
      <c r="D326" s="6"/>
      <c r="E326" s="6"/>
      <c r="I326" s="6"/>
    </row>
    <row r="327">
      <c r="A327" s="1"/>
      <c r="D327" s="6"/>
      <c r="E327" s="6"/>
      <c r="I327" s="6"/>
    </row>
    <row r="328">
      <c r="A328" s="1"/>
      <c r="D328" s="6"/>
      <c r="E328" s="6"/>
      <c r="I328" s="6"/>
    </row>
    <row r="329">
      <c r="A329" s="1"/>
      <c r="D329" s="6"/>
      <c r="E329" s="6"/>
      <c r="I329" s="6"/>
    </row>
    <row r="330">
      <c r="A330" s="1"/>
      <c r="D330" s="6"/>
      <c r="E330" s="6"/>
      <c r="I330" s="6"/>
    </row>
    <row r="331">
      <c r="A331" s="1"/>
      <c r="D331" s="6"/>
      <c r="E331" s="6"/>
      <c r="I331" s="6"/>
    </row>
    <row r="332">
      <c r="A332" s="1"/>
      <c r="D332" s="6"/>
      <c r="E332" s="6"/>
      <c r="I332" s="6"/>
    </row>
    <row r="333">
      <c r="A333" s="1"/>
      <c r="D333" s="6"/>
      <c r="E333" s="6"/>
      <c r="I333" s="6"/>
    </row>
    <row r="334">
      <c r="A334" s="1"/>
      <c r="D334" s="6"/>
      <c r="E334" s="6"/>
      <c r="I334" s="6"/>
    </row>
    <row r="335">
      <c r="A335" s="1"/>
      <c r="D335" s="6"/>
      <c r="E335" s="6"/>
      <c r="I335" s="6"/>
    </row>
    <row r="336">
      <c r="A336" s="1"/>
      <c r="D336" s="6"/>
      <c r="E336" s="6"/>
      <c r="I336" s="6"/>
    </row>
    <row r="337">
      <c r="A337" s="1"/>
      <c r="D337" s="6"/>
      <c r="E337" s="6"/>
      <c r="I337" s="6"/>
    </row>
    <row r="338">
      <c r="A338" s="1"/>
      <c r="D338" s="6"/>
      <c r="E338" s="6"/>
      <c r="I338" s="6"/>
    </row>
    <row r="339">
      <c r="A339" s="1"/>
      <c r="D339" s="6"/>
      <c r="E339" s="6"/>
      <c r="I339" s="6"/>
    </row>
    <row r="340">
      <c r="A340" s="1"/>
      <c r="D340" s="6"/>
      <c r="E340" s="6"/>
      <c r="I340" s="6"/>
    </row>
    <row r="341">
      <c r="A341" s="1"/>
      <c r="D341" s="6"/>
      <c r="E341" s="6"/>
      <c r="I341" s="6"/>
    </row>
    <row r="342">
      <c r="A342" s="1"/>
      <c r="D342" s="6"/>
      <c r="E342" s="6"/>
      <c r="I342" s="6"/>
    </row>
    <row r="343">
      <c r="A343" s="1"/>
      <c r="D343" s="6"/>
      <c r="E343" s="6"/>
      <c r="I343" s="6"/>
    </row>
    <row r="344">
      <c r="A344" s="1"/>
      <c r="D344" s="6"/>
      <c r="E344" s="6"/>
      <c r="I344" s="6"/>
    </row>
    <row r="345">
      <c r="A345" s="1"/>
      <c r="D345" s="6"/>
      <c r="E345" s="6"/>
      <c r="I345" s="6"/>
    </row>
    <row r="346">
      <c r="A346" s="1"/>
      <c r="D346" s="6"/>
      <c r="E346" s="6"/>
      <c r="I346" s="6"/>
    </row>
    <row r="347">
      <c r="A347" s="1"/>
      <c r="D347" s="6"/>
      <c r="E347" s="6"/>
      <c r="I347" s="6"/>
    </row>
    <row r="348">
      <c r="A348" s="1"/>
      <c r="D348" s="6"/>
      <c r="E348" s="6"/>
      <c r="I348" s="6"/>
    </row>
    <row r="349">
      <c r="A349" s="1"/>
      <c r="D349" s="6"/>
      <c r="E349" s="6"/>
      <c r="I349" s="6"/>
    </row>
    <row r="350">
      <c r="A350" s="1"/>
      <c r="D350" s="6"/>
      <c r="E350" s="6"/>
      <c r="I350" s="6"/>
    </row>
    <row r="351">
      <c r="A351" s="1"/>
      <c r="D351" s="6"/>
      <c r="E351" s="6"/>
      <c r="I351" s="6"/>
    </row>
    <row r="352">
      <c r="A352" s="1"/>
      <c r="D352" s="6"/>
      <c r="E352" s="6"/>
      <c r="I352" s="6"/>
    </row>
    <row r="353">
      <c r="A353" s="1"/>
      <c r="D353" s="6"/>
      <c r="E353" s="6"/>
      <c r="I353" s="6"/>
    </row>
    <row r="354">
      <c r="A354" s="1"/>
      <c r="D354" s="6"/>
      <c r="E354" s="6"/>
      <c r="I354" s="6"/>
    </row>
    <row r="355">
      <c r="A355" s="1"/>
      <c r="D355" s="6"/>
      <c r="E355" s="6"/>
      <c r="I355" s="6"/>
    </row>
    <row r="356">
      <c r="A356" s="1"/>
      <c r="D356" s="6"/>
      <c r="E356" s="6"/>
      <c r="I356" s="6"/>
    </row>
    <row r="357">
      <c r="A357" s="1"/>
      <c r="D357" s="6"/>
      <c r="E357" s="6"/>
      <c r="I357" s="6"/>
    </row>
    <row r="358">
      <c r="A358" s="1"/>
      <c r="D358" s="6"/>
      <c r="E358" s="6"/>
      <c r="I358" s="6"/>
    </row>
    <row r="359">
      <c r="A359" s="1"/>
      <c r="D359" s="6"/>
      <c r="E359" s="6"/>
      <c r="I359" s="6"/>
    </row>
    <row r="360">
      <c r="A360" s="1"/>
      <c r="D360" s="6"/>
      <c r="E360" s="6"/>
      <c r="I360" s="6"/>
    </row>
    <row r="361">
      <c r="A361" s="1"/>
      <c r="D361" s="6"/>
      <c r="E361" s="6"/>
      <c r="I361" s="6"/>
    </row>
    <row r="362">
      <c r="A362" s="1"/>
      <c r="D362" s="6"/>
      <c r="E362" s="6"/>
      <c r="I362" s="6"/>
    </row>
    <row r="363">
      <c r="A363" s="1"/>
      <c r="D363" s="6"/>
      <c r="E363" s="6"/>
      <c r="I363" s="6"/>
    </row>
    <row r="364">
      <c r="A364" s="1"/>
      <c r="D364" s="6"/>
      <c r="E364" s="6"/>
      <c r="I364" s="6"/>
    </row>
    <row r="365">
      <c r="A365" s="1"/>
      <c r="D365" s="6"/>
      <c r="E365" s="6"/>
      <c r="I365" s="6"/>
    </row>
    <row r="366">
      <c r="A366" s="1"/>
      <c r="D366" s="6"/>
      <c r="E366" s="6"/>
      <c r="I366" s="6"/>
    </row>
    <row r="367">
      <c r="A367" s="1"/>
      <c r="D367" s="6"/>
      <c r="E367" s="6"/>
      <c r="I367" s="6"/>
    </row>
    <row r="368">
      <c r="A368" s="1"/>
      <c r="D368" s="6"/>
      <c r="E368" s="6"/>
      <c r="I368" s="6"/>
    </row>
    <row r="369">
      <c r="A369" s="1"/>
      <c r="D369" s="6"/>
      <c r="E369" s="6"/>
      <c r="I369" s="6"/>
    </row>
    <row r="370">
      <c r="A370" s="1"/>
      <c r="D370" s="6"/>
      <c r="E370" s="6"/>
      <c r="I370" s="6"/>
      <c r="M370" s="24"/>
      <c r="N370" s="24"/>
      <c r="O370" s="25"/>
      <c r="P370" s="25"/>
    </row>
    <row r="371">
      <c r="A371" s="1"/>
      <c r="D371" s="6"/>
      <c r="E371" s="6"/>
      <c r="I371" s="6"/>
      <c r="M371" s="24"/>
      <c r="N371" s="24"/>
      <c r="O371" s="25"/>
      <c r="P371" s="25"/>
    </row>
    <row r="372">
      <c r="A372" s="1"/>
      <c r="D372" s="6"/>
      <c r="E372" s="6"/>
      <c r="I372" s="6"/>
    </row>
    <row r="373">
      <c r="A373" s="1"/>
      <c r="D373" s="6"/>
      <c r="E373" s="6"/>
      <c r="I373" s="6"/>
    </row>
    <row r="374">
      <c r="A374" s="1"/>
      <c r="D374" s="6"/>
      <c r="E374" s="6"/>
      <c r="I374" s="6"/>
    </row>
    <row r="375">
      <c r="A375" s="1"/>
      <c r="D375" s="6"/>
      <c r="E375" s="6"/>
      <c r="I375" s="6"/>
    </row>
    <row r="376">
      <c r="A376" s="1"/>
      <c r="D376" s="6"/>
      <c r="E376" s="6"/>
      <c r="I376" s="6"/>
    </row>
    <row r="377">
      <c r="A377" s="1"/>
      <c r="D377" s="6"/>
      <c r="E377" s="6"/>
      <c r="I377" s="6"/>
    </row>
    <row r="378">
      <c r="A378" s="1"/>
      <c r="D378" s="6"/>
      <c r="E378" s="6"/>
      <c r="I378" s="6"/>
    </row>
    <row r="379">
      <c r="A379" s="1"/>
      <c r="D379" s="6"/>
      <c r="E379" s="6"/>
      <c r="I379" s="6"/>
    </row>
    <row r="380">
      <c r="A380" s="1"/>
      <c r="D380" s="6"/>
      <c r="E380" s="6"/>
      <c r="I380" s="6"/>
    </row>
    <row r="381">
      <c r="A381" s="1"/>
      <c r="D381" s="6"/>
      <c r="E381" s="6"/>
      <c r="I381" s="6"/>
    </row>
    <row r="382">
      <c r="A382" s="1"/>
      <c r="D382" s="6"/>
      <c r="E382" s="6"/>
      <c r="I382" s="6"/>
    </row>
    <row r="383">
      <c r="A383" s="1"/>
      <c r="D383" s="6"/>
      <c r="E383" s="6"/>
      <c r="I383" s="6"/>
    </row>
    <row r="384">
      <c r="A384" s="1"/>
      <c r="D384" s="6"/>
      <c r="E384" s="6"/>
      <c r="I384" s="6"/>
    </row>
    <row r="385">
      <c r="A385" s="1"/>
      <c r="D385" s="6"/>
      <c r="E385" s="6"/>
      <c r="I385" s="6"/>
    </row>
    <row r="386">
      <c r="A386" s="1"/>
      <c r="D386" s="6"/>
      <c r="E386" s="6"/>
      <c r="I386" s="6"/>
    </row>
    <row r="387">
      <c r="A387" s="1"/>
      <c r="D387" s="6"/>
      <c r="E387" s="6"/>
      <c r="I387" s="6"/>
    </row>
    <row r="388">
      <c r="A388" s="1"/>
      <c r="D388" s="6"/>
      <c r="E388" s="6"/>
      <c r="I388" s="6"/>
    </row>
    <row r="389">
      <c r="A389" s="1"/>
      <c r="D389" s="6"/>
      <c r="E389" s="6"/>
      <c r="I389" s="6"/>
    </row>
    <row r="390">
      <c r="A390" s="1"/>
      <c r="D390" s="6"/>
      <c r="E390" s="6"/>
      <c r="I390" s="6"/>
    </row>
    <row r="391">
      <c r="A391" s="1"/>
      <c r="D391" s="6"/>
      <c r="E391" s="6"/>
      <c r="I391" s="6"/>
    </row>
    <row r="392">
      <c r="A392" s="1"/>
      <c r="D392" s="6"/>
      <c r="E392" s="6"/>
      <c r="I392" s="6"/>
    </row>
    <row r="393">
      <c r="A393" s="1"/>
      <c r="D393" s="6"/>
      <c r="E393" s="6"/>
      <c r="I393" s="6"/>
    </row>
    <row r="394">
      <c r="A394" s="1"/>
      <c r="D394" s="6"/>
      <c r="E394" s="6"/>
      <c r="I394" s="6"/>
    </row>
    <row r="395">
      <c r="A395" s="1"/>
      <c r="D395" s="6"/>
      <c r="E395" s="6"/>
      <c r="I395" s="6"/>
    </row>
    <row r="396">
      <c r="A396" s="1"/>
      <c r="D396" s="6"/>
      <c r="E396" s="6"/>
      <c r="I396" s="6"/>
    </row>
    <row r="397">
      <c r="A397" s="1"/>
      <c r="D397" s="6"/>
      <c r="E397" s="6"/>
      <c r="I397" s="6"/>
    </row>
    <row r="398">
      <c r="A398" s="1"/>
      <c r="D398" s="6"/>
      <c r="E398" s="6"/>
      <c r="I398" s="6"/>
    </row>
    <row r="399">
      <c r="A399" s="1"/>
      <c r="D399" s="6"/>
      <c r="E399" s="6"/>
      <c r="I399" s="6"/>
    </row>
    <row r="400">
      <c r="A400" s="1"/>
      <c r="D400" s="6"/>
      <c r="E400" s="6"/>
      <c r="I400" s="6"/>
    </row>
    <row r="401">
      <c r="A401" s="1"/>
      <c r="D401" s="6"/>
      <c r="E401" s="6"/>
      <c r="I401" s="6"/>
    </row>
    <row r="402">
      <c r="A402" s="1"/>
      <c r="D402" s="6"/>
      <c r="E402" s="6"/>
      <c r="I402" s="6"/>
    </row>
    <row r="403">
      <c r="A403" s="1"/>
      <c r="D403" s="6"/>
      <c r="E403" s="6"/>
      <c r="I403" s="6"/>
    </row>
    <row r="404">
      <c r="A404" s="1"/>
      <c r="D404" s="6"/>
      <c r="E404" s="6"/>
      <c r="I404" s="6"/>
    </row>
    <row r="405">
      <c r="A405" s="1"/>
      <c r="D405" s="6"/>
      <c r="E405" s="6"/>
      <c r="I405" s="6"/>
    </row>
    <row r="406">
      <c r="A406" s="1"/>
      <c r="D406" s="6"/>
      <c r="E406" s="6"/>
      <c r="I406" s="6"/>
    </row>
    <row r="407">
      <c r="A407" s="1"/>
      <c r="D407" s="6"/>
      <c r="E407" s="6"/>
      <c r="I407" s="6"/>
    </row>
    <row r="408">
      <c r="A408" s="1"/>
      <c r="D408" s="6"/>
      <c r="E408" s="6"/>
      <c r="I408" s="6"/>
    </row>
    <row r="409">
      <c r="A409" s="1"/>
      <c r="D409" s="6"/>
      <c r="E409" s="6"/>
      <c r="I409" s="6"/>
    </row>
    <row r="410">
      <c r="A410" s="1"/>
      <c r="D410" s="6"/>
      <c r="E410" s="6"/>
      <c r="I410" s="6"/>
    </row>
    <row r="411">
      <c r="A411" s="1"/>
      <c r="D411" s="6"/>
      <c r="E411" s="6"/>
      <c r="I411" s="6"/>
    </row>
    <row r="412">
      <c r="A412" s="1"/>
      <c r="D412" s="6"/>
      <c r="E412" s="6"/>
      <c r="I412" s="6"/>
    </row>
    <row r="413">
      <c r="A413" s="1"/>
      <c r="D413" s="6"/>
      <c r="E413" s="6"/>
      <c r="I413" s="6"/>
    </row>
    <row r="414">
      <c r="A414" s="1"/>
      <c r="D414" s="6"/>
      <c r="E414" s="6"/>
      <c r="I414" s="6"/>
    </row>
    <row r="415">
      <c r="A415" s="1"/>
      <c r="D415" s="6"/>
      <c r="E415" s="6"/>
      <c r="I415" s="6"/>
    </row>
    <row r="416">
      <c r="A416" s="1"/>
      <c r="D416" s="6"/>
      <c r="E416" s="6"/>
      <c r="I416" s="6"/>
    </row>
    <row r="417">
      <c r="A417" s="1"/>
      <c r="D417" s="6"/>
      <c r="E417" s="6"/>
      <c r="I417" s="6"/>
    </row>
    <row r="418">
      <c r="A418" s="1"/>
      <c r="D418" s="6"/>
      <c r="E418" s="6"/>
      <c r="I418" s="6"/>
    </row>
    <row r="419">
      <c r="A419" s="1"/>
      <c r="D419" s="6"/>
      <c r="E419" s="6"/>
      <c r="I419" s="6"/>
    </row>
    <row r="420">
      <c r="A420" s="1"/>
      <c r="D420" s="6"/>
      <c r="E420" s="6"/>
      <c r="I420" s="6"/>
    </row>
    <row r="421">
      <c r="A421" s="1"/>
      <c r="D421" s="6"/>
      <c r="E421" s="6"/>
      <c r="I421" s="6"/>
    </row>
    <row r="422">
      <c r="A422" s="1"/>
      <c r="D422" s="6"/>
      <c r="E422" s="6"/>
      <c r="I422" s="6"/>
    </row>
    <row r="423">
      <c r="A423" s="1"/>
      <c r="D423" s="6"/>
      <c r="E423" s="6"/>
      <c r="I423" s="6"/>
    </row>
    <row r="424">
      <c r="A424" s="1"/>
      <c r="D424" s="6"/>
      <c r="E424" s="6"/>
      <c r="I424" s="6"/>
    </row>
    <row r="425">
      <c r="A425" s="1"/>
      <c r="D425" s="6"/>
      <c r="E425" s="6"/>
      <c r="I425" s="6"/>
    </row>
    <row r="426">
      <c r="A426" s="1"/>
      <c r="D426" s="6"/>
      <c r="E426" s="6"/>
      <c r="I426" s="6"/>
    </row>
    <row r="427">
      <c r="A427" s="1"/>
      <c r="D427" s="6"/>
      <c r="E427" s="6"/>
      <c r="I427" s="6"/>
    </row>
    <row r="428">
      <c r="A428" s="1"/>
      <c r="D428" s="6"/>
      <c r="E428" s="6"/>
      <c r="I428" s="6"/>
    </row>
    <row r="429">
      <c r="A429" s="1"/>
      <c r="D429" s="6"/>
      <c r="E429" s="6"/>
      <c r="I429" s="6"/>
    </row>
    <row r="430">
      <c r="A430" s="1"/>
      <c r="D430" s="6"/>
      <c r="E430" s="6"/>
      <c r="I430" s="6"/>
    </row>
    <row r="431">
      <c r="A431" s="1"/>
      <c r="D431" s="6"/>
      <c r="E431" s="6"/>
      <c r="I431" s="6"/>
    </row>
    <row r="432">
      <c r="A432" s="1"/>
      <c r="D432" s="6"/>
      <c r="E432" s="6"/>
      <c r="I432" s="6"/>
    </row>
    <row r="433">
      <c r="A433" s="1"/>
      <c r="D433" s="6"/>
      <c r="E433" s="6"/>
      <c r="I433" s="6"/>
    </row>
    <row r="434">
      <c r="A434" s="1"/>
      <c r="D434" s="6"/>
      <c r="E434" s="6"/>
      <c r="I434" s="6"/>
    </row>
    <row r="435">
      <c r="A435" s="1"/>
      <c r="D435" s="6"/>
      <c r="E435" s="6"/>
      <c r="I435" s="6"/>
    </row>
    <row r="436">
      <c r="A436" s="1"/>
      <c r="D436" s="6"/>
      <c r="E436" s="6"/>
      <c r="I436" s="6"/>
    </row>
    <row r="437">
      <c r="A437" s="1"/>
      <c r="D437" s="6"/>
      <c r="E437" s="6"/>
      <c r="I437" s="6"/>
    </row>
    <row r="438">
      <c r="A438" s="1"/>
      <c r="D438" s="6"/>
      <c r="E438" s="6"/>
      <c r="I438" s="6"/>
    </row>
    <row r="439">
      <c r="A439" s="1"/>
      <c r="D439" s="6"/>
      <c r="E439" s="6"/>
      <c r="I439" s="6"/>
    </row>
    <row r="440">
      <c r="A440" s="1"/>
      <c r="D440" s="6"/>
      <c r="E440" s="6"/>
      <c r="I440" s="6"/>
    </row>
    <row r="441">
      <c r="A441" s="1"/>
      <c r="D441" s="6"/>
      <c r="E441" s="6"/>
      <c r="I441" s="6"/>
    </row>
    <row r="442">
      <c r="A442" s="1"/>
      <c r="D442" s="6"/>
      <c r="E442" s="6"/>
      <c r="I442" s="6"/>
    </row>
    <row r="443">
      <c r="A443" s="1"/>
      <c r="D443" s="6"/>
      <c r="E443" s="6"/>
      <c r="I443" s="6"/>
    </row>
    <row r="444">
      <c r="A444" s="1"/>
      <c r="D444" s="6"/>
      <c r="E444" s="6"/>
      <c r="I444" s="6"/>
    </row>
    <row r="445">
      <c r="A445" s="1"/>
      <c r="D445" s="6"/>
      <c r="E445" s="6"/>
      <c r="I445" s="6"/>
    </row>
    <row r="446">
      <c r="A446" s="1"/>
      <c r="D446" s="6"/>
      <c r="E446" s="6"/>
      <c r="I446" s="6"/>
    </row>
    <row r="447">
      <c r="A447" s="1"/>
      <c r="D447" s="6"/>
      <c r="E447" s="6"/>
      <c r="I447" s="6"/>
    </row>
    <row r="448">
      <c r="A448" s="1"/>
      <c r="D448" s="6"/>
      <c r="E448" s="6"/>
      <c r="I448" s="6"/>
    </row>
    <row r="449">
      <c r="A449" s="1"/>
      <c r="D449" s="6"/>
      <c r="E449" s="6"/>
      <c r="I449" s="6"/>
      <c r="M449" s="24"/>
      <c r="N449" s="24"/>
      <c r="O449" s="25"/>
      <c r="P449" s="25"/>
    </row>
    <row r="450">
      <c r="A450" s="1"/>
      <c r="D450" s="6"/>
      <c r="E450" s="6"/>
      <c r="I450" s="6"/>
    </row>
    <row r="451">
      <c r="A451" s="1"/>
      <c r="D451" s="6"/>
      <c r="E451" s="6"/>
      <c r="I451" s="6"/>
    </row>
    <row r="452">
      <c r="A452" s="1"/>
      <c r="D452" s="6"/>
      <c r="E452" s="6"/>
      <c r="I452" s="6"/>
    </row>
    <row r="453">
      <c r="A453" s="1"/>
      <c r="D453" s="6"/>
      <c r="E453" s="6"/>
      <c r="I453" s="6"/>
    </row>
    <row r="454">
      <c r="A454" s="1"/>
      <c r="D454" s="6"/>
      <c r="E454" s="6"/>
      <c r="I454" s="6"/>
    </row>
    <row r="455">
      <c r="A455" s="1"/>
      <c r="D455" s="6"/>
      <c r="E455" s="6"/>
      <c r="I455" s="6"/>
    </row>
    <row r="456">
      <c r="A456" s="1"/>
      <c r="D456" s="6"/>
      <c r="E456" s="6"/>
      <c r="I456" s="6"/>
    </row>
    <row r="457">
      <c r="A457" s="1"/>
      <c r="D457" s="6"/>
      <c r="E457" s="6"/>
      <c r="I457" s="6"/>
    </row>
    <row r="458">
      <c r="A458" s="1"/>
      <c r="D458" s="6"/>
      <c r="E458" s="6"/>
      <c r="I458" s="6"/>
    </row>
    <row r="459">
      <c r="A459" s="1"/>
      <c r="D459" s="6"/>
      <c r="E459" s="6"/>
      <c r="I459" s="6"/>
    </row>
    <row r="460">
      <c r="A460" s="1"/>
      <c r="D460" s="6"/>
      <c r="E460" s="6"/>
      <c r="I460" s="6"/>
    </row>
    <row r="461">
      <c r="A461" s="1"/>
      <c r="D461" s="6"/>
      <c r="E461" s="6"/>
      <c r="I461" s="6"/>
    </row>
    <row r="462">
      <c r="A462" s="1"/>
      <c r="D462" s="6"/>
      <c r="E462" s="6"/>
      <c r="I462" s="6"/>
    </row>
    <row r="463">
      <c r="A463" s="1"/>
      <c r="D463" s="6"/>
      <c r="E463" s="6"/>
      <c r="I463" s="6"/>
    </row>
    <row r="464">
      <c r="A464" s="1"/>
      <c r="D464" s="6"/>
      <c r="E464" s="6"/>
      <c r="I464" s="6"/>
    </row>
    <row r="465">
      <c r="A465" s="1"/>
      <c r="D465" s="6"/>
      <c r="E465" s="6"/>
      <c r="I465" s="6"/>
    </row>
    <row r="466">
      <c r="A466" s="1"/>
      <c r="D466" s="6"/>
      <c r="E466" s="6"/>
      <c r="I466" s="6"/>
    </row>
    <row r="467">
      <c r="A467" s="1"/>
      <c r="D467" s="6"/>
      <c r="E467" s="6"/>
      <c r="I467" s="6"/>
    </row>
    <row r="468">
      <c r="A468" s="1"/>
      <c r="D468" s="6"/>
      <c r="E468" s="6"/>
      <c r="I468" s="6"/>
    </row>
    <row r="469">
      <c r="A469" s="1"/>
      <c r="D469" s="6"/>
      <c r="E469" s="6"/>
      <c r="I469" s="6"/>
    </row>
    <row r="470">
      <c r="A470" s="1"/>
      <c r="D470" s="6"/>
      <c r="E470" s="6"/>
      <c r="I470" s="6"/>
    </row>
    <row r="471">
      <c r="A471" s="1"/>
      <c r="D471" s="6"/>
      <c r="E471" s="6"/>
      <c r="I471" s="6"/>
    </row>
    <row r="472">
      <c r="A472" s="1"/>
      <c r="D472" s="6"/>
      <c r="E472" s="6"/>
      <c r="I472" s="6"/>
    </row>
    <row r="473">
      <c r="A473" s="1"/>
      <c r="D473" s="6"/>
      <c r="E473" s="6"/>
      <c r="I473" s="6"/>
    </row>
    <row r="474">
      <c r="A474" s="1"/>
      <c r="D474" s="6"/>
      <c r="E474" s="6"/>
      <c r="I474" s="6"/>
    </row>
    <row r="475">
      <c r="A475" s="1"/>
      <c r="D475" s="6"/>
      <c r="E475" s="6"/>
      <c r="I475" s="6"/>
    </row>
    <row r="476">
      <c r="A476" s="1"/>
      <c r="D476" s="6"/>
      <c r="E476" s="6"/>
      <c r="I476" s="6"/>
    </row>
    <row r="477">
      <c r="A477" s="1"/>
      <c r="D477" s="6"/>
      <c r="E477" s="6"/>
      <c r="I477" s="6"/>
    </row>
    <row r="478">
      <c r="A478" s="1"/>
      <c r="D478" s="6"/>
      <c r="E478" s="6"/>
      <c r="I478" s="6"/>
    </row>
    <row r="479">
      <c r="A479" s="1"/>
      <c r="D479" s="6"/>
      <c r="E479" s="6"/>
      <c r="I479" s="6"/>
    </row>
    <row r="480">
      <c r="A480" s="1"/>
      <c r="D480" s="6"/>
      <c r="E480" s="6"/>
      <c r="I480" s="6"/>
    </row>
    <row r="481">
      <c r="A481" s="1"/>
      <c r="D481" s="6"/>
      <c r="E481" s="6"/>
      <c r="I481" s="6"/>
    </row>
    <row r="482">
      <c r="A482" s="1"/>
      <c r="D482" s="6"/>
      <c r="E482" s="6"/>
      <c r="I482" s="6"/>
    </row>
    <row r="483">
      <c r="A483" s="1"/>
      <c r="D483" s="6"/>
      <c r="E483" s="6"/>
      <c r="I483" s="6"/>
    </row>
    <row r="484">
      <c r="A484" s="1"/>
      <c r="D484" s="6"/>
      <c r="E484" s="6"/>
      <c r="I484" s="6"/>
    </row>
    <row r="485">
      <c r="A485" s="1"/>
      <c r="D485" s="6"/>
      <c r="E485" s="6"/>
      <c r="I485" s="6"/>
    </row>
    <row r="486">
      <c r="A486" s="1"/>
      <c r="D486" s="6"/>
      <c r="E486" s="6"/>
      <c r="I486" s="6"/>
    </row>
    <row r="487">
      <c r="A487" s="1"/>
      <c r="D487" s="6"/>
      <c r="E487" s="6"/>
      <c r="I487" s="6"/>
    </row>
    <row r="488">
      <c r="A488" s="1"/>
      <c r="D488" s="6"/>
      <c r="E488" s="6"/>
      <c r="I488" s="6"/>
    </row>
    <row r="489">
      <c r="A489" s="1"/>
      <c r="D489" s="6"/>
      <c r="E489" s="6"/>
      <c r="I489" s="6"/>
    </row>
    <row r="490">
      <c r="A490" s="1"/>
      <c r="D490" s="6"/>
      <c r="E490" s="6"/>
      <c r="I490" s="6"/>
    </row>
    <row r="491">
      <c r="A491" s="1"/>
      <c r="D491" s="6"/>
      <c r="E491" s="6"/>
      <c r="I491" s="6"/>
    </row>
    <row r="492">
      <c r="A492" s="1"/>
      <c r="D492" s="6"/>
      <c r="E492" s="6"/>
      <c r="I492" s="6"/>
    </row>
    <row r="493">
      <c r="A493" s="1"/>
      <c r="D493" s="6"/>
      <c r="E493" s="6"/>
      <c r="I493" s="6"/>
    </row>
    <row r="494">
      <c r="A494" s="1"/>
      <c r="D494" s="6"/>
      <c r="E494" s="6"/>
      <c r="I494" s="6"/>
    </row>
    <row r="495">
      <c r="A495" s="1"/>
      <c r="D495" s="6"/>
      <c r="E495" s="6"/>
      <c r="I495" s="6"/>
    </row>
    <row r="496">
      <c r="A496" s="1"/>
      <c r="D496" s="6"/>
      <c r="E496" s="6"/>
      <c r="I496" s="6"/>
    </row>
    <row r="497">
      <c r="A497" s="1"/>
      <c r="D497" s="6"/>
      <c r="E497" s="6"/>
      <c r="I497" s="6"/>
    </row>
    <row r="498">
      <c r="A498" s="1"/>
      <c r="D498" s="6"/>
      <c r="E498" s="6"/>
      <c r="I498" s="6"/>
    </row>
    <row r="499">
      <c r="A499" s="1"/>
      <c r="D499" s="6"/>
      <c r="E499" s="6"/>
      <c r="I499" s="6"/>
    </row>
    <row r="500">
      <c r="A500" s="1"/>
      <c r="D500" s="6"/>
      <c r="E500" s="6"/>
      <c r="I500" s="6"/>
    </row>
    <row r="501">
      <c r="A501" s="1"/>
      <c r="D501" s="6"/>
      <c r="E501" s="6"/>
      <c r="I501" s="6"/>
    </row>
    <row r="502">
      <c r="A502" s="1"/>
      <c r="D502" s="6"/>
      <c r="E502" s="6"/>
      <c r="I502" s="6"/>
    </row>
    <row r="503">
      <c r="A503" s="1"/>
      <c r="D503" s="6"/>
      <c r="E503" s="6"/>
      <c r="I503" s="6"/>
    </row>
    <row r="504">
      <c r="A504" s="1"/>
      <c r="D504" s="6"/>
      <c r="E504" s="6"/>
      <c r="I504" s="6"/>
    </row>
    <row r="505">
      <c r="A505" s="1"/>
      <c r="D505" s="6"/>
      <c r="E505" s="6"/>
      <c r="I505" s="6"/>
    </row>
    <row r="506">
      <c r="A506" s="1"/>
      <c r="D506" s="6"/>
      <c r="E506" s="6"/>
      <c r="I506" s="6"/>
    </row>
    <row r="507">
      <c r="A507" s="1"/>
      <c r="D507" s="6"/>
      <c r="E507" s="6"/>
      <c r="I507" s="6"/>
    </row>
    <row r="508">
      <c r="A508" s="1"/>
      <c r="D508" s="6"/>
      <c r="E508" s="6"/>
      <c r="I508" s="6"/>
    </row>
    <row r="509">
      <c r="A509" s="1"/>
      <c r="D509" s="6"/>
      <c r="E509" s="6"/>
      <c r="I509" s="6"/>
    </row>
    <row r="510">
      <c r="A510" s="1"/>
      <c r="D510" s="6"/>
      <c r="E510" s="6"/>
      <c r="I510" s="6"/>
    </row>
    <row r="511">
      <c r="A511" s="1"/>
      <c r="D511" s="6"/>
      <c r="E511" s="6"/>
      <c r="I511" s="6"/>
    </row>
    <row r="512">
      <c r="A512" s="1"/>
      <c r="D512" s="6"/>
      <c r="E512" s="6"/>
      <c r="I512" s="6"/>
    </row>
    <row r="513">
      <c r="A513" s="1"/>
      <c r="D513" s="6"/>
      <c r="E513" s="6"/>
      <c r="I513" s="6"/>
    </row>
    <row r="514">
      <c r="A514" s="1"/>
      <c r="D514" s="6"/>
      <c r="E514" s="6"/>
      <c r="I514" s="6"/>
    </row>
    <row r="515">
      <c r="A515" s="1"/>
      <c r="D515" s="6"/>
      <c r="E515" s="6"/>
      <c r="I515" s="6"/>
    </row>
    <row r="516">
      <c r="A516" s="1"/>
      <c r="D516" s="6"/>
      <c r="E516" s="6"/>
      <c r="I516" s="6"/>
    </row>
    <row r="517">
      <c r="A517" s="1"/>
      <c r="D517" s="6"/>
      <c r="E517" s="6"/>
      <c r="I517" s="6"/>
    </row>
    <row r="518">
      <c r="A518" s="1"/>
      <c r="D518" s="6"/>
      <c r="E518" s="6"/>
      <c r="I518" s="6"/>
    </row>
    <row r="519">
      <c r="A519" s="1"/>
      <c r="D519" s="6"/>
      <c r="E519" s="6"/>
      <c r="I519" s="6"/>
    </row>
    <row r="520">
      <c r="A520" s="1"/>
      <c r="D520" s="6"/>
      <c r="E520" s="6"/>
      <c r="I520" s="6"/>
    </row>
    <row r="521">
      <c r="A521" s="1"/>
      <c r="D521" s="6"/>
      <c r="E521" s="6"/>
      <c r="I521" s="6"/>
    </row>
    <row r="522">
      <c r="A522" s="1"/>
      <c r="D522" s="6"/>
      <c r="E522" s="6"/>
      <c r="I522" s="6"/>
    </row>
    <row r="523">
      <c r="A523" s="1"/>
      <c r="D523" s="6"/>
      <c r="E523" s="6"/>
      <c r="I523" s="6"/>
    </row>
    <row r="524">
      <c r="A524" s="1"/>
      <c r="D524" s="6"/>
      <c r="E524" s="6"/>
      <c r="I524" s="6"/>
      <c r="M524" s="24"/>
      <c r="N524" s="24"/>
      <c r="O524" s="25"/>
      <c r="P524" s="25"/>
    </row>
    <row r="525">
      <c r="A525" s="1"/>
      <c r="D525" s="6"/>
      <c r="E525" s="6"/>
      <c r="I525" s="6"/>
    </row>
    <row r="526">
      <c r="A526" s="1"/>
      <c r="D526" s="6"/>
      <c r="E526" s="6"/>
      <c r="I526" s="6"/>
    </row>
    <row r="527">
      <c r="A527" s="1"/>
      <c r="D527" s="6"/>
      <c r="E527" s="6"/>
      <c r="I527" s="6"/>
    </row>
    <row r="528">
      <c r="A528" s="1"/>
      <c r="D528" s="6"/>
      <c r="E528" s="6"/>
      <c r="I528" s="6"/>
    </row>
    <row r="529">
      <c r="A529" s="1"/>
      <c r="D529" s="6"/>
      <c r="E529" s="6"/>
      <c r="I529" s="6"/>
      <c r="J529" s="36"/>
      <c r="K529" s="36"/>
      <c r="L529" s="37"/>
      <c r="M529" s="38"/>
      <c r="N529" s="38"/>
      <c r="O529" s="39"/>
      <c r="P529" s="39"/>
    </row>
    <row r="530">
      <c r="A530" s="1"/>
      <c r="D530" s="6"/>
      <c r="E530" s="6"/>
      <c r="I530" s="6"/>
    </row>
    <row r="531">
      <c r="A531" s="1"/>
      <c r="D531" s="6"/>
      <c r="E531" s="6"/>
      <c r="I531" s="6"/>
    </row>
    <row r="532">
      <c r="A532" s="1"/>
      <c r="D532" s="6"/>
      <c r="E532" s="6"/>
      <c r="I532" s="6"/>
    </row>
    <row r="533">
      <c r="A533" s="1"/>
      <c r="D533" s="6"/>
      <c r="E533" s="6"/>
      <c r="I533" s="6"/>
    </row>
    <row r="534">
      <c r="A534" s="1"/>
      <c r="D534" s="6"/>
      <c r="E534" s="6"/>
      <c r="I534" s="6"/>
    </row>
    <row r="535">
      <c r="A535" s="1"/>
      <c r="D535" s="6"/>
      <c r="E535" s="6"/>
      <c r="I535" s="6"/>
    </row>
    <row r="536">
      <c r="A536" s="1"/>
      <c r="D536" s="6"/>
      <c r="E536" s="6"/>
      <c r="I536" s="6"/>
    </row>
    <row r="537">
      <c r="A537" s="1"/>
      <c r="D537" s="6"/>
      <c r="E537" s="6"/>
      <c r="I537" s="6"/>
    </row>
    <row r="538">
      <c r="A538" s="1"/>
      <c r="D538" s="6"/>
      <c r="E538" s="6"/>
      <c r="I538" s="6"/>
    </row>
    <row r="539">
      <c r="A539" s="1"/>
      <c r="D539" s="6"/>
      <c r="E539" s="6"/>
      <c r="I539" s="6"/>
    </row>
    <row r="540">
      <c r="A540" s="1"/>
      <c r="D540" s="6"/>
      <c r="E540" s="6"/>
      <c r="I540" s="6"/>
    </row>
    <row r="541">
      <c r="A541" s="1"/>
      <c r="D541" s="6"/>
      <c r="E541" s="6"/>
      <c r="I541" s="6"/>
    </row>
    <row r="542">
      <c r="A542" s="1"/>
      <c r="D542" s="6"/>
      <c r="E542" s="6"/>
      <c r="I542" s="6"/>
    </row>
    <row r="543">
      <c r="A543" s="1"/>
      <c r="D543" s="6"/>
      <c r="E543" s="6"/>
      <c r="I543" s="6"/>
    </row>
    <row r="544">
      <c r="A544" s="1"/>
      <c r="D544" s="6"/>
      <c r="E544" s="6"/>
      <c r="I544" s="6"/>
    </row>
    <row r="545">
      <c r="A545" s="1"/>
      <c r="D545" s="6"/>
      <c r="E545" s="6"/>
      <c r="I545" s="6"/>
    </row>
    <row r="546">
      <c r="A546" s="1"/>
      <c r="D546" s="6"/>
      <c r="E546" s="6"/>
      <c r="I546" s="6"/>
    </row>
    <row r="547">
      <c r="A547" s="1"/>
      <c r="D547" s="6"/>
      <c r="E547" s="6"/>
      <c r="I547" s="6"/>
    </row>
    <row r="548">
      <c r="A548" s="1"/>
      <c r="D548" s="6"/>
      <c r="E548" s="6"/>
      <c r="I548" s="6"/>
    </row>
    <row r="549">
      <c r="A549" s="1"/>
      <c r="D549" s="6"/>
      <c r="E549" s="6"/>
      <c r="I549" s="6"/>
    </row>
    <row r="550">
      <c r="A550" s="1"/>
      <c r="D550" s="6"/>
      <c r="E550" s="6"/>
      <c r="I550" s="6"/>
    </row>
    <row r="551">
      <c r="A551" s="1"/>
      <c r="D551" s="6"/>
      <c r="E551" s="6"/>
      <c r="I551" s="6"/>
    </row>
    <row r="552">
      <c r="A552" s="1"/>
      <c r="D552" s="6"/>
      <c r="E552" s="6"/>
      <c r="I552" s="6"/>
    </row>
    <row r="553">
      <c r="A553" s="1"/>
      <c r="D553" s="6"/>
      <c r="E553" s="6"/>
      <c r="I553" s="6"/>
    </row>
    <row r="554">
      <c r="A554" s="1"/>
      <c r="D554" s="6"/>
      <c r="E554" s="6"/>
      <c r="I554" s="6"/>
    </row>
    <row r="555">
      <c r="A555" s="1"/>
      <c r="D555" s="6"/>
      <c r="E555" s="6"/>
      <c r="I555" s="6"/>
    </row>
    <row r="556">
      <c r="A556" s="1"/>
      <c r="D556" s="6"/>
      <c r="E556" s="6"/>
      <c r="I556" s="6"/>
    </row>
    <row r="557">
      <c r="A557" s="1"/>
      <c r="D557" s="6"/>
      <c r="E557" s="6"/>
      <c r="I557" s="6"/>
    </row>
    <row r="558">
      <c r="A558" s="1"/>
      <c r="D558" s="6"/>
      <c r="E558" s="6"/>
      <c r="I558" s="6"/>
    </row>
    <row r="559">
      <c r="A559" s="1"/>
      <c r="D559" s="6"/>
      <c r="E559" s="6"/>
      <c r="I559" s="6"/>
    </row>
    <row r="560">
      <c r="A560" s="1"/>
      <c r="D560" s="6"/>
      <c r="E560" s="6"/>
      <c r="I560" s="6"/>
    </row>
    <row r="561">
      <c r="A561" s="1"/>
      <c r="D561" s="6"/>
      <c r="E561" s="6"/>
      <c r="I561" s="6"/>
    </row>
    <row r="562">
      <c r="A562" s="1"/>
      <c r="D562" s="6"/>
      <c r="E562" s="6"/>
      <c r="I562" s="6"/>
    </row>
    <row r="563">
      <c r="A563" s="1"/>
      <c r="D563" s="6"/>
      <c r="E563" s="6"/>
      <c r="I563" s="6"/>
    </row>
    <row r="564">
      <c r="A564" s="1"/>
      <c r="D564" s="6"/>
      <c r="E564" s="6"/>
      <c r="I564" s="6"/>
    </row>
    <row r="565">
      <c r="A565" s="1"/>
      <c r="D565" s="6"/>
      <c r="E565" s="6"/>
      <c r="I565" s="6"/>
    </row>
    <row r="566">
      <c r="A566" s="1"/>
      <c r="D566" s="6"/>
      <c r="E566" s="6"/>
      <c r="I566" s="6"/>
    </row>
    <row r="567">
      <c r="A567" s="1"/>
      <c r="D567" s="6"/>
      <c r="E567" s="6"/>
      <c r="I567" s="6"/>
    </row>
    <row r="568">
      <c r="A568" s="1"/>
      <c r="D568" s="6"/>
      <c r="E568" s="6"/>
      <c r="I568" s="6"/>
    </row>
    <row r="569">
      <c r="A569" s="1"/>
      <c r="D569" s="6"/>
      <c r="E569" s="6"/>
      <c r="I569" s="6"/>
    </row>
    <row r="570">
      <c r="A570" s="1"/>
      <c r="D570" s="6"/>
      <c r="E570" s="6"/>
      <c r="I570" s="6"/>
    </row>
    <row r="571">
      <c r="A571" s="1"/>
      <c r="D571" s="6"/>
      <c r="E571" s="6"/>
      <c r="I571" s="6"/>
    </row>
    <row r="572">
      <c r="A572" s="1"/>
      <c r="D572" s="6"/>
      <c r="E572" s="6"/>
      <c r="I572" s="6"/>
    </row>
    <row r="573">
      <c r="A573" s="1"/>
      <c r="D573" s="6"/>
      <c r="E573" s="6"/>
      <c r="I573" s="6"/>
    </row>
    <row r="574">
      <c r="A574" s="1"/>
      <c r="D574" s="6"/>
      <c r="E574" s="6"/>
      <c r="I574" s="6"/>
    </row>
    <row r="575">
      <c r="A575" s="1"/>
      <c r="D575" s="6"/>
      <c r="E575" s="6"/>
      <c r="I575" s="6"/>
    </row>
    <row r="576">
      <c r="A576" s="1"/>
      <c r="D576" s="6"/>
      <c r="E576" s="6"/>
      <c r="I576" s="6"/>
    </row>
    <row r="577">
      <c r="A577" s="1"/>
      <c r="D577" s="6"/>
      <c r="E577" s="6"/>
      <c r="I577" s="6"/>
    </row>
    <row r="578">
      <c r="A578" s="1"/>
      <c r="D578" s="6"/>
      <c r="E578" s="6"/>
      <c r="I578" s="6"/>
    </row>
    <row r="579">
      <c r="A579" s="1"/>
      <c r="D579" s="6"/>
      <c r="E579" s="6"/>
      <c r="I579" s="6"/>
    </row>
    <row r="580">
      <c r="A580" s="1"/>
      <c r="D580" s="6"/>
      <c r="E580" s="6"/>
      <c r="I580" s="6"/>
    </row>
    <row r="581">
      <c r="A581" s="1"/>
      <c r="D581" s="6"/>
      <c r="E581" s="6"/>
      <c r="I581" s="6"/>
    </row>
    <row r="582">
      <c r="A582" s="1"/>
      <c r="D582" s="6"/>
      <c r="E582" s="6"/>
      <c r="I582" s="6"/>
    </row>
    <row r="583">
      <c r="A583" s="1"/>
      <c r="D583" s="6"/>
      <c r="E583" s="6"/>
      <c r="I583" s="6"/>
    </row>
    <row r="584">
      <c r="A584" s="1"/>
      <c r="D584" s="6"/>
      <c r="E584" s="6"/>
      <c r="I584" s="6"/>
    </row>
    <row r="585">
      <c r="A585" s="1"/>
      <c r="D585" s="6"/>
      <c r="E585" s="6"/>
      <c r="I585" s="6"/>
    </row>
    <row r="586">
      <c r="A586" s="1"/>
      <c r="D586" s="6"/>
      <c r="E586" s="6"/>
      <c r="I586" s="6"/>
    </row>
    <row r="587">
      <c r="A587" s="1"/>
      <c r="D587" s="6"/>
      <c r="E587" s="6"/>
      <c r="I587" s="6"/>
    </row>
    <row r="588">
      <c r="A588" s="1"/>
      <c r="D588" s="6"/>
      <c r="E588" s="6"/>
      <c r="I588" s="6"/>
    </row>
    <row r="589">
      <c r="A589" s="1"/>
      <c r="D589" s="6"/>
      <c r="E589" s="6"/>
      <c r="I589" s="6"/>
    </row>
    <row r="590">
      <c r="A590" s="1"/>
      <c r="D590" s="6"/>
      <c r="E590" s="6"/>
      <c r="I590" s="6"/>
    </row>
    <row r="591">
      <c r="A591" s="1"/>
      <c r="D591" s="6"/>
      <c r="E591" s="6"/>
      <c r="I591" s="6"/>
    </row>
    <row r="592">
      <c r="A592" s="1"/>
      <c r="D592" s="6"/>
      <c r="E592" s="6"/>
      <c r="I592" s="6"/>
    </row>
    <row r="593">
      <c r="A593" s="1"/>
      <c r="D593" s="6"/>
      <c r="E593" s="6"/>
      <c r="I593" s="6"/>
    </row>
    <row r="594">
      <c r="A594" s="1"/>
      <c r="D594" s="6"/>
      <c r="E594" s="6"/>
      <c r="I594" s="6"/>
    </row>
    <row r="595">
      <c r="A595" s="1"/>
      <c r="D595" s="6"/>
      <c r="E595" s="6"/>
      <c r="I595" s="6"/>
    </row>
    <row r="596">
      <c r="A596" s="1"/>
      <c r="D596" s="6"/>
      <c r="E596" s="6"/>
      <c r="I596" s="6"/>
    </row>
    <row r="597">
      <c r="A597" s="1"/>
      <c r="D597" s="6"/>
      <c r="E597" s="6"/>
      <c r="I597" s="6"/>
    </row>
    <row r="598">
      <c r="A598" s="1"/>
      <c r="D598" s="6"/>
      <c r="E598" s="6"/>
      <c r="I598" s="6"/>
    </row>
    <row r="599">
      <c r="A599" s="1"/>
      <c r="D599" s="6"/>
      <c r="E599" s="6"/>
      <c r="I599" s="6"/>
    </row>
    <row r="600">
      <c r="A600" s="1"/>
      <c r="D600" s="6"/>
      <c r="E600" s="6"/>
      <c r="I600" s="6"/>
    </row>
    <row r="601">
      <c r="A601" s="1"/>
      <c r="D601" s="6"/>
      <c r="E601" s="6"/>
      <c r="I601" s="6"/>
    </row>
    <row r="602">
      <c r="A602" s="1"/>
      <c r="D602" s="6"/>
      <c r="E602" s="6"/>
      <c r="I602" s="6"/>
      <c r="M602" s="24"/>
      <c r="N602" s="24"/>
      <c r="O602" s="25"/>
      <c r="P602" s="25"/>
    </row>
    <row r="603">
      <c r="A603" s="1"/>
      <c r="D603" s="6"/>
      <c r="E603" s="6"/>
      <c r="I603" s="6"/>
    </row>
    <row r="604">
      <c r="A604" s="1"/>
      <c r="D604" s="6"/>
      <c r="E604" s="6"/>
      <c r="I604" s="6"/>
    </row>
    <row r="605">
      <c r="A605" s="1"/>
      <c r="D605" s="6"/>
      <c r="E605" s="6"/>
      <c r="I605" s="6"/>
    </row>
    <row r="606">
      <c r="A606" s="1"/>
      <c r="D606" s="6"/>
      <c r="E606" s="6"/>
      <c r="I606" s="6"/>
    </row>
    <row r="607">
      <c r="A607" s="1"/>
      <c r="D607" s="6"/>
      <c r="E607" s="6"/>
      <c r="I607" s="6"/>
    </row>
    <row r="608">
      <c r="A608" s="1"/>
      <c r="D608" s="6"/>
      <c r="E608" s="6"/>
      <c r="I608" s="6"/>
    </row>
    <row r="609">
      <c r="A609" s="1"/>
      <c r="D609" s="6"/>
      <c r="E609" s="6"/>
      <c r="I609" s="6"/>
    </row>
    <row r="610">
      <c r="A610" s="1"/>
      <c r="D610" s="6"/>
      <c r="E610" s="6"/>
      <c r="I610" s="6"/>
    </row>
    <row r="611">
      <c r="A611" s="1"/>
      <c r="D611" s="6"/>
      <c r="E611" s="6"/>
      <c r="I611" s="6"/>
    </row>
    <row r="612">
      <c r="A612" s="1"/>
      <c r="D612" s="6"/>
      <c r="E612" s="6"/>
      <c r="I612" s="6"/>
    </row>
    <row r="613">
      <c r="A613" s="1"/>
      <c r="D613" s="6"/>
      <c r="E613" s="6"/>
      <c r="I613" s="6"/>
    </row>
    <row r="614">
      <c r="A614" s="1"/>
      <c r="D614" s="6"/>
      <c r="E614" s="6"/>
      <c r="I614" s="6"/>
    </row>
    <row r="615">
      <c r="A615" s="1"/>
      <c r="D615" s="6"/>
      <c r="E615" s="6"/>
      <c r="I615" s="6"/>
    </row>
    <row r="616">
      <c r="A616" s="1"/>
      <c r="D616" s="6"/>
      <c r="E616" s="6"/>
      <c r="I616" s="6"/>
    </row>
    <row r="617">
      <c r="A617" s="1"/>
      <c r="D617" s="6"/>
      <c r="E617" s="6"/>
      <c r="I617" s="6"/>
    </row>
    <row r="618">
      <c r="A618" s="1"/>
      <c r="D618" s="6"/>
      <c r="E618" s="6"/>
      <c r="I618" s="6"/>
    </row>
    <row r="619">
      <c r="A619" s="1"/>
      <c r="D619" s="6"/>
      <c r="E619" s="6"/>
      <c r="I619" s="6"/>
    </row>
    <row r="620">
      <c r="A620" s="1"/>
      <c r="D620" s="6"/>
      <c r="E620" s="6"/>
      <c r="I620" s="6"/>
    </row>
    <row r="621">
      <c r="A621" s="1"/>
      <c r="D621" s="6"/>
      <c r="E621" s="6"/>
      <c r="I621" s="6"/>
    </row>
    <row r="622">
      <c r="A622" s="1"/>
      <c r="D622" s="6"/>
      <c r="E622" s="6"/>
      <c r="I622" s="6"/>
    </row>
    <row r="623">
      <c r="A623" s="1"/>
      <c r="D623" s="6"/>
      <c r="E623" s="6"/>
      <c r="I623" s="6"/>
    </row>
    <row r="624">
      <c r="A624" s="1"/>
      <c r="D624" s="6"/>
      <c r="E624" s="6"/>
      <c r="I624" s="6"/>
    </row>
    <row r="625">
      <c r="A625" s="1"/>
      <c r="D625" s="6"/>
      <c r="E625" s="6"/>
      <c r="I625" s="6"/>
    </row>
    <row r="626">
      <c r="A626" s="1"/>
      <c r="D626" s="6"/>
      <c r="E626" s="6"/>
      <c r="I626" s="6"/>
    </row>
    <row r="627">
      <c r="A627" s="1"/>
      <c r="D627" s="6"/>
      <c r="E627" s="6"/>
      <c r="I627" s="6"/>
    </row>
    <row r="628">
      <c r="A628" s="1"/>
      <c r="D628" s="6"/>
      <c r="E628" s="6"/>
      <c r="I628" s="6"/>
    </row>
    <row r="629">
      <c r="A629" s="1"/>
      <c r="D629" s="6"/>
      <c r="E629" s="6"/>
      <c r="I629" s="6"/>
    </row>
    <row r="630">
      <c r="A630" s="1"/>
      <c r="D630" s="6"/>
      <c r="E630" s="6"/>
      <c r="I630" s="6"/>
    </row>
    <row r="631">
      <c r="A631" s="1"/>
      <c r="D631" s="6"/>
      <c r="E631" s="6"/>
      <c r="I631" s="6"/>
    </row>
    <row r="632">
      <c r="A632" s="1"/>
      <c r="D632" s="6"/>
      <c r="E632" s="6"/>
      <c r="I632" s="6"/>
    </row>
    <row r="633">
      <c r="A633" s="1"/>
      <c r="D633" s="6"/>
      <c r="E633" s="6"/>
      <c r="I633" s="6"/>
    </row>
    <row r="634">
      <c r="A634" s="1"/>
      <c r="D634" s="6"/>
      <c r="E634" s="6"/>
      <c r="I634" s="6"/>
    </row>
    <row r="635">
      <c r="A635" s="1"/>
      <c r="D635" s="6"/>
      <c r="E635" s="6"/>
      <c r="I635" s="6"/>
    </row>
    <row r="636">
      <c r="A636" s="1"/>
      <c r="D636" s="6"/>
      <c r="E636" s="6"/>
      <c r="I636" s="6"/>
    </row>
    <row r="637">
      <c r="A637" s="1"/>
      <c r="D637" s="6"/>
      <c r="E637" s="6"/>
      <c r="I637" s="6"/>
    </row>
    <row r="638">
      <c r="A638" s="1"/>
      <c r="D638" s="6"/>
      <c r="E638" s="6"/>
      <c r="I638" s="6"/>
    </row>
    <row r="639">
      <c r="A639" s="1"/>
      <c r="D639" s="6"/>
      <c r="E639" s="6"/>
      <c r="I639" s="6"/>
    </row>
    <row r="640">
      <c r="A640" s="1"/>
      <c r="D640" s="6"/>
      <c r="E640" s="6"/>
      <c r="I640" s="6"/>
    </row>
    <row r="641">
      <c r="A641" s="1"/>
      <c r="D641" s="6"/>
      <c r="E641" s="6"/>
      <c r="I641" s="6"/>
    </row>
    <row r="642">
      <c r="A642" s="1"/>
      <c r="D642" s="6"/>
      <c r="E642" s="6"/>
      <c r="I642" s="6"/>
    </row>
    <row r="643">
      <c r="A643" s="1"/>
      <c r="D643" s="6"/>
      <c r="E643" s="6"/>
      <c r="I643" s="6"/>
    </row>
    <row r="644">
      <c r="A644" s="1"/>
      <c r="D644" s="6"/>
      <c r="E644" s="6"/>
      <c r="I644" s="6"/>
    </row>
    <row r="645">
      <c r="A645" s="1"/>
      <c r="D645" s="6"/>
      <c r="E645" s="6"/>
      <c r="I645" s="6"/>
    </row>
    <row r="646">
      <c r="A646" s="1"/>
      <c r="D646" s="6"/>
      <c r="E646" s="6"/>
      <c r="I646" s="6"/>
    </row>
    <row r="647">
      <c r="A647" s="1"/>
      <c r="D647" s="6"/>
      <c r="E647" s="6"/>
      <c r="I647" s="6"/>
    </row>
    <row r="648">
      <c r="A648" s="1"/>
      <c r="D648" s="6"/>
      <c r="E648" s="6"/>
      <c r="I648" s="6"/>
    </row>
    <row r="649">
      <c r="A649" s="1"/>
      <c r="D649" s="6"/>
      <c r="E649" s="6"/>
      <c r="I649" s="6"/>
    </row>
    <row r="650">
      <c r="A650" s="1"/>
      <c r="D650" s="6"/>
      <c r="E650" s="6"/>
      <c r="I650" s="6"/>
    </row>
    <row r="651">
      <c r="A651" s="1"/>
      <c r="D651" s="6"/>
      <c r="E651" s="6"/>
      <c r="I651" s="6"/>
    </row>
    <row r="652">
      <c r="A652" s="1"/>
      <c r="D652" s="6"/>
      <c r="E652" s="6"/>
      <c r="I652" s="6"/>
    </row>
    <row r="653">
      <c r="A653" s="1"/>
      <c r="D653" s="6"/>
      <c r="E653" s="6"/>
      <c r="I653" s="6"/>
    </row>
    <row r="654">
      <c r="A654" s="1"/>
      <c r="D654" s="6"/>
      <c r="E654" s="6"/>
      <c r="I654" s="6"/>
    </row>
    <row r="655">
      <c r="A655" s="1"/>
      <c r="D655" s="6"/>
      <c r="E655" s="6"/>
      <c r="I655" s="6"/>
    </row>
    <row r="656">
      <c r="A656" s="1"/>
      <c r="D656" s="6"/>
      <c r="E656" s="6"/>
      <c r="I656" s="6"/>
    </row>
    <row r="657">
      <c r="A657" s="1"/>
      <c r="D657" s="6"/>
      <c r="E657" s="6"/>
      <c r="I657" s="6"/>
    </row>
    <row r="658">
      <c r="A658" s="1"/>
      <c r="D658" s="6"/>
      <c r="E658" s="6"/>
      <c r="I658" s="6"/>
    </row>
    <row r="659">
      <c r="A659" s="1"/>
      <c r="D659" s="6"/>
      <c r="E659" s="6"/>
      <c r="I659" s="6"/>
    </row>
    <row r="660">
      <c r="A660" s="1"/>
      <c r="D660" s="6"/>
      <c r="E660" s="6"/>
      <c r="I660" s="6"/>
    </row>
    <row r="661">
      <c r="A661" s="1"/>
      <c r="D661" s="6"/>
      <c r="E661" s="6"/>
      <c r="I661" s="6"/>
    </row>
    <row r="662">
      <c r="A662" s="1"/>
      <c r="D662" s="6"/>
      <c r="E662" s="6"/>
      <c r="I662" s="6"/>
    </row>
    <row r="663">
      <c r="A663" s="1"/>
      <c r="D663" s="6"/>
      <c r="E663" s="6"/>
      <c r="I663" s="6"/>
    </row>
    <row r="664">
      <c r="A664" s="1"/>
      <c r="D664" s="6"/>
      <c r="E664" s="6"/>
      <c r="I664" s="6"/>
    </row>
    <row r="665">
      <c r="A665" s="1"/>
      <c r="D665" s="6"/>
      <c r="E665" s="6"/>
      <c r="I665" s="6"/>
    </row>
    <row r="666">
      <c r="A666" s="1"/>
      <c r="D666" s="6"/>
      <c r="E666" s="6"/>
      <c r="I666" s="6"/>
    </row>
    <row r="667">
      <c r="A667" s="1"/>
      <c r="D667" s="6"/>
      <c r="E667" s="6"/>
      <c r="I667" s="6"/>
    </row>
    <row r="668">
      <c r="A668" s="1"/>
      <c r="D668" s="6"/>
      <c r="E668" s="6"/>
      <c r="I668" s="6"/>
    </row>
    <row r="669">
      <c r="A669" s="1"/>
      <c r="D669" s="6"/>
      <c r="E669" s="6"/>
      <c r="I669" s="6"/>
    </row>
    <row r="670">
      <c r="A670" s="1"/>
      <c r="D670" s="6"/>
      <c r="E670" s="6"/>
      <c r="I670" s="6"/>
    </row>
    <row r="671">
      <c r="A671" s="1"/>
      <c r="D671" s="6"/>
      <c r="E671" s="6"/>
      <c r="I671" s="6"/>
    </row>
    <row r="672">
      <c r="A672" s="1"/>
      <c r="D672" s="6"/>
      <c r="E672" s="6"/>
      <c r="I672" s="6"/>
    </row>
    <row r="673">
      <c r="A673" s="1"/>
      <c r="D673" s="6"/>
      <c r="E673" s="6"/>
      <c r="I673" s="6"/>
    </row>
    <row r="674">
      <c r="A674" s="1"/>
      <c r="D674" s="6"/>
      <c r="E674" s="6"/>
      <c r="I674" s="6"/>
    </row>
    <row r="675">
      <c r="A675" s="1"/>
      <c r="D675" s="6"/>
      <c r="E675" s="6"/>
      <c r="I675" s="6"/>
    </row>
    <row r="676">
      <c r="A676" s="1"/>
      <c r="D676" s="6"/>
      <c r="E676" s="6"/>
      <c r="I676" s="6"/>
    </row>
    <row r="677">
      <c r="A677" s="1"/>
      <c r="D677" s="6"/>
      <c r="E677" s="6"/>
      <c r="I677" s="6"/>
    </row>
    <row r="678">
      <c r="A678" s="1"/>
      <c r="D678" s="6"/>
      <c r="E678" s="6"/>
      <c r="I678" s="6"/>
    </row>
    <row r="679">
      <c r="A679" s="1"/>
      <c r="D679" s="6"/>
      <c r="E679" s="6"/>
      <c r="I679" s="6"/>
    </row>
    <row r="680">
      <c r="A680" s="1"/>
      <c r="D680" s="6"/>
      <c r="E680" s="6"/>
      <c r="I680" s="6"/>
    </row>
    <row r="681">
      <c r="A681" s="1"/>
      <c r="D681" s="6"/>
      <c r="E681" s="6"/>
      <c r="I681" s="6"/>
    </row>
    <row r="682">
      <c r="A682" s="1"/>
      <c r="D682" s="6"/>
      <c r="E682" s="6"/>
      <c r="I682" s="6"/>
    </row>
    <row r="683">
      <c r="A683" s="1"/>
      <c r="D683" s="6"/>
      <c r="E683" s="6"/>
      <c r="I683" s="6"/>
    </row>
    <row r="684">
      <c r="A684" s="1"/>
      <c r="D684" s="6"/>
      <c r="E684" s="6"/>
      <c r="I684" s="6"/>
    </row>
    <row r="685">
      <c r="A685" s="1"/>
      <c r="D685" s="6"/>
      <c r="E685" s="6"/>
      <c r="I685" s="6"/>
      <c r="M685" s="24"/>
      <c r="N685" s="24"/>
      <c r="O685" s="25"/>
      <c r="P685" s="25"/>
    </row>
    <row r="686">
      <c r="A686" s="1"/>
      <c r="D686" s="6"/>
      <c r="E686" s="6"/>
      <c r="I686" s="6"/>
    </row>
    <row r="687">
      <c r="A687" s="1"/>
      <c r="D687" s="6"/>
      <c r="E687" s="6"/>
      <c r="I687" s="6"/>
    </row>
    <row r="688">
      <c r="A688" s="1"/>
      <c r="D688" s="6"/>
      <c r="E688" s="6"/>
      <c r="I688" s="6"/>
    </row>
    <row r="689">
      <c r="A689" s="1"/>
      <c r="D689" s="6"/>
      <c r="E689" s="6"/>
      <c r="I689" s="6"/>
    </row>
    <row r="690">
      <c r="A690" s="1"/>
      <c r="D690" s="6"/>
      <c r="E690" s="6"/>
      <c r="I690" s="6"/>
    </row>
    <row r="691">
      <c r="A691" s="1"/>
      <c r="D691" s="6"/>
      <c r="E691" s="6"/>
      <c r="I691" s="6"/>
    </row>
    <row r="692">
      <c r="A692" s="1"/>
      <c r="D692" s="6"/>
      <c r="E692" s="6"/>
      <c r="I692" s="6"/>
    </row>
    <row r="693">
      <c r="A693" s="1"/>
      <c r="D693" s="6"/>
      <c r="E693" s="6"/>
      <c r="I693" s="6"/>
    </row>
    <row r="694">
      <c r="A694" s="1"/>
      <c r="D694" s="6"/>
      <c r="E694" s="6"/>
      <c r="I694" s="6"/>
    </row>
    <row r="695">
      <c r="A695" s="1"/>
      <c r="D695" s="6"/>
      <c r="E695" s="6"/>
      <c r="I695" s="6"/>
    </row>
    <row r="696">
      <c r="A696" s="1"/>
      <c r="D696" s="6"/>
      <c r="E696" s="6"/>
      <c r="I696" s="6"/>
    </row>
    <row r="697">
      <c r="A697" s="1"/>
      <c r="D697" s="6"/>
      <c r="E697" s="6"/>
      <c r="I697" s="6"/>
    </row>
    <row r="698">
      <c r="A698" s="1"/>
      <c r="D698" s="6"/>
      <c r="E698" s="6"/>
      <c r="I698" s="6"/>
    </row>
    <row r="699">
      <c r="A699" s="1"/>
      <c r="D699" s="6"/>
      <c r="E699" s="6"/>
      <c r="I699" s="6"/>
    </row>
    <row r="700">
      <c r="A700" s="1"/>
      <c r="D700" s="6"/>
      <c r="E700" s="6"/>
      <c r="I700" s="6"/>
    </row>
    <row r="701">
      <c r="A701" s="1"/>
      <c r="D701" s="6"/>
      <c r="E701" s="6"/>
      <c r="I701" s="6"/>
    </row>
    <row r="702">
      <c r="A702" s="1"/>
      <c r="D702" s="6"/>
      <c r="E702" s="6"/>
      <c r="I702" s="6"/>
    </row>
    <row r="703">
      <c r="A703" s="1"/>
      <c r="D703" s="6"/>
      <c r="E703" s="6"/>
      <c r="I703" s="6"/>
    </row>
    <row r="704">
      <c r="A704" s="1"/>
      <c r="D704" s="6"/>
      <c r="E704" s="6"/>
      <c r="I704" s="6"/>
    </row>
    <row r="705">
      <c r="A705" s="1"/>
      <c r="D705" s="6"/>
      <c r="E705" s="6"/>
      <c r="I705" s="6"/>
    </row>
    <row r="706">
      <c r="A706" s="1"/>
      <c r="D706" s="6"/>
      <c r="E706" s="6"/>
      <c r="I706" s="6"/>
    </row>
    <row r="707">
      <c r="A707" s="1"/>
      <c r="D707" s="6"/>
      <c r="E707" s="6"/>
      <c r="I707" s="6"/>
    </row>
    <row r="708">
      <c r="A708" s="1"/>
      <c r="D708" s="6"/>
      <c r="E708" s="6"/>
      <c r="I708" s="6"/>
    </row>
    <row r="709">
      <c r="A709" s="1"/>
      <c r="D709" s="6"/>
      <c r="E709" s="6"/>
      <c r="I709" s="6"/>
    </row>
    <row r="710">
      <c r="A710" s="1"/>
      <c r="D710" s="6"/>
      <c r="E710" s="6"/>
      <c r="I710" s="6"/>
    </row>
    <row r="711">
      <c r="A711" s="1"/>
      <c r="D711" s="6"/>
      <c r="E711" s="6"/>
      <c r="I711" s="6"/>
    </row>
    <row r="712">
      <c r="A712" s="1"/>
      <c r="D712" s="6"/>
      <c r="E712" s="6"/>
      <c r="I712" s="6"/>
    </row>
    <row r="713">
      <c r="A713" s="1"/>
      <c r="D713" s="6"/>
      <c r="E713" s="6"/>
      <c r="I713" s="6"/>
    </row>
    <row r="714">
      <c r="A714" s="1"/>
      <c r="D714" s="6"/>
      <c r="E714" s="6"/>
      <c r="I714" s="6"/>
    </row>
    <row r="715">
      <c r="A715" s="1"/>
      <c r="D715" s="6"/>
      <c r="E715" s="6"/>
      <c r="I715" s="6"/>
    </row>
    <row r="716">
      <c r="A716" s="22"/>
      <c r="D716" s="6"/>
      <c r="E716" s="6"/>
      <c r="I716" s="6"/>
    </row>
    <row r="717">
      <c r="A717" s="22"/>
      <c r="D717" s="6"/>
      <c r="E717" s="6"/>
      <c r="I717" s="6"/>
    </row>
    <row r="718">
      <c r="A718" s="22"/>
      <c r="D718" s="6"/>
      <c r="E718" s="6"/>
      <c r="I718" s="6"/>
    </row>
    <row r="719">
      <c r="A719" s="1"/>
      <c r="D719" s="6"/>
      <c r="E719" s="6"/>
      <c r="I719" s="6"/>
    </row>
    <row r="720">
      <c r="A720" s="1"/>
      <c r="D720" s="6"/>
      <c r="E720" s="6"/>
      <c r="I720" s="6"/>
    </row>
    <row r="721">
      <c r="A721" s="1"/>
      <c r="D721" s="6"/>
      <c r="E721" s="6"/>
      <c r="I721" s="6"/>
    </row>
    <row r="722">
      <c r="A722" s="1"/>
      <c r="D722" s="6"/>
      <c r="E722" s="6"/>
      <c r="I722" s="6"/>
    </row>
    <row r="723">
      <c r="A723" s="1"/>
      <c r="D723" s="6"/>
      <c r="E723" s="6"/>
      <c r="I723" s="6"/>
    </row>
    <row r="724">
      <c r="A724" s="1"/>
      <c r="D724" s="6"/>
      <c r="E724" s="6"/>
      <c r="I724" s="6"/>
    </row>
    <row r="725">
      <c r="A725" s="1"/>
      <c r="D725" s="6"/>
      <c r="E725" s="6"/>
      <c r="I725" s="6"/>
    </row>
    <row r="726">
      <c r="A726" s="1"/>
      <c r="D726" s="6"/>
      <c r="E726" s="6"/>
      <c r="I726" s="6"/>
    </row>
    <row r="727">
      <c r="A727" s="1"/>
      <c r="D727" s="6"/>
      <c r="E727" s="6"/>
      <c r="I727" s="6"/>
    </row>
    <row r="728">
      <c r="A728" s="1"/>
      <c r="D728" s="6"/>
      <c r="E728" s="6"/>
      <c r="I728" s="6"/>
    </row>
    <row r="729">
      <c r="A729" s="1"/>
      <c r="D729" s="6"/>
      <c r="E729" s="6"/>
      <c r="I729" s="6"/>
    </row>
    <row r="730">
      <c r="A730" s="1"/>
      <c r="D730" s="6"/>
      <c r="E730" s="6"/>
      <c r="I730" s="6"/>
    </row>
    <row r="731">
      <c r="A731" s="1"/>
      <c r="D731" s="6"/>
      <c r="E731" s="6"/>
      <c r="I731" s="6"/>
    </row>
    <row r="732">
      <c r="A732" s="1"/>
      <c r="D732" s="6"/>
      <c r="E732" s="6"/>
      <c r="I732" s="6"/>
    </row>
    <row r="733">
      <c r="A733" s="1"/>
      <c r="D733" s="6"/>
      <c r="E733" s="6"/>
      <c r="I733" s="6"/>
    </row>
    <row r="734">
      <c r="A734" s="1"/>
      <c r="D734" s="6"/>
      <c r="E734" s="6"/>
      <c r="I734" s="6"/>
    </row>
    <row r="735">
      <c r="A735" s="1"/>
      <c r="D735" s="6"/>
      <c r="E735" s="6"/>
      <c r="I735" s="6"/>
    </row>
    <row r="736">
      <c r="A736" s="1"/>
      <c r="D736" s="6"/>
      <c r="E736" s="6"/>
      <c r="I736" s="6"/>
    </row>
    <row r="737">
      <c r="A737" s="1"/>
      <c r="D737" s="6"/>
      <c r="E737" s="6"/>
      <c r="I737" s="6"/>
    </row>
    <row r="738">
      <c r="A738" s="1"/>
      <c r="D738" s="6"/>
      <c r="E738" s="6"/>
      <c r="I738" s="6"/>
    </row>
    <row r="739">
      <c r="A739" s="1"/>
      <c r="D739" s="6"/>
      <c r="E739" s="6"/>
      <c r="I739" s="6"/>
    </row>
    <row r="740">
      <c r="A740" s="1"/>
      <c r="D740" s="6"/>
      <c r="E740" s="6"/>
      <c r="I740" s="6"/>
    </row>
    <row r="741">
      <c r="A741" s="1"/>
      <c r="D741" s="6"/>
      <c r="E741" s="6"/>
      <c r="I741" s="6"/>
    </row>
    <row r="742">
      <c r="A742" s="1"/>
      <c r="D742" s="6"/>
      <c r="E742" s="6"/>
      <c r="I742" s="6"/>
    </row>
    <row r="743">
      <c r="A743" s="1"/>
      <c r="D743" s="6"/>
      <c r="E743" s="6"/>
      <c r="I743" s="6"/>
    </row>
    <row r="744">
      <c r="A744" s="1"/>
      <c r="D744" s="6"/>
      <c r="E744" s="6"/>
      <c r="I744" s="6"/>
    </row>
    <row r="745">
      <c r="A745" s="1"/>
      <c r="D745" s="6"/>
      <c r="E745" s="6"/>
      <c r="I745" s="6"/>
    </row>
    <row r="746">
      <c r="A746" s="1"/>
      <c r="D746" s="6"/>
      <c r="E746" s="6"/>
      <c r="I746" s="6"/>
    </row>
    <row r="747">
      <c r="A747" s="1"/>
      <c r="D747" s="6"/>
      <c r="E747" s="6"/>
      <c r="I747" s="6"/>
    </row>
    <row r="748">
      <c r="A748" s="1"/>
      <c r="D748" s="6"/>
      <c r="E748" s="6"/>
      <c r="I748" s="6"/>
    </row>
    <row r="749">
      <c r="A749" s="1"/>
      <c r="D749" s="6"/>
      <c r="E749" s="6"/>
      <c r="I749" s="6"/>
    </row>
    <row r="750">
      <c r="A750" s="1"/>
      <c r="D750" s="6"/>
      <c r="E750" s="6"/>
      <c r="I750" s="6"/>
    </row>
    <row r="751">
      <c r="A751" s="1"/>
      <c r="D751" s="6"/>
      <c r="E751" s="6"/>
      <c r="I751" s="6"/>
    </row>
    <row r="752">
      <c r="A752" s="1"/>
      <c r="D752" s="6"/>
      <c r="E752" s="6"/>
      <c r="I752" s="6"/>
    </row>
    <row r="753">
      <c r="A753" s="1"/>
      <c r="D753" s="6"/>
      <c r="E753" s="6"/>
      <c r="I753" s="6"/>
    </row>
    <row r="754">
      <c r="A754" s="1"/>
      <c r="D754" s="6"/>
      <c r="E754" s="6"/>
      <c r="I754" s="6"/>
    </row>
    <row r="755">
      <c r="A755" s="1"/>
      <c r="D755" s="6"/>
      <c r="E755" s="6"/>
      <c r="I755" s="6"/>
      <c r="K755" s="41"/>
    </row>
    <row r="756">
      <c r="A756" s="1"/>
      <c r="D756" s="6"/>
      <c r="E756" s="6"/>
      <c r="I756" s="6"/>
    </row>
    <row r="757">
      <c r="A757" s="1"/>
      <c r="D757" s="6"/>
      <c r="E757" s="6"/>
      <c r="I757" s="6"/>
    </row>
    <row r="758">
      <c r="A758" s="1"/>
      <c r="D758" s="6"/>
      <c r="E758" s="6"/>
      <c r="I758" s="6"/>
    </row>
    <row r="759">
      <c r="A759" s="1"/>
      <c r="D759" s="6"/>
      <c r="E759" s="6"/>
      <c r="I759" s="6"/>
    </row>
    <row r="760">
      <c r="A760" s="1"/>
      <c r="D760" s="6"/>
      <c r="E760" s="6"/>
      <c r="I760" s="6"/>
    </row>
    <row r="761">
      <c r="A761" s="1"/>
      <c r="D761" s="6"/>
      <c r="E761" s="6"/>
      <c r="I761" s="6"/>
    </row>
    <row r="762">
      <c r="A762" s="1"/>
      <c r="D762" s="6"/>
      <c r="E762" s="6"/>
      <c r="I762" s="6"/>
      <c r="M762" s="24"/>
      <c r="N762" s="24"/>
      <c r="O762" s="25"/>
      <c r="P762" s="25"/>
    </row>
    <row r="763">
      <c r="A763" s="1"/>
      <c r="D763" s="6"/>
      <c r="E763" s="6"/>
      <c r="I763" s="6"/>
    </row>
    <row r="764">
      <c r="A764" s="1"/>
      <c r="D764" s="6"/>
      <c r="E764" s="6"/>
      <c r="I764" s="6"/>
    </row>
    <row r="765">
      <c r="A765" s="1"/>
      <c r="D765" s="6"/>
      <c r="E765" s="6"/>
      <c r="I765" s="6"/>
    </row>
    <row r="766">
      <c r="A766" s="1"/>
      <c r="D766" s="6"/>
      <c r="E766" s="6"/>
      <c r="I766" s="6"/>
    </row>
    <row r="767">
      <c r="A767" s="1"/>
      <c r="D767" s="6"/>
      <c r="E767" s="6"/>
      <c r="I767" s="6"/>
    </row>
    <row r="768">
      <c r="A768" s="1"/>
      <c r="D768" s="6"/>
      <c r="E768" s="6"/>
      <c r="I768" s="6"/>
    </row>
    <row r="769">
      <c r="A769" s="1"/>
      <c r="D769" s="6"/>
      <c r="E769" s="6"/>
      <c r="I769" s="6"/>
    </row>
    <row r="770">
      <c r="A770" s="1"/>
      <c r="D770" s="6"/>
      <c r="E770" s="6"/>
      <c r="I770" s="6"/>
    </row>
    <row r="771">
      <c r="A771" s="1"/>
      <c r="D771" s="6"/>
      <c r="E771" s="6"/>
      <c r="I771" s="6"/>
    </row>
    <row r="772">
      <c r="A772" s="1"/>
      <c r="D772" s="6"/>
      <c r="E772" s="6"/>
      <c r="I772" s="6"/>
    </row>
    <row r="773">
      <c r="A773" s="1"/>
      <c r="D773" s="6"/>
      <c r="E773" s="6"/>
      <c r="I773" s="6"/>
    </row>
    <row r="774">
      <c r="A774" s="1"/>
      <c r="D774" s="6"/>
      <c r="E774" s="6"/>
      <c r="I774" s="6"/>
    </row>
    <row r="775">
      <c r="A775" s="1"/>
      <c r="D775" s="6"/>
      <c r="E775" s="6"/>
      <c r="I775" s="6"/>
    </row>
    <row r="776">
      <c r="A776" s="1"/>
      <c r="D776" s="6"/>
      <c r="E776" s="6"/>
      <c r="I776" s="6"/>
    </row>
    <row r="777">
      <c r="A777" s="1"/>
      <c r="D777" s="6"/>
      <c r="E777" s="6"/>
      <c r="I777" s="6"/>
    </row>
    <row r="778">
      <c r="A778" s="1"/>
      <c r="D778" s="6"/>
      <c r="E778" s="6"/>
      <c r="I778" s="6"/>
    </row>
    <row r="779">
      <c r="A779" s="1"/>
      <c r="D779" s="6"/>
      <c r="E779" s="6"/>
      <c r="I779" s="6"/>
    </row>
    <row r="780">
      <c r="A780" s="1"/>
      <c r="D780" s="6"/>
      <c r="E780" s="6"/>
      <c r="I780" s="6"/>
    </row>
    <row r="781">
      <c r="A781" s="1"/>
      <c r="D781" s="6"/>
      <c r="E781" s="6"/>
      <c r="I781" s="6"/>
    </row>
    <row r="782">
      <c r="A782" s="1"/>
      <c r="D782" s="6"/>
      <c r="E782" s="6"/>
      <c r="I782" s="6"/>
    </row>
    <row r="783">
      <c r="A783" s="1"/>
      <c r="D783" s="6"/>
      <c r="E783" s="6"/>
      <c r="I783" s="6"/>
    </row>
    <row r="784">
      <c r="A784" s="1"/>
      <c r="D784" s="6"/>
      <c r="E784" s="6"/>
      <c r="I784" s="6"/>
    </row>
    <row r="785">
      <c r="A785" s="1"/>
      <c r="D785" s="6"/>
      <c r="E785" s="6"/>
      <c r="I785" s="6"/>
    </row>
    <row r="786">
      <c r="A786" s="1"/>
      <c r="D786" s="6"/>
      <c r="E786" s="6"/>
      <c r="I786" s="6"/>
    </row>
    <row r="787">
      <c r="A787" s="1"/>
      <c r="D787" s="6"/>
      <c r="E787" s="6"/>
      <c r="I787" s="6"/>
    </row>
    <row r="788">
      <c r="A788" s="1"/>
      <c r="D788" s="6"/>
      <c r="E788" s="6"/>
      <c r="I788" s="6"/>
    </row>
    <row r="789">
      <c r="A789" s="1"/>
      <c r="D789" s="6"/>
      <c r="E789" s="6"/>
      <c r="I789" s="6"/>
    </row>
    <row r="790">
      <c r="A790" s="1"/>
      <c r="D790" s="6"/>
      <c r="E790" s="6"/>
      <c r="I790" s="6"/>
    </row>
    <row r="791">
      <c r="A791" s="1"/>
      <c r="D791" s="6"/>
      <c r="E791" s="6"/>
      <c r="I791" s="6"/>
    </row>
    <row r="792">
      <c r="A792" s="1"/>
      <c r="D792" s="6"/>
      <c r="E792" s="6"/>
      <c r="I792" s="6"/>
    </row>
    <row r="793">
      <c r="A793" s="1"/>
      <c r="D793" s="6"/>
      <c r="E793" s="6"/>
      <c r="I793" s="6"/>
    </row>
    <row r="794">
      <c r="A794" s="1"/>
      <c r="D794" s="6"/>
      <c r="E794" s="6"/>
      <c r="I794" s="6"/>
    </row>
    <row r="795">
      <c r="A795" s="1"/>
      <c r="D795" s="6"/>
      <c r="E795" s="6"/>
      <c r="I795" s="6"/>
    </row>
    <row r="796">
      <c r="A796" s="1"/>
      <c r="D796" s="6"/>
      <c r="E796" s="6"/>
      <c r="I796" s="6"/>
    </row>
    <row r="797">
      <c r="A797" s="1"/>
      <c r="D797" s="6"/>
      <c r="E797" s="6"/>
      <c r="I797" s="6"/>
    </row>
    <row r="798">
      <c r="A798" s="1"/>
      <c r="D798" s="6"/>
      <c r="E798" s="6"/>
      <c r="I798" s="6"/>
    </row>
    <row r="799">
      <c r="A799" s="1"/>
      <c r="D799" s="6"/>
      <c r="E799" s="6"/>
      <c r="I799" s="6"/>
    </row>
    <row r="800">
      <c r="A800" s="22"/>
      <c r="D800" s="6"/>
      <c r="E800" s="6"/>
      <c r="I800" s="6"/>
    </row>
    <row r="801">
      <c r="A801" s="1"/>
      <c r="D801" s="6"/>
      <c r="E801" s="6"/>
      <c r="I801" s="6"/>
    </row>
    <row r="802">
      <c r="A802" s="1"/>
      <c r="D802" s="6"/>
      <c r="E802" s="6"/>
      <c r="I802" s="6"/>
    </row>
    <row r="803">
      <c r="A803" s="1"/>
      <c r="D803" s="6"/>
      <c r="E803" s="6"/>
      <c r="I803" s="6"/>
    </row>
    <row r="804">
      <c r="A804" s="22"/>
      <c r="D804" s="6"/>
      <c r="E804" s="6"/>
      <c r="I804" s="6"/>
    </row>
    <row r="805">
      <c r="A805" s="22"/>
      <c r="D805" s="6"/>
      <c r="E805" s="6"/>
      <c r="I805" s="6"/>
    </row>
    <row r="806">
      <c r="A806" s="1"/>
      <c r="D806" s="6"/>
      <c r="E806" s="6"/>
      <c r="I806" s="6"/>
    </row>
    <row r="807">
      <c r="A807" s="1"/>
      <c r="D807" s="6"/>
      <c r="E807" s="6"/>
      <c r="I807" s="6"/>
    </row>
    <row r="808">
      <c r="A808" s="1"/>
      <c r="D808" s="6"/>
      <c r="E808" s="6"/>
      <c r="I808" s="6"/>
    </row>
    <row r="809">
      <c r="A809" s="1"/>
      <c r="D809" s="6"/>
      <c r="E809" s="6"/>
      <c r="I809" s="6"/>
    </row>
    <row r="810">
      <c r="A810" s="1"/>
      <c r="D810" s="6"/>
      <c r="E810" s="6"/>
      <c r="I810" s="6"/>
    </row>
    <row r="811">
      <c r="A811" s="1"/>
      <c r="D811" s="6"/>
      <c r="E811" s="6"/>
      <c r="I811" s="6"/>
    </row>
    <row r="812">
      <c r="A812" s="1"/>
      <c r="D812" s="6"/>
      <c r="E812" s="6"/>
      <c r="I812" s="6"/>
    </row>
    <row r="813">
      <c r="A813" s="1"/>
      <c r="D813" s="6"/>
      <c r="E813" s="6"/>
      <c r="I813" s="6"/>
    </row>
    <row r="814">
      <c r="A814" s="1"/>
      <c r="D814" s="6"/>
      <c r="E814" s="6"/>
      <c r="I814" s="6"/>
    </row>
    <row r="815">
      <c r="A815" s="1"/>
      <c r="D815" s="6"/>
      <c r="E815" s="6"/>
      <c r="I815" s="6"/>
    </row>
    <row r="816">
      <c r="A816" s="1"/>
      <c r="D816" s="6"/>
      <c r="E816" s="6"/>
      <c r="I816" s="6"/>
    </row>
    <row r="817">
      <c r="A817" s="1"/>
      <c r="D817" s="6"/>
      <c r="E817" s="6"/>
      <c r="I817" s="6"/>
    </row>
    <row r="818">
      <c r="A818" s="1"/>
      <c r="D818" s="6"/>
      <c r="E818" s="6"/>
      <c r="I818" s="6"/>
    </row>
    <row r="819">
      <c r="A819" s="1"/>
      <c r="D819" s="6"/>
      <c r="E819" s="6"/>
      <c r="I819" s="6"/>
    </row>
    <row r="820">
      <c r="A820" s="1"/>
      <c r="D820" s="6"/>
      <c r="E820" s="6"/>
      <c r="I820" s="6"/>
    </row>
    <row r="821">
      <c r="A821" s="1"/>
      <c r="D821" s="6"/>
      <c r="E821" s="6"/>
      <c r="I821" s="6"/>
    </row>
    <row r="822">
      <c r="A822" s="1"/>
      <c r="D822" s="6"/>
      <c r="E822" s="6"/>
      <c r="I822" s="6"/>
    </row>
    <row r="823">
      <c r="A823" s="1"/>
      <c r="D823" s="6"/>
      <c r="E823" s="6"/>
      <c r="I823" s="6"/>
    </row>
    <row r="824">
      <c r="A824" s="1"/>
      <c r="D824" s="6"/>
      <c r="E824" s="6"/>
      <c r="I824" s="6"/>
    </row>
    <row r="825">
      <c r="A825" s="1"/>
      <c r="D825" s="6"/>
      <c r="E825" s="6"/>
      <c r="I825" s="6"/>
    </row>
    <row r="826">
      <c r="A826" s="1"/>
      <c r="D826" s="6"/>
      <c r="E826" s="6"/>
      <c r="I826" s="6"/>
    </row>
    <row r="827">
      <c r="A827" s="22"/>
      <c r="D827" s="6"/>
      <c r="E827" s="6"/>
      <c r="I827" s="6"/>
    </row>
    <row r="828">
      <c r="A828" s="1"/>
      <c r="D828" s="6"/>
      <c r="E828" s="6"/>
      <c r="I828" s="6"/>
    </row>
    <row r="829">
      <c r="A829" s="1"/>
      <c r="D829" s="6"/>
      <c r="E829" s="6"/>
      <c r="I829" s="6"/>
    </row>
    <row r="830">
      <c r="A830" s="1"/>
      <c r="D830" s="6"/>
      <c r="E830" s="6"/>
      <c r="I830" s="6"/>
    </row>
    <row r="831">
      <c r="A831" s="1"/>
      <c r="D831" s="6"/>
      <c r="E831" s="6"/>
      <c r="I831" s="6"/>
    </row>
    <row r="832">
      <c r="A832" s="1"/>
      <c r="D832" s="6"/>
      <c r="E832" s="6"/>
      <c r="I832" s="6"/>
    </row>
    <row r="833">
      <c r="A833" s="1"/>
      <c r="D833" s="6"/>
      <c r="E833" s="6"/>
      <c r="I833" s="6"/>
    </row>
    <row r="834">
      <c r="A834" s="1"/>
      <c r="D834" s="6"/>
      <c r="E834" s="6"/>
      <c r="I834" s="6"/>
    </row>
    <row r="835">
      <c r="A835" s="1"/>
      <c r="D835" s="6"/>
      <c r="E835" s="6"/>
      <c r="I835" s="6"/>
    </row>
    <row r="836">
      <c r="A836" s="1"/>
      <c r="D836" s="6"/>
      <c r="E836" s="6"/>
      <c r="I836" s="6"/>
    </row>
    <row r="837">
      <c r="A837" s="1"/>
      <c r="D837" s="6"/>
      <c r="E837" s="6"/>
      <c r="I837" s="6"/>
    </row>
    <row r="838">
      <c r="A838" s="1"/>
      <c r="D838" s="6"/>
      <c r="E838" s="6"/>
      <c r="I838" s="6"/>
    </row>
    <row r="839">
      <c r="A839" s="1"/>
      <c r="D839" s="6"/>
      <c r="E839" s="6"/>
      <c r="I839" s="6"/>
    </row>
    <row r="840">
      <c r="A840" s="1"/>
      <c r="D840" s="6"/>
      <c r="E840" s="6"/>
      <c r="I840" s="6"/>
    </row>
    <row r="841">
      <c r="A841" s="1"/>
      <c r="D841" s="6"/>
      <c r="E841" s="6"/>
      <c r="I841" s="6"/>
    </row>
    <row r="842">
      <c r="A842" s="1"/>
      <c r="D842" s="6"/>
      <c r="E842" s="6"/>
      <c r="I842" s="6"/>
    </row>
    <row r="843">
      <c r="A843" s="1"/>
      <c r="D843" s="6"/>
      <c r="E843" s="6"/>
      <c r="I843" s="6"/>
    </row>
    <row r="844">
      <c r="A844" s="1"/>
      <c r="D844" s="6"/>
      <c r="E844" s="6"/>
      <c r="I844" s="6"/>
    </row>
    <row r="845">
      <c r="A845" s="1"/>
      <c r="D845" s="6"/>
      <c r="E845" s="6"/>
      <c r="I845" s="6"/>
      <c r="L845" s="1"/>
      <c r="T845" s="5" t="s">
        <v>21</v>
      </c>
    </row>
    <row r="846">
      <c r="A846" s="1"/>
      <c r="D846" s="6"/>
      <c r="E846" s="6"/>
      <c r="I846" s="6"/>
      <c r="L846" s="1"/>
      <c r="Q846" s="24"/>
      <c r="R846" s="24"/>
      <c r="S846" s="25"/>
      <c r="T846" s="25" t="str">
        <f>R846/(Q846+R846)</f>
        <v>#DIV/0!</v>
      </c>
    </row>
    <row r="847">
      <c r="A847" s="1"/>
      <c r="D847" s="6"/>
      <c r="E847" s="6"/>
      <c r="I847" s="6"/>
      <c r="L847" s="1"/>
    </row>
    <row r="848">
      <c r="A848" s="1"/>
      <c r="D848" s="6"/>
      <c r="E848" s="6"/>
      <c r="I848" s="6"/>
      <c r="L848" s="1"/>
    </row>
    <row r="849">
      <c r="A849" s="1"/>
      <c r="D849" s="6"/>
      <c r="E849" s="6"/>
      <c r="I849" s="6"/>
      <c r="L849" s="1"/>
    </row>
    <row r="850">
      <c r="A850" s="1"/>
      <c r="D850" s="6"/>
      <c r="E850" s="6"/>
      <c r="I850" s="6"/>
      <c r="L850" s="1"/>
    </row>
    <row r="851">
      <c r="A851" s="1"/>
      <c r="D851" s="6"/>
      <c r="E851" s="6"/>
      <c r="I851" s="6"/>
      <c r="L851" s="1"/>
    </row>
    <row r="852">
      <c r="A852" s="1"/>
      <c r="D852" s="6"/>
      <c r="E852" s="6"/>
      <c r="I852" s="6"/>
      <c r="L852" s="1"/>
    </row>
    <row r="853">
      <c r="A853" s="1"/>
      <c r="D853" s="6"/>
      <c r="E853" s="6"/>
      <c r="I853" s="6"/>
      <c r="L853" s="1"/>
    </row>
    <row r="854">
      <c r="A854" s="1"/>
      <c r="D854" s="6"/>
      <c r="E854" s="6"/>
      <c r="I854" s="6"/>
      <c r="L854" s="1"/>
    </row>
    <row r="855">
      <c r="A855" s="1"/>
      <c r="D855" s="6"/>
      <c r="E855" s="6"/>
      <c r="I855" s="6"/>
      <c r="L855" s="1"/>
    </row>
    <row r="856">
      <c r="A856" s="1"/>
      <c r="D856" s="6"/>
      <c r="E856" s="6"/>
      <c r="I856" s="6"/>
      <c r="L856" s="1"/>
    </row>
    <row r="857">
      <c r="A857" s="1"/>
      <c r="D857" s="6"/>
      <c r="E857" s="6"/>
      <c r="I857" s="6"/>
      <c r="L857" s="1"/>
    </row>
    <row r="858">
      <c r="A858" s="1"/>
      <c r="D858" s="6"/>
      <c r="E858" s="6"/>
      <c r="I858" s="6"/>
      <c r="L858" s="1"/>
    </row>
    <row r="859">
      <c r="A859" s="1"/>
      <c r="D859" s="6"/>
      <c r="E859" s="6"/>
      <c r="I859" s="6"/>
      <c r="L859" s="1"/>
    </row>
    <row r="860">
      <c r="A860" s="1"/>
      <c r="D860" s="6"/>
      <c r="E860" s="6"/>
      <c r="I860" s="6"/>
      <c r="L860" s="1"/>
    </row>
    <row r="861">
      <c r="A861" s="1"/>
      <c r="D861" s="6"/>
      <c r="E861" s="6"/>
      <c r="I861" s="6"/>
      <c r="L861" s="1"/>
    </row>
    <row r="862">
      <c r="A862" s="1"/>
      <c r="D862" s="6"/>
      <c r="E862" s="6"/>
      <c r="I862" s="6"/>
      <c r="L862" s="1"/>
    </row>
    <row r="863">
      <c r="A863" s="1"/>
      <c r="D863" s="6"/>
      <c r="E863" s="6"/>
      <c r="I863" s="6"/>
      <c r="L863" s="1"/>
    </row>
    <row r="864">
      <c r="A864" s="1"/>
      <c r="D864" s="6"/>
      <c r="E864" s="6"/>
      <c r="I864" s="6"/>
      <c r="L864" s="1"/>
    </row>
    <row r="865">
      <c r="A865" s="1"/>
      <c r="D865" s="6"/>
      <c r="E865" s="6"/>
      <c r="I865" s="6"/>
      <c r="L865" s="1"/>
    </row>
    <row r="866">
      <c r="A866" s="1"/>
      <c r="D866" s="6"/>
      <c r="E866" s="6"/>
      <c r="I866" s="6"/>
      <c r="L866" s="1"/>
    </row>
    <row r="867">
      <c r="A867" s="1"/>
      <c r="D867" s="6"/>
      <c r="E867" s="6"/>
      <c r="I867" s="6"/>
      <c r="L867" s="1"/>
    </row>
    <row r="868">
      <c r="A868" s="1"/>
      <c r="D868" s="6"/>
      <c r="E868" s="6"/>
      <c r="I868" s="6"/>
      <c r="L868" s="1"/>
    </row>
    <row r="869">
      <c r="A869" s="1"/>
      <c r="D869" s="6"/>
      <c r="E869" s="6"/>
      <c r="I869" s="6"/>
      <c r="L869" s="1"/>
    </row>
    <row r="870">
      <c r="A870" s="1"/>
      <c r="D870" s="6"/>
      <c r="E870" s="6"/>
      <c r="I870" s="6"/>
      <c r="L870" s="1"/>
    </row>
    <row r="871">
      <c r="A871" s="1"/>
      <c r="D871" s="6"/>
      <c r="E871" s="6"/>
      <c r="I871" s="6"/>
      <c r="L871" s="1"/>
    </row>
    <row r="872">
      <c r="A872" s="1"/>
      <c r="D872" s="6"/>
      <c r="E872" s="6"/>
      <c r="I872" s="6"/>
      <c r="L872" s="1"/>
    </row>
    <row r="873">
      <c r="A873" s="1"/>
      <c r="D873" s="6"/>
      <c r="E873" s="6"/>
      <c r="I873" s="6"/>
      <c r="L873" s="1"/>
    </row>
    <row r="874">
      <c r="A874" s="1"/>
      <c r="D874" s="6"/>
      <c r="E874" s="6"/>
      <c r="I874" s="6"/>
      <c r="L874" s="1"/>
    </row>
    <row r="875">
      <c r="A875" s="1"/>
      <c r="D875" s="6"/>
      <c r="E875" s="6"/>
      <c r="I875" s="6"/>
      <c r="L875" s="1"/>
    </row>
    <row r="876">
      <c r="A876" s="1"/>
      <c r="D876" s="6"/>
      <c r="E876" s="6"/>
      <c r="I876" s="6"/>
    </row>
    <row r="877">
      <c r="A877" s="1"/>
      <c r="D877" s="6"/>
      <c r="E877" s="6"/>
      <c r="I877" s="6"/>
      <c r="L877" s="22"/>
    </row>
    <row r="878">
      <c r="A878" s="1"/>
      <c r="D878" s="6"/>
      <c r="E878" s="6"/>
      <c r="I878" s="6"/>
    </row>
    <row r="879">
      <c r="A879" s="1"/>
      <c r="D879" s="6"/>
      <c r="E879" s="6"/>
      <c r="I879" s="6"/>
    </row>
    <row r="880">
      <c r="A880" s="1"/>
      <c r="D880" s="6"/>
      <c r="E880" s="6"/>
      <c r="I880" s="6"/>
    </row>
    <row r="881">
      <c r="A881" s="1"/>
      <c r="D881" s="6"/>
      <c r="E881" s="6"/>
      <c r="I881" s="6"/>
    </row>
    <row r="882">
      <c r="A882" s="1"/>
      <c r="D882" s="6"/>
      <c r="E882" s="6"/>
      <c r="I882" s="6"/>
    </row>
    <row r="883">
      <c r="A883" s="1"/>
      <c r="D883" s="6"/>
      <c r="E883" s="6"/>
      <c r="I883" s="6"/>
    </row>
    <row r="884">
      <c r="A884" s="1"/>
      <c r="D884" s="6"/>
      <c r="E884" s="6"/>
      <c r="I884" s="6"/>
    </row>
    <row r="885">
      <c r="A885" s="1"/>
      <c r="D885" s="6"/>
      <c r="E885" s="6"/>
      <c r="I885" s="6"/>
    </row>
    <row r="886">
      <c r="A886" s="1"/>
      <c r="D886" s="6"/>
      <c r="E886" s="6"/>
      <c r="I886" s="6"/>
    </row>
    <row r="887">
      <c r="A887" s="1"/>
      <c r="D887" s="6"/>
      <c r="E887" s="6"/>
      <c r="I887" s="6"/>
    </row>
    <row r="888">
      <c r="A888" s="1"/>
      <c r="D888" s="6"/>
      <c r="E888" s="6"/>
      <c r="I888" s="6"/>
    </row>
    <row r="889">
      <c r="A889" s="1"/>
      <c r="D889" s="6"/>
      <c r="E889" s="6"/>
      <c r="I889" s="6"/>
    </row>
    <row r="890">
      <c r="A890" s="1"/>
      <c r="D890" s="6"/>
      <c r="E890" s="6"/>
      <c r="I890" s="6"/>
    </row>
    <row r="891">
      <c r="A891" s="1"/>
      <c r="D891" s="6"/>
      <c r="E891" s="6"/>
      <c r="I891" s="6"/>
    </row>
    <row r="892">
      <c r="A892" s="1"/>
      <c r="D892" s="6"/>
      <c r="E892" s="6"/>
      <c r="I892" s="6"/>
    </row>
    <row r="893">
      <c r="A893" s="1"/>
      <c r="D893" s="6"/>
      <c r="E893" s="6"/>
      <c r="I893" s="6"/>
    </row>
    <row r="894">
      <c r="A894" s="1"/>
      <c r="D894" s="6"/>
      <c r="E894" s="6"/>
      <c r="I894" s="6"/>
    </row>
    <row r="895">
      <c r="A895" s="1"/>
      <c r="D895" s="6"/>
      <c r="E895" s="6"/>
      <c r="I895" s="6"/>
    </row>
    <row r="896">
      <c r="A896" s="1"/>
      <c r="D896" s="6"/>
      <c r="E896" s="6"/>
      <c r="I896" s="6"/>
    </row>
    <row r="897">
      <c r="A897" s="1"/>
      <c r="D897" s="6"/>
      <c r="E897" s="6"/>
      <c r="I897" s="6"/>
    </row>
    <row r="898">
      <c r="A898" s="1"/>
      <c r="D898" s="6"/>
      <c r="E898" s="6"/>
      <c r="I898" s="6"/>
    </row>
    <row r="899">
      <c r="A899" s="1"/>
      <c r="D899" s="6"/>
      <c r="E899" s="6"/>
      <c r="I899" s="6"/>
    </row>
    <row r="900">
      <c r="A900" s="1"/>
      <c r="D900" s="6"/>
      <c r="E900" s="6"/>
      <c r="I900" s="6"/>
    </row>
    <row r="901">
      <c r="A901" s="1"/>
      <c r="D901" s="6"/>
      <c r="E901" s="6"/>
      <c r="I901" s="6"/>
    </row>
    <row r="902">
      <c r="A902" s="1"/>
      <c r="D902" s="6"/>
      <c r="E902" s="6"/>
      <c r="I902" s="6"/>
    </row>
    <row r="903">
      <c r="A903" s="1"/>
      <c r="D903" s="6"/>
      <c r="E903" s="6"/>
      <c r="I903" s="6"/>
    </row>
    <row r="904">
      <c r="A904" s="1"/>
      <c r="D904" s="6"/>
      <c r="E904" s="6"/>
      <c r="I904" s="6"/>
    </row>
    <row r="905">
      <c r="A905" s="1"/>
      <c r="D905" s="6"/>
      <c r="E905" s="6"/>
      <c r="I905" s="6"/>
    </row>
    <row r="906">
      <c r="A906" s="1"/>
      <c r="D906" s="6"/>
      <c r="E906" s="6"/>
      <c r="I906" s="6"/>
    </row>
    <row r="907">
      <c r="A907" s="1"/>
      <c r="D907" s="6"/>
      <c r="E907" s="6"/>
      <c r="I907" s="6"/>
    </row>
    <row r="908">
      <c r="A908" s="1"/>
      <c r="D908" s="6"/>
      <c r="E908" s="6"/>
      <c r="I908" s="6"/>
    </row>
    <row r="909">
      <c r="A909" s="1"/>
      <c r="D909" s="6"/>
      <c r="E909" s="6"/>
      <c r="I909" s="6"/>
    </row>
    <row r="910">
      <c r="A910" s="1"/>
      <c r="D910" s="6"/>
      <c r="E910" s="6"/>
      <c r="I910" s="6"/>
    </row>
    <row r="911">
      <c r="A911" s="1"/>
      <c r="D911" s="6"/>
      <c r="E911" s="6"/>
      <c r="I911" s="6"/>
    </row>
    <row r="912">
      <c r="A912" s="1"/>
      <c r="D912" s="6"/>
      <c r="E912" s="6"/>
      <c r="I912" s="6"/>
    </row>
    <row r="913">
      <c r="A913" s="1"/>
      <c r="D913" s="6"/>
      <c r="E913" s="6"/>
      <c r="I913" s="6"/>
    </row>
    <row r="914">
      <c r="A914" s="1"/>
      <c r="D914" s="6"/>
      <c r="E914" s="6"/>
      <c r="I914" s="6"/>
    </row>
    <row r="915">
      <c r="A915" s="1"/>
      <c r="D915" s="6"/>
      <c r="E915" s="6"/>
      <c r="I915" s="6"/>
    </row>
    <row r="916">
      <c r="A916" s="1"/>
      <c r="D916" s="6"/>
      <c r="E916" s="6"/>
      <c r="I916" s="6"/>
    </row>
    <row r="917">
      <c r="A917" s="1"/>
      <c r="D917" s="6"/>
      <c r="E917" s="6"/>
      <c r="I917" s="6"/>
    </row>
    <row r="918">
      <c r="A918" s="1"/>
      <c r="D918" s="6"/>
      <c r="E918" s="6"/>
      <c r="I918" s="6"/>
    </row>
    <row r="919">
      <c r="A919" s="1"/>
      <c r="D919" s="6"/>
      <c r="E919" s="6"/>
      <c r="I919" s="6"/>
    </row>
    <row r="920">
      <c r="A920" s="1"/>
      <c r="D920" s="6"/>
      <c r="E920" s="6"/>
      <c r="I920" s="6"/>
    </row>
    <row r="921">
      <c r="A921" s="1"/>
      <c r="D921" s="6"/>
      <c r="E921" s="6"/>
      <c r="I921" s="6"/>
    </row>
    <row r="922">
      <c r="A922" s="1"/>
      <c r="D922" s="6"/>
      <c r="E922" s="6"/>
      <c r="I922" s="6"/>
    </row>
    <row r="923">
      <c r="A923" s="1"/>
      <c r="D923" s="6"/>
      <c r="E923" s="6"/>
      <c r="I923" s="6"/>
    </row>
    <row r="924">
      <c r="A924" s="1"/>
      <c r="D924" s="6"/>
      <c r="E924" s="6"/>
      <c r="I924" s="6"/>
    </row>
    <row r="925">
      <c r="A925" s="1"/>
      <c r="D925" s="6"/>
      <c r="E925" s="6"/>
      <c r="I925" s="6"/>
    </row>
    <row r="926">
      <c r="A926" s="1"/>
      <c r="D926" s="6"/>
      <c r="E926" s="6"/>
      <c r="I926" s="6"/>
    </row>
    <row r="927">
      <c r="A927" s="1"/>
      <c r="D927" s="6"/>
      <c r="E927" s="6"/>
      <c r="I927" s="6"/>
    </row>
    <row r="928">
      <c r="A928" s="1"/>
      <c r="D928" s="6"/>
      <c r="E928" s="6"/>
      <c r="I928" s="6"/>
    </row>
    <row r="929">
      <c r="A929" s="1"/>
      <c r="D929" s="6"/>
      <c r="E929" s="6"/>
      <c r="I929" s="6"/>
    </row>
    <row r="930">
      <c r="A930" s="1"/>
      <c r="D930" s="6"/>
      <c r="E930" s="6"/>
      <c r="I930" s="6"/>
    </row>
    <row r="931">
      <c r="A931" s="1"/>
      <c r="D931" s="6"/>
      <c r="E931" s="6"/>
      <c r="I931" s="6"/>
    </row>
    <row r="932">
      <c r="A932" s="1"/>
      <c r="D932" s="6"/>
      <c r="E932" s="6"/>
      <c r="I932" s="6"/>
    </row>
    <row r="933">
      <c r="A933" s="1"/>
      <c r="D933" s="6"/>
      <c r="E933" s="6"/>
      <c r="I933" s="6"/>
    </row>
    <row r="934">
      <c r="A934" s="1"/>
      <c r="D934" s="6"/>
      <c r="E934" s="6"/>
      <c r="I934" s="6"/>
    </row>
    <row r="935">
      <c r="A935" s="1"/>
      <c r="D935" s="6"/>
      <c r="E935" s="6"/>
      <c r="I935" s="6"/>
    </row>
    <row r="936">
      <c r="A936" s="1"/>
      <c r="D936" s="6"/>
      <c r="E936" s="6"/>
      <c r="I936" s="6"/>
    </row>
    <row r="937">
      <c r="A937" s="1"/>
      <c r="D937" s="6"/>
      <c r="E937" s="6"/>
      <c r="I937" s="6"/>
    </row>
    <row r="938">
      <c r="A938" s="1"/>
      <c r="D938" s="6"/>
      <c r="E938" s="6"/>
      <c r="I938" s="6"/>
      <c r="T938" s="5" t="s">
        <v>21</v>
      </c>
    </row>
    <row r="939">
      <c r="A939" s="1"/>
      <c r="D939" s="6"/>
      <c r="E939" s="6"/>
      <c r="I939" s="6"/>
      <c r="Q939" s="24"/>
      <c r="R939" s="24"/>
      <c r="S939" s="25"/>
      <c r="T939" s="25" t="str">
        <f>R939/(Q939+R939)</f>
        <v>#DIV/0!</v>
      </c>
    </row>
    <row r="940">
      <c r="A940" s="1"/>
      <c r="D940" s="6"/>
      <c r="E940" s="6"/>
      <c r="I940" s="6"/>
    </row>
    <row r="941">
      <c r="A941" s="1"/>
      <c r="D941" s="6"/>
      <c r="E941" s="6"/>
      <c r="I941" s="6"/>
    </row>
    <row r="942">
      <c r="A942" s="1"/>
      <c r="D942" s="6"/>
      <c r="E942" s="6"/>
      <c r="I942" s="6"/>
    </row>
    <row r="943">
      <c r="A943" s="1"/>
      <c r="D943" s="6"/>
      <c r="E943" s="6"/>
      <c r="I943" s="6"/>
    </row>
    <row r="944">
      <c r="A944" s="1"/>
      <c r="D944" s="6"/>
      <c r="E944" s="6"/>
      <c r="I944" s="6"/>
    </row>
    <row r="945">
      <c r="A945" s="1"/>
      <c r="D945" s="6"/>
      <c r="E945" s="6"/>
      <c r="I945" s="6"/>
    </row>
    <row r="946">
      <c r="A946" s="1"/>
      <c r="D946" s="6"/>
      <c r="E946" s="6"/>
      <c r="I946" s="6"/>
    </row>
    <row r="947">
      <c r="A947" s="1"/>
      <c r="D947" s="6"/>
      <c r="E947" s="6"/>
      <c r="I947" s="6"/>
    </row>
    <row r="948">
      <c r="A948" s="1"/>
      <c r="D948" s="6"/>
      <c r="E948" s="6"/>
      <c r="I948" s="6"/>
    </row>
    <row r="949">
      <c r="A949" s="1"/>
      <c r="D949" s="6"/>
      <c r="E949" s="6"/>
      <c r="I949" s="6"/>
    </row>
    <row r="950">
      <c r="A950" s="1"/>
      <c r="D950" s="6"/>
      <c r="E950" s="6"/>
      <c r="I950" s="6"/>
    </row>
    <row r="951">
      <c r="A951" s="1"/>
      <c r="D951" s="6"/>
      <c r="E951" s="6"/>
      <c r="I951" s="6"/>
    </row>
    <row r="952">
      <c r="A952" s="1"/>
      <c r="D952" s="6"/>
      <c r="E952" s="6"/>
      <c r="I952" s="6"/>
    </row>
    <row r="953">
      <c r="A953" s="1"/>
      <c r="D953" s="6"/>
      <c r="E953" s="6"/>
      <c r="I953" s="6"/>
    </row>
    <row r="954">
      <c r="A954" s="1"/>
      <c r="D954" s="6"/>
      <c r="E954" s="6"/>
      <c r="I954" s="6"/>
    </row>
    <row r="955">
      <c r="A955" s="1"/>
      <c r="D955" s="6"/>
      <c r="E955" s="6"/>
      <c r="I955" s="6"/>
    </row>
    <row r="956">
      <c r="A956" s="1"/>
      <c r="D956" s="6"/>
      <c r="E956" s="6"/>
      <c r="I956" s="6"/>
    </row>
    <row r="957">
      <c r="A957" s="1"/>
      <c r="D957" s="6"/>
      <c r="E957" s="6"/>
      <c r="I957" s="6"/>
    </row>
    <row r="958">
      <c r="A958" s="1"/>
      <c r="D958" s="6"/>
      <c r="E958" s="6"/>
      <c r="I958" s="6"/>
    </row>
    <row r="959">
      <c r="A959" s="1"/>
      <c r="D959" s="6"/>
      <c r="E959" s="6"/>
      <c r="I959" s="6"/>
    </row>
    <row r="960">
      <c r="A960" s="1"/>
      <c r="D960" s="6"/>
      <c r="E960" s="6"/>
      <c r="I960" s="6"/>
    </row>
    <row r="961">
      <c r="A961" s="1"/>
      <c r="D961" s="6"/>
      <c r="E961" s="6"/>
      <c r="I961" s="6"/>
    </row>
    <row r="962">
      <c r="A962" s="1"/>
      <c r="D962" s="6"/>
      <c r="E962" s="6"/>
      <c r="I962" s="6"/>
    </row>
    <row r="963">
      <c r="A963" s="1"/>
      <c r="D963" s="6"/>
      <c r="E963" s="6"/>
      <c r="I963" s="6"/>
    </row>
    <row r="964">
      <c r="A964" s="1"/>
      <c r="D964" s="6"/>
      <c r="E964" s="6"/>
      <c r="I964" s="6"/>
    </row>
    <row r="965">
      <c r="A965" s="1"/>
      <c r="D965" s="6"/>
      <c r="E965" s="6"/>
      <c r="I965" s="6"/>
    </row>
    <row r="966">
      <c r="A966" s="1"/>
      <c r="D966" s="6"/>
      <c r="E966" s="6"/>
      <c r="I966" s="6"/>
    </row>
    <row r="967">
      <c r="A967" s="1"/>
      <c r="D967" s="6"/>
      <c r="E967" s="6"/>
      <c r="I967" s="6"/>
    </row>
    <row r="968">
      <c r="A968" s="1"/>
      <c r="D968" s="6"/>
      <c r="E968" s="6"/>
      <c r="I968" s="6"/>
    </row>
    <row r="969">
      <c r="A969" s="1"/>
      <c r="D969" s="6"/>
      <c r="E969" s="6"/>
      <c r="I969" s="6"/>
    </row>
    <row r="970">
      <c r="A970" s="1"/>
      <c r="D970" s="6"/>
      <c r="E970" s="6"/>
      <c r="I970" s="6"/>
    </row>
    <row r="971">
      <c r="A971" s="1"/>
      <c r="D971" s="6"/>
      <c r="E971" s="6"/>
      <c r="I971" s="6"/>
    </row>
    <row r="972">
      <c r="A972" s="1"/>
      <c r="D972" s="6"/>
      <c r="E972" s="6"/>
      <c r="I972" s="6"/>
    </row>
    <row r="973">
      <c r="A973" s="1"/>
      <c r="D973" s="6"/>
      <c r="E973" s="6"/>
      <c r="I973" s="6"/>
    </row>
    <row r="974">
      <c r="A974" s="1"/>
      <c r="D974" s="6"/>
      <c r="E974" s="6"/>
      <c r="I974" s="6"/>
    </row>
    <row r="975">
      <c r="A975" s="1"/>
      <c r="D975" s="6"/>
      <c r="E975" s="6"/>
      <c r="I975" s="6"/>
    </row>
    <row r="976">
      <c r="A976" s="1"/>
      <c r="D976" s="6"/>
      <c r="E976" s="6"/>
      <c r="I976" s="6"/>
    </row>
    <row r="977">
      <c r="A977" s="1"/>
      <c r="D977" s="6"/>
      <c r="E977" s="6"/>
      <c r="I977" s="6"/>
    </row>
    <row r="978">
      <c r="A978" s="1"/>
      <c r="D978" s="6"/>
      <c r="E978" s="6"/>
      <c r="I978" s="6"/>
    </row>
    <row r="979">
      <c r="A979" s="1"/>
      <c r="D979" s="6"/>
      <c r="E979" s="6"/>
      <c r="I979" s="6"/>
    </row>
    <row r="980">
      <c r="A980" s="1"/>
      <c r="D980" s="6"/>
      <c r="E980" s="6"/>
      <c r="I980" s="6"/>
    </row>
    <row r="981">
      <c r="A981" s="1"/>
      <c r="D981" s="6"/>
      <c r="E981" s="6"/>
      <c r="I981" s="6"/>
    </row>
    <row r="982">
      <c r="A982" s="1"/>
      <c r="D982" s="6"/>
      <c r="E982" s="6"/>
      <c r="I982" s="6"/>
    </row>
    <row r="983">
      <c r="A983" s="1"/>
      <c r="D983" s="6"/>
      <c r="E983" s="6"/>
      <c r="I983" s="6"/>
    </row>
    <row r="984">
      <c r="A984" s="1"/>
      <c r="D984" s="6"/>
      <c r="E984" s="6"/>
      <c r="I984" s="6"/>
    </row>
    <row r="985">
      <c r="A985" s="1"/>
      <c r="D985" s="6"/>
      <c r="E985" s="6"/>
      <c r="I985" s="6"/>
    </row>
    <row r="986">
      <c r="A986" s="1"/>
      <c r="D986" s="6"/>
      <c r="E986" s="6"/>
      <c r="I986" s="6"/>
    </row>
    <row r="987">
      <c r="A987" s="1"/>
      <c r="D987" s="6"/>
      <c r="E987" s="6"/>
      <c r="I987" s="6"/>
    </row>
    <row r="988">
      <c r="A988" s="1"/>
      <c r="D988" s="6"/>
      <c r="E988" s="6"/>
      <c r="I988" s="6"/>
    </row>
    <row r="989">
      <c r="A989" s="1"/>
      <c r="D989" s="6"/>
      <c r="E989" s="6"/>
      <c r="I989" s="6"/>
    </row>
    <row r="990">
      <c r="A990" s="1"/>
      <c r="D990" s="6"/>
      <c r="E990" s="6"/>
      <c r="I990" s="6"/>
    </row>
    <row r="991">
      <c r="A991" s="1"/>
      <c r="D991" s="6"/>
      <c r="E991" s="6"/>
      <c r="I991" s="6"/>
    </row>
    <row r="992">
      <c r="A992" s="1"/>
      <c r="D992" s="6"/>
      <c r="E992" s="6"/>
      <c r="I992" s="6"/>
    </row>
    <row r="993">
      <c r="A993" s="1"/>
      <c r="D993" s="6"/>
      <c r="E993" s="6"/>
      <c r="I993" s="6"/>
    </row>
    <row r="994">
      <c r="A994" s="1"/>
      <c r="D994" s="6"/>
      <c r="E994" s="6"/>
      <c r="I994" s="6"/>
    </row>
    <row r="995">
      <c r="A995" s="1"/>
      <c r="D995" s="6"/>
      <c r="E995" s="6"/>
      <c r="I995" s="6"/>
    </row>
    <row r="996">
      <c r="A996" s="1"/>
      <c r="D996" s="6"/>
      <c r="E996" s="6"/>
      <c r="I996" s="6"/>
    </row>
    <row r="997">
      <c r="A997" s="1"/>
      <c r="D997" s="6"/>
      <c r="E997" s="6"/>
      <c r="I997" s="6"/>
    </row>
    <row r="998">
      <c r="A998" s="1"/>
      <c r="D998" s="6"/>
      <c r="E998" s="6"/>
      <c r="I998" s="6"/>
    </row>
    <row r="999">
      <c r="A999" s="1"/>
      <c r="D999" s="6"/>
      <c r="E999" s="6"/>
      <c r="I999" s="6"/>
    </row>
    <row r="1000">
      <c r="A1000" s="1"/>
      <c r="D1000" s="6"/>
      <c r="E1000" s="6"/>
      <c r="I1000" s="6"/>
    </row>
    <row r="1001">
      <c r="A1001" s="1"/>
      <c r="D1001" s="6"/>
      <c r="E1001" s="6"/>
      <c r="I1001" s="6"/>
    </row>
    <row r="1002">
      <c r="A1002" s="1"/>
      <c r="D1002" s="6"/>
      <c r="E1002" s="6"/>
      <c r="I1002" s="6"/>
    </row>
    <row r="1003">
      <c r="A1003" s="1"/>
      <c r="D1003" s="6"/>
      <c r="E1003" s="6"/>
      <c r="I1003" s="6"/>
    </row>
    <row r="1004">
      <c r="A1004" s="1"/>
      <c r="D1004" s="6"/>
      <c r="E1004" s="6"/>
      <c r="I1004" s="6"/>
    </row>
    <row r="1005">
      <c r="A1005" s="1"/>
      <c r="D1005" s="6"/>
      <c r="E1005" s="6"/>
      <c r="I1005" s="6"/>
    </row>
    <row r="1006">
      <c r="A1006" s="1"/>
      <c r="D1006" s="6"/>
      <c r="E1006" s="6"/>
      <c r="I1006" s="6"/>
      <c r="K1006" s="1"/>
    </row>
    <row r="1007">
      <c r="A1007" s="1"/>
      <c r="D1007" s="6"/>
      <c r="E1007" s="6"/>
      <c r="I1007" s="6"/>
      <c r="K1007" s="1"/>
    </row>
    <row r="1008">
      <c r="A1008" s="1"/>
      <c r="D1008" s="6"/>
      <c r="E1008" s="6"/>
      <c r="I1008" s="6"/>
      <c r="K1008" s="1"/>
    </row>
    <row r="1009">
      <c r="A1009" s="1"/>
      <c r="D1009" s="6"/>
      <c r="E1009" s="6"/>
      <c r="I1009" s="6"/>
    </row>
    <row r="1010">
      <c r="A1010" s="1"/>
      <c r="D1010" s="6"/>
      <c r="E1010" s="6"/>
      <c r="I1010" s="6"/>
    </row>
    <row r="1011">
      <c r="A1011" s="1"/>
      <c r="D1011" s="6"/>
      <c r="E1011" s="6"/>
      <c r="I1011" s="6"/>
    </row>
    <row r="1012">
      <c r="A1012" s="1"/>
      <c r="D1012" s="6"/>
      <c r="E1012" s="6"/>
      <c r="I1012" s="6"/>
    </row>
    <row r="1013">
      <c r="A1013" s="1"/>
      <c r="D1013" s="6"/>
      <c r="E1013" s="6"/>
      <c r="I1013" s="6"/>
    </row>
    <row r="1014">
      <c r="A1014" s="1"/>
      <c r="D1014" s="6"/>
      <c r="E1014" s="6"/>
      <c r="I1014" s="6"/>
    </row>
    <row r="1015">
      <c r="A1015" s="1"/>
      <c r="D1015" s="6"/>
      <c r="E1015" s="6"/>
      <c r="I1015" s="6"/>
    </row>
    <row r="1016">
      <c r="A1016" s="1"/>
      <c r="D1016" s="6"/>
      <c r="E1016" s="6"/>
      <c r="I1016" s="6"/>
    </row>
    <row r="1017">
      <c r="A1017" s="1"/>
      <c r="D1017" s="6"/>
      <c r="E1017" s="6"/>
      <c r="I1017" s="6"/>
    </row>
    <row r="1018">
      <c r="A1018" s="1"/>
      <c r="D1018" s="6"/>
      <c r="E1018" s="6"/>
      <c r="I1018" s="6"/>
    </row>
    <row r="1019">
      <c r="A1019" s="1"/>
      <c r="D1019" s="6"/>
      <c r="E1019" s="6"/>
      <c r="I1019" s="6"/>
    </row>
    <row r="1020">
      <c r="A1020" s="1"/>
      <c r="D1020" s="6"/>
      <c r="E1020" s="6"/>
      <c r="I1020" s="6"/>
    </row>
    <row r="1021">
      <c r="A1021" s="1"/>
      <c r="D1021" s="6"/>
      <c r="E1021" s="6"/>
      <c r="I1021" s="6"/>
    </row>
    <row r="1022">
      <c r="A1022" s="1"/>
      <c r="D1022" s="6"/>
      <c r="E1022" s="6"/>
      <c r="I1022" s="6"/>
    </row>
    <row r="1023">
      <c r="A1023" s="1"/>
      <c r="D1023" s="6"/>
      <c r="E1023" s="6"/>
      <c r="I1023" s="6"/>
    </row>
    <row r="1024">
      <c r="A1024" s="1"/>
      <c r="D1024" s="6"/>
      <c r="E1024" s="6"/>
      <c r="I1024" s="6"/>
    </row>
    <row r="1025">
      <c r="A1025" s="1"/>
      <c r="D1025" s="6"/>
      <c r="E1025" s="6"/>
      <c r="I1025" s="6"/>
    </row>
    <row r="1026">
      <c r="A1026" s="1"/>
      <c r="D1026" s="6"/>
      <c r="E1026" s="6"/>
      <c r="I1026" s="6"/>
    </row>
    <row r="1027">
      <c r="A1027" s="1"/>
      <c r="D1027" s="6"/>
      <c r="E1027" s="6"/>
      <c r="I1027" s="6"/>
      <c r="T1027" s="5" t="s">
        <v>21</v>
      </c>
    </row>
    <row r="1028">
      <c r="A1028" s="1"/>
      <c r="D1028" s="6"/>
      <c r="E1028" s="6"/>
      <c r="I1028" s="6"/>
      <c r="Q1028" s="24"/>
      <c r="R1028" s="24"/>
      <c r="S1028" s="25"/>
      <c r="T1028" s="25" t="str">
        <f>R1028/(Q1028+R1028)</f>
        <v>#DIV/0!</v>
      </c>
    </row>
    <row r="1029">
      <c r="A1029" s="1"/>
      <c r="D1029" s="6"/>
      <c r="E1029" s="6"/>
      <c r="I1029" s="6"/>
    </row>
    <row r="1030">
      <c r="A1030" s="1"/>
      <c r="D1030" s="6"/>
      <c r="E1030" s="6"/>
      <c r="I1030" s="6"/>
    </row>
    <row r="1031">
      <c r="A1031" s="1"/>
      <c r="D1031" s="6"/>
      <c r="E1031" s="6"/>
      <c r="I1031" s="6"/>
    </row>
    <row r="1032">
      <c r="A1032" s="1"/>
      <c r="D1032" s="6"/>
      <c r="E1032" s="6"/>
      <c r="I1032" s="6"/>
    </row>
    <row r="1033">
      <c r="A1033" s="1"/>
      <c r="D1033" s="6"/>
      <c r="E1033" s="6"/>
      <c r="I1033" s="6"/>
    </row>
    <row r="1034">
      <c r="A1034" s="1"/>
      <c r="D1034" s="6"/>
      <c r="E1034" s="6"/>
      <c r="I1034" s="6"/>
    </row>
    <row r="1035">
      <c r="A1035" s="1"/>
      <c r="D1035" s="6"/>
      <c r="E1035" s="6"/>
      <c r="I1035" s="6"/>
    </row>
    <row r="1036">
      <c r="A1036" s="1"/>
      <c r="D1036" s="6"/>
      <c r="E1036" s="6"/>
      <c r="I1036" s="6"/>
    </row>
    <row r="1037">
      <c r="A1037" s="1"/>
      <c r="D1037" s="6"/>
      <c r="E1037" s="6"/>
      <c r="I1037" s="6"/>
    </row>
    <row r="1038">
      <c r="A1038" s="1"/>
      <c r="D1038" s="6"/>
      <c r="E1038" s="6"/>
      <c r="I1038" s="6"/>
    </row>
    <row r="1039">
      <c r="A1039" s="1"/>
      <c r="D1039" s="6"/>
      <c r="E1039" s="6"/>
      <c r="I1039" s="6"/>
    </row>
    <row r="1040">
      <c r="A1040" s="1"/>
      <c r="D1040" s="6"/>
      <c r="E1040" s="6"/>
      <c r="I1040" s="6"/>
    </row>
    <row r="1041">
      <c r="A1041" s="1"/>
      <c r="D1041" s="6"/>
      <c r="E1041" s="6"/>
      <c r="I1041" s="6"/>
    </row>
    <row r="1042">
      <c r="A1042" s="1"/>
      <c r="D1042" s="6"/>
      <c r="E1042" s="6"/>
      <c r="I1042" s="6"/>
    </row>
    <row r="1043">
      <c r="A1043" s="1"/>
      <c r="D1043" s="6"/>
      <c r="E1043" s="6"/>
      <c r="I1043" s="6"/>
    </row>
    <row r="1044">
      <c r="A1044" s="1"/>
      <c r="D1044" s="6"/>
      <c r="E1044" s="6"/>
      <c r="I1044" s="6"/>
      <c r="T1044" s="5" t="s">
        <v>21</v>
      </c>
    </row>
    <row r="1045">
      <c r="A1045" s="1"/>
      <c r="D1045" s="6"/>
      <c r="E1045" s="6"/>
      <c r="I1045" s="6"/>
      <c r="Q1045" s="24"/>
      <c r="R1045" s="24"/>
      <c r="S1045" s="25"/>
      <c r="T1045" s="25" t="str">
        <f>R1045/(Q1045+R1045)</f>
        <v>#DIV/0!</v>
      </c>
    </row>
    <row r="1046">
      <c r="A1046" s="1"/>
      <c r="D1046" s="6"/>
      <c r="E1046" s="6"/>
      <c r="I1046" s="6"/>
    </row>
    <row r="1047">
      <c r="A1047" s="1"/>
      <c r="D1047" s="6"/>
      <c r="E1047" s="6"/>
      <c r="I1047" s="6"/>
    </row>
    <row r="1048">
      <c r="A1048" s="1"/>
      <c r="D1048" s="6"/>
      <c r="E1048" s="6"/>
      <c r="I1048" s="6"/>
    </row>
    <row r="1049">
      <c r="A1049" s="1"/>
      <c r="D1049" s="6"/>
      <c r="E1049" s="6"/>
      <c r="I1049" s="6"/>
    </row>
    <row r="1050">
      <c r="A1050" s="1"/>
      <c r="D1050" s="6"/>
      <c r="E1050" s="6"/>
      <c r="I1050" s="6"/>
    </row>
    <row r="1051">
      <c r="A1051" s="1"/>
      <c r="D1051" s="6"/>
      <c r="E1051" s="6"/>
      <c r="I1051" s="6"/>
    </row>
    <row r="1052">
      <c r="A1052" s="1"/>
      <c r="D1052" s="6"/>
      <c r="E1052" s="6"/>
      <c r="I1052" s="6"/>
    </row>
    <row r="1053">
      <c r="A1053" s="1"/>
      <c r="D1053" s="6"/>
      <c r="E1053" s="6"/>
      <c r="I1053" s="6"/>
    </row>
    <row r="1054">
      <c r="A1054" s="1"/>
      <c r="D1054" s="6"/>
      <c r="E1054" s="6"/>
      <c r="I1054" s="6"/>
    </row>
    <row r="1055">
      <c r="A1055" s="1"/>
      <c r="D1055" s="6"/>
      <c r="E1055" s="6"/>
      <c r="I1055" s="6"/>
    </row>
    <row r="1056">
      <c r="A1056" s="1"/>
      <c r="D1056" s="6"/>
      <c r="E1056" s="6"/>
      <c r="I1056" s="6"/>
    </row>
    <row r="1057">
      <c r="A1057" s="1"/>
      <c r="D1057" s="6"/>
      <c r="E1057" s="6"/>
      <c r="I1057" s="6"/>
    </row>
    <row r="1058">
      <c r="A1058" s="1"/>
      <c r="D1058" s="6"/>
      <c r="E1058" s="6"/>
      <c r="I1058" s="6"/>
    </row>
    <row r="1059">
      <c r="A1059" s="1"/>
      <c r="D1059" s="6"/>
      <c r="E1059" s="6"/>
      <c r="I1059" s="6"/>
    </row>
    <row r="1060">
      <c r="A1060" s="1"/>
      <c r="D1060" s="6"/>
      <c r="E1060" s="6"/>
      <c r="I1060" s="6"/>
    </row>
    <row r="1061">
      <c r="A1061" s="1"/>
      <c r="D1061" s="6"/>
      <c r="E1061" s="6"/>
      <c r="I1061" s="6"/>
    </row>
    <row r="1062">
      <c r="A1062" s="1"/>
      <c r="D1062" s="6"/>
      <c r="E1062" s="6"/>
      <c r="I1062" s="6"/>
    </row>
    <row r="1063">
      <c r="A1063" s="1"/>
      <c r="D1063" s="6"/>
      <c r="E1063" s="6"/>
      <c r="I1063" s="6"/>
    </row>
    <row r="1064">
      <c r="A1064" s="1"/>
      <c r="D1064" s="6"/>
      <c r="E1064" s="6"/>
      <c r="I1064" s="6"/>
    </row>
    <row r="1065">
      <c r="A1065" s="1"/>
      <c r="D1065" s="6"/>
      <c r="E1065" s="6"/>
      <c r="I1065" s="6"/>
    </row>
    <row r="1066">
      <c r="A1066" s="1"/>
      <c r="D1066" s="6"/>
      <c r="E1066" s="6"/>
      <c r="I1066" s="6"/>
    </row>
    <row r="1067">
      <c r="A1067" s="1"/>
      <c r="D1067" s="6"/>
      <c r="E1067" s="6"/>
      <c r="I1067" s="6"/>
    </row>
    <row r="1068">
      <c r="A1068" s="1"/>
      <c r="D1068" s="6"/>
      <c r="E1068" s="6"/>
      <c r="I1068" s="6"/>
    </row>
    <row r="1069">
      <c r="A1069" s="1"/>
      <c r="D1069" s="6"/>
      <c r="E1069" s="6"/>
      <c r="I1069" s="6"/>
    </row>
    <row r="1070">
      <c r="A1070" s="1"/>
      <c r="D1070" s="6"/>
      <c r="E1070" s="6"/>
      <c r="I1070" s="6"/>
    </row>
    <row r="1071">
      <c r="A1071" s="1"/>
      <c r="D1071" s="6"/>
      <c r="E1071" s="6"/>
      <c r="I1071" s="6"/>
    </row>
    <row r="1072">
      <c r="A1072" s="1"/>
      <c r="D1072" s="6"/>
      <c r="E1072" s="6"/>
      <c r="I1072" s="6"/>
    </row>
    <row r="1073">
      <c r="A1073" s="1"/>
      <c r="D1073" s="6"/>
      <c r="E1073" s="6"/>
      <c r="I1073" s="6"/>
    </row>
    <row r="1074">
      <c r="A1074" s="1"/>
      <c r="D1074" s="6"/>
      <c r="E1074" s="6"/>
      <c r="I1074" s="6"/>
    </row>
    <row r="1075">
      <c r="A1075" s="34"/>
      <c r="C1075" s="5" t="str">
        <f>IFERROR(VLOOKUP(B1075,'Overall Bean Summary'!A$2:B$36,2,FALSE),"")</f>
        <v/>
      </c>
      <c r="D1075" s="6" t="str">
        <f t="shared" ref="D1075:D1096" si="7">IF(A1075 &lt;&gt; "", IF(C1075 = "Spicy", D1074, IF(C1075 = "Good", D1074+1, 0)), "")</f>
        <v/>
      </c>
      <c r="E1075" s="6" t="str">
        <f t="shared" ref="E1075:E1096" si="8">IF(A1075 &lt;&gt; "", IF(C1075 = "Spicy", E1074, IF(C1075 = "Bad", E1074+1 , 0)), "")</f>
        <v/>
      </c>
      <c r="F1075" s="5" t="str">
        <f t="shared" ref="F1075:F1096" si="9">IF(B1075 &lt;&gt; "", if(B1075 = B1074, F1074+1, 1) ,"")</f>
        <v/>
      </c>
      <c r="G1075" s="5" t="str">
        <f t="shared" ref="G1075:G1096" si="10">IF(C1075 &lt;&gt; "", IF(DAY(A1074) = DAY(A1075), G1074+1, 1) ,"")</f>
        <v/>
      </c>
      <c r="H1075" s="5" t="str">
        <f t="shared" ref="H1075:H1096" si="11">IF(C1075 &lt;&gt; "", IF(MONTH(A1074) = MONTH(A1075), H1074+1, 1) ,"")</f>
        <v/>
      </c>
      <c r="I1075" s="6" t="str">
        <f t="shared" ref="I1075:I1096" si="12">IF(C1075 &lt;&gt; "", IF(YEAR(A1074) = YEAR(A1075), I1074+1, 1) ,"")</f>
        <v/>
      </c>
    </row>
    <row r="1076">
      <c r="A1076" s="34"/>
      <c r="C1076" s="5" t="str">
        <f>IFERROR(VLOOKUP(B1076,'Overall Bean Summary'!A$2:B$36,2,FALSE),"")</f>
        <v/>
      </c>
      <c r="D1076" s="6" t="str">
        <f t="shared" si="7"/>
        <v/>
      </c>
      <c r="E1076" s="6" t="str">
        <f t="shared" si="8"/>
        <v/>
      </c>
      <c r="F1076" s="5" t="str">
        <f t="shared" si="9"/>
        <v/>
      </c>
      <c r="G1076" s="5" t="str">
        <f t="shared" si="10"/>
        <v/>
      </c>
      <c r="H1076" s="5" t="str">
        <f t="shared" si="11"/>
        <v/>
      </c>
      <c r="I1076" s="6" t="str">
        <f t="shared" si="12"/>
        <v/>
      </c>
    </row>
    <row r="1077">
      <c r="A1077" s="34"/>
      <c r="C1077" s="5" t="str">
        <f>IFERROR(VLOOKUP(B1077,'Overall Bean Summary'!A$2:B$36,2,FALSE),"")</f>
        <v/>
      </c>
      <c r="D1077" s="6" t="str">
        <f t="shared" si="7"/>
        <v/>
      </c>
      <c r="E1077" s="6" t="str">
        <f t="shared" si="8"/>
        <v/>
      </c>
      <c r="F1077" s="5" t="str">
        <f t="shared" si="9"/>
        <v/>
      </c>
      <c r="G1077" s="5" t="str">
        <f t="shared" si="10"/>
        <v/>
      </c>
      <c r="H1077" s="5" t="str">
        <f t="shared" si="11"/>
        <v/>
      </c>
      <c r="I1077" s="6" t="str">
        <f t="shared" si="12"/>
        <v/>
      </c>
    </row>
    <row r="1078">
      <c r="A1078" s="34"/>
      <c r="C1078" s="5" t="str">
        <f>IFERROR(VLOOKUP(B1078,'Overall Bean Summary'!A$2:B$36,2,FALSE),"")</f>
        <v/>
      </c>
      <c r="D1078" s="6" t="str">
        <f t="shared" si="7"/>
        <v/>
      </c>
      <c r="E1078" s="6" t="str">
        <f t="shared" si="8"/>
        <v/>
      </c>
      <c r="F1078" s="5" t="str">
        <f t="shared" si="9"/>
        <v/>
      </c>
      <c r="G1078" s="5" t="str">
        <f t="shared" si="10"/>
        <v/>
      </c>
      <c r="H1078" s="5" t="str">
        <f t="shared" si="11"/>
        <v/>
      </c>
      <c r="I1078" s="6" t="str">
        <f t="shared" si="12"/>
        <v/>
      </c>
    </row>
    <row r="1079">
      <c r="A1079" s="34"/>
      <c r="C1079" s="5" t="str">
        <f>IFERROR(VLOOKUP(B1079,'Overall Bean Summary'!A$2:B$36,2,FALSE),"")</f>
        <v/>
      </c>
      <c r="D1079" s="6" t="str">
        <f t="shared" si="7"/>
        <v/>
      </c>
      <c r="E1079" s="6" t="str">
        <f t="shared" si="8"/>
        <v/>
      </c>
      <c r="F1079" s="5" t="str">
        <f t="shared" si="9"/>
        <v/>
      </c>
      <c r="G1079" s="5" t="str">
        <f t="shared" si="10"/>
        <v/>
      </c>
      <c r="H1079" s="5" t="str">
        <f t="shared" si="11"/>
        <v/>
      </c>
      <c r="I1079" s="6" t="str">
        <f t="shared" si="12"/>
        <v/>
      </c>
    </row>
    <row r="1080">
      <c r="A1080" s="34"/>
      <c r="C1080" s="5" t="str">
        <f>IFERROR(VLOOKUP(B1080,'Overall Bean Summary'!A$2:B$36,2,FALSE),"")</f>
        <v/>
      </c>
      <c r="D1080" s="6" t="str">
        <f t="shared" si="7"/>
        <v/>
      </c>
      <c r="E1080" s="6" t="str">
        <f t="shared" si="8"/>
        <v/>
      </c>
      <c r="F1080" s="5" t="str">
        <f t="shared" si="9"/>
        <v/>
      </c>
      <c r="G1080" s="5" t="str">
        <f t="shared" si="10"/>
        <v/>
      </c>
      <c r="H1080" s="5" t="str">
        <f t="shared" si="11"/>
        <v/>
      </c>
      <c r="I1080" s="6" t="str">
        <f t="shared" si="12"/>
        <v/>
      </c>
    </row>
    <row r="1081">
      <c r="A1081" s="34"/>
      <c r="C1081" s="5" t="str">
        <f>IFERROR(VLOOKUP(B1081,'Overall Bean Summary'!A$2:B$36,2,FALSE),"")</f>
        <v/>
      </c>
      <c r="D1081" s="6" t="str">
        <f t="shared" si="7"/>
        <v/>
      </c>
      <c r="E1081" s="6" t="str">
        <f t="shared" si="8"/>
        <v/>
      </c>
      <c r="F1081" s="5" t="str">
        <f t="shared" si="9"/>
        <v/>
      </c>
      <c r="G1081" s="5" t="str">
        <f t="shared" si="10"/>
        <v/>
      </c>
      <c r="H1081" s="5" t="str">
        <f t="shared" si="11"/>
        <v/>
      </c>
      <c r="I1081" s="6" t="str">
        <f t="shared" si="12"/>
        <v/>
      </c>
    </row>
    <row r="1082">
      <c r="A1082" s="34"/>
      <c r="C1082" s="5" t="str">
        <f>IFERROR(VLOOKUP(B1082,'Overall Bean Summary'!A$2:B$36,2,FALSE),"")</f>
        <v/>
      </c>
      <c r="D1082" s="6" t="str">
        <f t="shared" si="7"/>
        <v/>
      </c>
      <c r="E1082" s="6" t="str">
        <f t="shared" si="8"/>
        <v/>
      </c>
      <c r="F1082" s="5" t="str">
        <f t="shared" si="9"/>
        <v/>
      </c>
      <c r="G1082" s="5" t="str">
        <f t="shared" si="10"/>
        <v/>
      </c>
      <c r="H1082" s="5" t="str">
        <f t="shared" si="11"/>
        <v/>
      </c>
      <c r="I1082" s="6" t="str">
        <f t="shared" si="12"/>
        <v/>
      </c>
    </row>
    <row r="1083">
      <c r="A1083" s="34"/>
      <c r="C1083" s="5" t="str">
        <f>IFERROR(VLOOKUP(B1083,'Overall Bean Summary'!A$2:B$36,2,FALSE),"")</f>
        <v/>
      </c>
      <c r="D1083" s="6" t="str">
        <f t="shared" si="7"/>
        <v/>
      </c>
      <c r="E1083" s="6" t="str">
        <f t="shared" si="8"/>
        <v/>
      </c>
      <c r="F1083" s="5" t="str">
        <f t="shared" si="9"/>
        <v/>
      </c>
      <c r="G1083" s="5" t="str">
        <f t="shared" si="10"/>
        <v/>
      </c>
      <c r="H1083" s="5" t="str">
        <f t="shared" si="11"/>
        <v/>
      </c>
      <c r="I1083" s="6" t="str">
        <f t="shared" si="12"/>
        <v/>
      </c>
    </row>
    <row r="1084">
      <c r="A1084" s="34"/>
      <c r="C1084" s="5" t="str">
        <f>IFERROR(VLOOKUP(B1084,'Overall Bean Summary'!A$2:B$36,2,FALSE),"")</f>
        <v/>
      </c>
      <c r="D1084" s="6" t="str">
        <f t="shared" si="7"/>
        <v/>
      </c>
      <c r="E1084" s="6" t="str">
        <f t="shared" si="8"/>
        <v/>
      </c>
      <c r="F1084" s="5" t="str">
        <f t="shared" si="9"/>
        <v/>
      </c>
      <c r="G1084" s="5" t="str">
        <f t="shared" si="10"/>
        <v/>
      </c>
      <c r="H1084" s="5" t="str">
        <f t="shared" si="11"/>
        <v/>
      </c>
      <c r="I1084" s="6" t="str">
        <f t="shared" si="12"/>
        <v/>
      </c>
    </row>
    <row r="1085">
      <c r="A1085" s="34"/>
      <c r="C1085" s="5" t="str">
        <f>IFERROR(VLOOKUP(B1085,'Overall Bean Summary'!A$2:B$36,2,FALSE),"")</f>
        <v/>
      </c>
      <c r="D1085" s="6" t="str">
        <f t="shared" si="7"/>
        <v/>
      </c>
      <c r="E1085" s="6" t="str">
        <f t="shared" si="8"/>
        <v/>
      </c>
      <c r="F1085" s="5" t="str">
        <f t="shared" si="9"/>
        <v/>
      </c>
      <c r="G1085" s="5" t="str">
        <f t="shared" si="10"/>
        <v/>
      </c>
      <c r="H1085" s="5" t="str">
        <f t="shared" si="11"/>
        <v/>
      </c>
      <c r="I1085" s="6" t="str">
        <f t="shared" si="12"/>
        <v/>
      </c>
    </row>
    <row r="1086">
      <c r="A1086" s="34"/>
      <c r="C1086" s="5" t="str">
        <f>IFERROR(VLOOKUP(B1086,'Overall Bean Summary'!A$2:B$36,2,FALSE),"")</f>
        <v/>
      </c>
      <c r="D1086" s="6" t="str">
        <f t="shared" si="7"/>
        <v/>
      </c>
      <c r="E1086" s="6" t="str">
        <f t="shared" si="8"/>
        <v/>
      </c>
      <c r="F1086" s="5" t="str">
        <f t="shared" si="9"/>
        <v/>
      </c>
      <c r="G1086" s="5" t="str">
        <f t="shared" si="10"/>
        <v/>
      </c>
      <c r="H1086" s="5" t="str">
        <f t="shared" si="11"/>
        <v/>
      </c>
      <c r="I1086" s="6" t="str">
        <f t="shared" si="12"/>
        <v/>
      </c>
    </row>
    <row r="1087">
      <c r="A1087" s="34"/>
      <c r="C1087" s="5" t="str">
        <f>IFERROR(VLOOKUP(B1087,'Overall Bean Summary'!A$2:B$36,2,FALSE),"")</f>
        <v/>
      </c>
      <c r="D1087" s="6" t="str">
        <f t="shared" si="7"/>
        <v/>
      </c>
      <c r="E1087" s="6" t="str">
        <f t="shared" si="8"/>
        <v/>
      </c>
      <c r="F1087" s="5" t="str">
        <f t="shared" si="9"/>
        <v/>
      </c>
      <c r="G1087" s="5" t="str">
        <f t="shared" si="10"/>
        <v/>
      </c>
      <c r="H1087" s="5" t="str">
        <f t="shared" si="11"/>
        <v/>
      </c>
      <c r="I1087" s="6" t="str">
        <f t="shared" si="12"/>
        <v/>
      </c>
    </row>
    <row r="1088">
      <c r="A1088" s="34"/>
      <c r="C1088" s="5" t="str">
        <f>IFERROR(VLOOKUP(B1088,'Overall Bean Summary'!A$2:B$36,2,FALSE),"")</f>
        <v/>
      </c>
      <c r="D1088" s="6" t="str">
        <f t="shared" si="7"/>
        <v/>
      </c>
      <c r="E1088" s="6" t="str">
        <f t="shared" si="8"/>
        <v/>
      </c>
      <c r="F1088" s="5" t="str">
        <f t="shared" si="9"/>
        <v/>
      </c>
      <c r="G1088" s="5" t="str">
        <f t="shared" si="10"/>
        <v/>
      </c>
      <c r="H1088" s="5" t="str">
        <f t="shared" si="11"/>
        <v/>
      </c>
      <c r="I1088" s="6" t="str">
        <f t="shared" si="12"/>
        <v/>
      </c>
    </row>
    <row r="1089">
      <c r="A1089" s="34"/>
      <c r="C1089" s="5" t="str">
        <f>IFERROR(VLOOKUP(B1089,'Overall Bean Summary'!A$2:B$36,2,FALSE),"")</f>
        <v/>
      </c>
      <c r="D1089" s="6" t="str">
        <f t="shared" si="7"/>
        <v/>
      </c>
      <c r="E1089" s="6" t="str">
        <f t="shared" si="8"/>
        <v/>
      </c>
      <c r="F1089" s="5" t="str">
        <f t="shared" si="9"/>
        <v/>
      </c>
      <c r="G1089" s="5" t="str">
        <f t="shared" si="10"/>
        <v/>
      </c>
      <c r="H1089" s="5" t="str">
        <f t="shared" si="11"/>
        <v/>
      </c>
      <c r="I1089" s="6" t="str">
        <f t="shared" si="12"/>
        <v/>
      </c>
    </row>
    <row r="1090">
      <c r="A1090" s="34"/>
      <c r="C1090" s="5" t="str">
        <f>IFERROR(VLOOKUP(B1090,'Overall Bean Summary'!A$2:B$36,2,FALSE),"")</f>
        <v/>
      </c>
      <c r="D1090" s="6" t="str">
        <f t="shared" si="7"/>
        <v/>
      </c>
      <c r="E1090" s="6" t="str">
        <f t="shared" si="8"/>
        <v/>
      </c>
      <c r="F1090" s="5" t="str">
        <f t="shared" si="9"/>
        <v/>
      </c>
      <c r="G1090" s="5" t="str">
        <f t="shared" si="10"/>
        <v/>
      </c>
      <c r="H1090" s="5" t="str">
        <f t="shared" si="11"/>
        <v/>
      </c>
      <c r="I1090" s="6" t="str">
        <f t="shared" si="12"/>
        <v/>
      </c>
    </row>
    <row r="1091">
      <c r="A1091" s="34"/>
      <c r="C1091" s="5" t="str">
        <f>IFERROR(VLOOKUP(B1091,'Overall Bean Summary'!A$2:B$36,2,FALSE),"")</f>
        <v/>
      </c>
      <c r="D1091" s="6" t="str">
        <f t="shared" si="7"/>
        <v/>
      </c>
      <c r="E1091" s="6" t="str">
        <f t="shared" si="8"/>
        <v/>
      </c>
      <c r="F1091" s="5" t="str">
        <f t="shared" si="9"/>
        <v/>
      </c>
      <c r="G1091" s="5" t="str">
        <f t="shared" si="10"/>
        <v/>
      </c>
      <c r="H1091" s="5" t="str">
        <f t="shared" si="11"/>
        <v/>
      </c>
      <c r="I1091" s="6" t="str">
        <f t="shared" si="12"/>
        <v/>
      </c>
    </row>
    <row r="1092">
      <c r="A1092" s="34"/>
      <c r="C1092" s="5" t="str">
        <f>IFERROR(VLOOKUP(B1092,'Overall Bean Summary'!A$2:B$36,2,FALSE),"")</f>
        <v/>
      </c>
      <c r="D1092" s="6" t="str">
        <f t="shared" si="7"/>
        <v/>
      </c>
      <c r="E1092" s="6" t="str">
        <f t="shared" si="8"/>
        <v/>
      </c>
      <c r="F1092" s="5" t="str">
        <f t="shared" si="9"/>
        <v/>
      </c>
      <c r="G1092" s="5" t="str">
        <f t="shared" si="10"/>
        <v/>
      </c>
      <c r="H1092" s="5" t="str">
        <f t="shared" si="11"/>
        <v/>
      </c>
      <c r="I1092" s="6" t="str">
        <f t="shared" si="12"/>
        <v/>
      </c>
    </row>
    <row r="1093">
      <c r="A1093" s="34"/>
      <c r="C1093" s="5" t="str">
        <f>IFERROR(VLOOKUP(B1093,'Overall Bean Summary'!A$2:B$36,2,FALSE),"")</f>
        <v/>
      </c>
      <c r="D1093" s="6" t="str">
        <f t="shared" si="7"/>
        <v/>
      </c>
      <c r="E1093" s="6" t="str">
        <f t="shared" si="8"/>
        <v/>
      </c>
      <c r="F1093" s="5" t="str">
        <f t="shared" si="9"/>
        <v/>
      </c>
      <c r="G1093" s="5" t="str">
        <f t="shared" si="10"/>
        <v/>
      </c>
      <c r="H1093" s="5" t="str">
        <f t="shared" si="11"/>
        <v/>
      </c>
      <c r="I1093" s="6" t="str">
        <f t="shared" si="12"/>
        <v/>
      </c>
    </row>
    <row r="1094">
      <c r="A1094" s="34"/>
      <c r="C1094" s="5" t="str">
        <f>IFERROR(VLOOKUP(B1094,'Overall Bean Summary'!A$2:B$36,2,FALSE),"")</f>
        <v/>
      </c>
      <c r="D1094" s="6" t="str">
        <f t="shared" si="7"/>
        <v/>
      </c>
      <c r="E1094" s="6" t="str">
        <f t="shared" si="8"/>
        <v/>
      </c>
      <c r="F1094" s="5" t="str">
        <f t="shared" si="9"/>
        <v/>
      </c>
      <c r="G1094" s="5" t="str">
        <f t="shared" si="10"/>
        <v/>
      </c>
      <c r="H1094" s="5" t="str">
        <f t="shared" si="11"/>
        <v/>
      </c>
      <c r="I1094" s="6" t="str">
        <f t="shared" si="12"/>
        <v/>
      </c>
    </row>
    <row r="1095">
      <c r="A1095" s="34"/>
      <c r="C1095" s="5" t="str">
        <f>IFERROR(VLOOKUP(B1095,'Overall Bean Summary'!A$2:B$36,2,FALSE),"")</f>
        <v/>
      </c>
      <c r="D1095" s="6" t="str">
        <f t="shared" si="7"/>
        <v/>
      </c>
      <c r="E1095" s="6" t="str">
        <f t="shared" si="8"/>
        <v/>
      </c>
      <c r="F1095" s="5" t="str">
        <f t="shared" si="9"/>
        <v/>
      </c>
      <c r="G1095" s="5" t="str">
        <f t="shared" si="10"/>
        <v/>
      </c>
      <c r="H1095" s="5" t="str">
        <f t="shared" si="11"/>
        <v/>
      </c>
      <c r="I1095" s="6" t="str">
        <f t="shared" si="12"/>
        <v/>
      </c>
    </row>
    <row r="1096">
      <c r="A1096" s="34"/>
      <c r="C1096" s="5" t="str">
        <f>IFERROR(VLOOKUP(B1096,'Overall Bean Summary'!A$2:B$36,2,FALSE),"")</f>
        <v/>
      </c>
      <c r="D1096" s="6" t="str">
        <f t="shared" si="7"/>
        <v/>
      </c>
      <c r="E1096" s="6" t="str">
        <f t="shared" si="8"/>
        <v/>
      </c>
      <c r="F1096" s="5" t="str">
        <f t="shared" si="9"/>
        <v/>
      </c>
      <c r="G1096" s="5" t="str">
        <f t="shared" si="10"/>
        <v/>
      </c>
      <c r="H1096" s="5" t="str">
        <f t="shared" si="11"/>
        <v/>
      </c>
      <c r="I1096" s="6" t="str">
        <f t="shared" si="12"/>
        <v/>
      </c>
    </row>
    <row r="1097">
      <c r="A1097" s="34"/>
      <c r="C1097" s="5" t="str">
        <f>IFERROR(VLOOKUP(B1097,'Overall Bean Summary'!A$2:B$36,2,FALSE),"")</f>
        <v/>
      </c>
      <c r="D1097" s="6"/>
      <c r="E1097" s="6"/>
      <c r="F1097" s="5"/>
      <c r="G1097" s="5"/>
      <c r="H1097" s="5"/>
      <c r="I1097" s="6"/>
    </row>
    <row r="1098">
      <c r="A1098" s="34"/>
      <c r="C1098" s="5" t="str">
        <f>IFERROR(VLOOKUP(B1098,'Overall Bean Summary'!A$2:B$36,2,FALSE),"")</f>
        <v/>
      </c>
      <c r="D1098" s="6"/>
      <c r="E1098" s="6"/>
      <c r="F1098" s="5"/>
      <c r="G1098" s="5"/>
      <c r="H1098" s="5"/>
      <c r="I1098" s="6"/>
    </row>
    <row r="1099">
      <c r="A1099" s="34"/>
      <c r="C1099" s="5" t="str">
        <f>IFERROR(VLOOKUP(B1099,'Overall Bean Summary'!A$2:B$36,2,FALSE),"")</f>
        <v/>
      </c>
      <c r="D1099" s="6"/>
      <c r="E1099" s="6"/>
      <c r="F1099" s="5"/>
      <c r="G1099" s="5"/>
      <c r="H1099" s="5"/>
      <c r="I1099" s="6"/>
    </row>
    <row r="1100">
      <c r="A1100" s="34"/>
      <c r="C1100" s="5" t="str">
        <f>IFERROR(VLOOKUP(B1100,'Overall Bean Summary'!A$2:B$36,2,FALSE),"")</f>
        <v/>
      </c>
      <c r="D1100" s="6"/>
      <c r="E1100" s="6"/>
      <c r="F1100" s="5"/>
      <c r="G1100" s="5"/>
      <c r="H1100" s="5"/>
      <c r="I1100" s="6"/>
    </row>
    <row r="1101">
      <c r="A1101" s="34"/>
      <c r="C1101" s="5" t="str">
        <f>IFERROR(VLOOKUP(B1101,'Overall Bean Summary'!A$2:B$36,2,FALSE),"")</f>
        <v/>
      </c>
      <c r="D1101" s="6"/>
      <c r="E1101" s="6"/>
      <c r="F1101" s="5"/>
      <c r="G1101" s="5"/>
      <c r="H1101" s="5"/>
      <c r="I1101" s="6"/>
    </row>
  </sheetData>
  <autoFilter ref="$C$1:$C$110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81</v>
      </c>
      <c r="C1" s="5" t="s">
        <v>16</v>
      </c>
      <c r="D1" s="5" t="s">
        <v>21</v>
      </c>
      <c r="E1" s="5" t="s">
        <v>27</v>
      </c>
      <c r="F1" s="5"/>
      <c r="G1" s="5" t="s">
        <v>82</v>
      </c>
      <c r="H1" s="5" t="s">
        <v>83</v>
      </c>
    </row>
    <row r="2">
      <c r="A2" s="34">
        <f>Beans!A2</f>
        <v>44852</v>
      </c>
      <c r="B2" s="35">
        <f>if(A2&lt;&gt;"", COUNTIFS(Beans!A:A, A2), "")</f>
        <v>1</v>
      </c>
      <c r="C2" s="35">
        <f>if(A2&lt;&gt;"", COUNTIFS(Beans!A:A, A2, Beans!C:C, "Good" ), "")</f>
        <v>0</v>
      </c>
      <c r="D2" s="35">
        <f>if(A2&lt;&gt;"", COUNTIFS(Beans!A:A, A2, Beans!C:C, "Bad" ), "")</f>
        <v>1</v>
      </c>
      <c r="E2" s="35">
        <f>if(A2&lt;&gt;"", COUNTIFS(Beans!A:A, A2, Beans!C:C, "Spicy" ), "")</f>
        <v>0</v>
      </c>
      <c r="G2" s="5">
        <v>1.0</v>
      </c>
      <c r="H2" s="35">
        <f t="shared" ref="H2:H35" si="1">COUNTIFS(B:B, G2)</f>
        <v>200</v>
      </c>
    </row>
    <row r="3">
      <c r="A3" s="34">
        <f t="shared" ref="A3:A1000" si="2">IF(A2&gt;=TODAY(), "", A2+1)</f>
        <v>44853</v>
      </c>
      <c r="B3" s="35">
        <f>if(A3&lt;&gt;"", COUNTIFS(Beans!A:A, A3), "")</f>
        <v>1</v>
      </c>
      <c r="C3" s="35">
        <f>if(A3&lt;&gt;"", COUNTIFS(Beans!A:A, A3, Beans!C:C, "Good" ), "")</f>
        <v>1</v>
      </c>
      <c r="D3" s="35">
        <f>if(A3&lt;&gt;"", COUNTIFS(Beans!A:A, A3, Beans!C:C, "Bad" ), "")</f>
        <v>0</v>
      </c>
      <c r="E3" s="35">
        <f>if(A3&lt;&gt;"", COUNTIFS(Beans!A:A, A3, Beans!C:C, "Spicy" ), "")</f>
        <v>0</v>
      </c>
      <c r="G3" s="5">
        <v>2.0</v>
      </c>
      <c r="H3" s="35">
        <f t="shared" si="1"/>
        <v>91</v>
      </c>
    </row>
    <row r="4">
      <c r="A4" s="34">
        <f t="shared" si="2"/>
        <v>44854</v>
      </c>
      <c r="B4" s="35">
        <f>if(A4&lt;&gt;"", COUNTIFS(Beans!A:A, A4), "")</f>
        <v>1</v>
      </c>
      <c r="C4" s="35">
        <f>if(A4&lt;&gt;"", COUNTIFS(Beans!A:A, A4, Beans!C:C, "Good" ), "")</f>
        <v>0</v>
      </c>
      <c r="D4" s="35">
        <f>if(A4&lt;&gt;"", COUNTIFS(Beans!A:A, A4, Beans!C:C, "Bad" ), "")</f>
        <v>1</v>
      </c>
      <c r="E4" s="35">
        <f>if(A4&lt;&gt;"", COUNTIFS(Beans!A:A, A4, Beans!C:C, "Spicy" ), "")</f>
        <v>0</v>
      </c>
      <c r="G4" s="5">
        <v>3.0</v>
      </c>
      <c r="H4" s="35">
        <f t="shared" si="1"/>
        <v>60</v>
      </c>
    </row>
    <row r="5">
      <c r="A5" s="34">
        <f t="shared" si="2"/>
        <v>44855</v>
      </c>
      <c r="B5" s="35">
        <f>if(A5&lt;&gt;"", COUNTIFS(Beans!A:A, A5), "")</f>
        <v>1</v>
      </c>
      <c r="C5" s="35">
        <f>if(A5&lt;&gt;"", COUNTIFS(Beans!A:A, A5, Beans!C:C, "Good" ), "")</f>
        <v>1</v>
      </c>
      <c r="D5" s="35">
        <f>if(A5&lt;&gt;"", COUNTIFS(Beans!A:A, A5, Beans!C:C, "Bad" ), "")</f>
        <v>0</v>
      </c>
      <c r="E5" s="35">
        <f>if(A5&lt;&gt;"", COUNTIFS(Beans!A:A, A5, Beans!C:C, "Spicy" ), "")</f>
        <v>0</v>
      </c>
      <c r="G5" s="5">
        <v>4.0</v>
      </c>
      <c r="H5" s="35">
        <f t="shared" si="1"/>
        <v>28</v>
      </c>
    </row>
    <row r="6">
      <c r="A6" s="34">
        <f t="shared" si="2"/>
        <v>44856</v>
      </c>
      <c r="B6" s="35">
        <f>if(A6&lt;&gt;"", COUNTIFS(Beans!A:A, A6), "")</f>
        <v>0</v>
      </c>
      <c r="C6" s="35">
        <f>if(A6&lt;&gt;"", COUNTIFS(Beans!A:A, A6, Beans!C:C, "Good" ), "")</f>
        <v>0</v>
      </c>
      <c r="D6" s="35">
        <f>if(A6&lt;&gt;"", COUNTIFS(Beans!A:A, A6, Beans!C:C, "Bad" ), "")</f>
        <v>0</v>
      </c>
      <c r="E6" s="35">
        <f>if(A6&lt;&gt;"", COUNTIFS(Beans!A:A, A6, Beans!C:C, "Spicy" ), "")</f>
        <v>0</v>
      </c>
      <c r="G6" s="5">
        <v>5.0</v>
      </c>
      <c r="H6" s="35">
        <f t="shared" si="1"/>
        <v>10</v>
      </c>
    </row>
    <row r="7">
      <c r="A7" s="34">
        <f t="shared" si="2"/>
        <v>44857</v>
      </c>
      <c r="B7" s="35">
        <f>if(A7&lt;&gt;"", COUNTIFS(Beans!A:A, A7), "")</f>
        <v>0</v>
      </c>
      <c r="C7" s="35">
        <f>if(A7&lt;&gt;"", COUNTIFS(Beans!A:A, A7, Beans!C:C, "Good" ), "")</f>
        <v>0</v>
      </c>
      <c r="D7" s="35">
        <f>if(A7&lt;&gt;"", COUNTIFS(Beans!A:A, A7, Beans!C:C, "Bad" ), "")</f>
        <v>0</v>
      </c>
      <c r="E7" s="35">
        <f>if(A7&lt;&gt;"", COUNTIFS(Beans!A:A, A7, Beans!C:C, "Spicy" ), "")</f>
        <v>0</v>
      </c>
      <c r="G7" s="5">
        <v>6.0</v>
      </c>
      <c r="H7" s="35">
        <f t="shared" si="1"/>
        <v>13</v>
      </c>
    </row>
    <row r="8">
      <c r="A8" s="34">
        <f t="shared" si="2"/>
        <v>44858</v>
      </c>
      <c r="B8" s="35">
        <f>if(A8&lt;&gt;"", COUNTIFS(Beans!A:A, A8), "")</f>
        <v>1</v>
      </c>
      <c r="C8" s="35">
        <f>if(A8&lt;&gt;"", COUNTIFS(Beans!A:A, A8, Beans!C:C, "Good" ), "")</f>
        <v>0</v>
      </c>
      <c r="D8" s="35">
        <f>if(A8&lt;&gt;"", COUNTIFS(Beans!A:A, A8, Beans!C:C, "Bad" ), "")</f>
        <v>1</v>
      </c>
      <c r="E8" s="35">
        <f>if(A8&lt;&gt;"", COUNTIFS(Beans!A:A, A8, Beans!C:C, "Spicy" ), "")</f>
        <v>0</v>
      </c>
      <c r="G8" s="5">
        <v>7.0</v>
      </c>
      <c r="H8" s="35">
        <f t="shared" si="1"/>
        <v>5</v>
      </c>
    </row>
    <row r="9">
      <c r="A9" s="34">
        <f t="shared" si="2"/>
        <v>44859</v>
      </c>
      <c r="B9" s="35">
        <f>if(A9&lt;&gt;"", COUNTIFS(Beans!A:A, A9), "")</f>
        <v>1</v>
      </c>
      <c r="C9" s="35">
        <f>if(A9&lt;&gt;"", COUNTIFS(Beans!A:A, A9, Beans!C:C, "Good" ), "")</f>
        <v>0</v>
      </c>
      <c r="D9" s="35">
        <f>if(A9&lt;&gt;"", COUNTIFS(Beans!A:A, A9, Beans!C:C, "Bad" ), "")</f>
        <v>1</v>
      </c>
      <c r="E9" s="35">
        <f>if(A9&lt;&gt;"", COUNTIFS(Beans!A:A, A9, Beans!C:C, "Spicy" ), "")</f>
        <v>0</v>
      </c>
      <c r="G9" s="5">
        <v>8.0</v>
      </c>
      <c r="H9" s="35">
        <f t="shared" si="1"/>
        <v>6</v>
      </c>
    </row>
    <row r="10">
      <c r="A10" s="34">
        <f t="shared" si="2"/>
        <v>44860</v>
      </c>
      <c r="B10" s="35">
        <f>if(A10&lt;&gt;"", COUNTIFS(Beans!A:A, A10), "")</f>
        <v>1</v>
      </c>
      <c r="C10" s="35">
        <f>if(A10&lt;&gt;"", COUNTIFS(Beans!A:A, A10, Beans!C:C, "Good" ), "")</f>
        <v>1</v>
      </c>
      <c r="D10" s="35">
        <f>if(A10&lt;&gt;"", COUNTIFS(Beans!A:A, A10, Beans!C:C, "Bad" ), "")</f>
        <v>0</v>
      </c>
      <c r="E10" s="35">
        <f>if(A10&lt;&gt;"", COUNTIFS(Beans!A:A, A10, Beans!C:C, "Spicy" ), "")</f>
        <v>0</v>
      </c>
      <c r="G10" s="5">
        <v>9.0</v>
      </c>
      <c r="H10" s="35">
        <f t="shared" si="1"/>
        <v>4</v>
      </c>
    </row>
    <row r="11">
      <c r="A11" s="34">
        <f t="shared" si="2"/>
        <v>44861</v>
      </c>
      <c r="B11" s="35">
        <f>if(A11&lt;&gt;"", COUNTIFS(Beans!A:A, A11), "")</f>
        <v>1</v>
      </c>
      <c r="C11" s="35">
        <f>if(A11&lt;&gt;"", COUNTIFS(Beans!A:A, A11, Beans!C:C, "Good" ), "")</f>
        <v>1</v>
      </c>
      <c r="D11" s="35">
        <f>if(A11&lt;&gt;"", COUNTIFS(Beans!A:A, A11, Beans!C:C, "Bad" ), "")</f>
        <v>0</v>
      </c>
      <c r="E11" s="35">
        <f>if(A11&lt;&gt;"", COUNTIFS(Beans!A:A, A11, Beans!C:C, "Spicy" ), "")</f>
        <v>0</v>
      </c>
      <c r="G11" s="5">
        <v>10.0</v>
      </c>
      <c r="H11" s="35">
        <f t="shared" si="1"/>
        <v>2</v>
      </c>
    </row>
    <row r="12">
      <c r="A12" s="34">
        <f t="shared" si="2"/>
        <v>44862</v>
      </c>
      <c r="B12" s="35">
        <f>if(A12&lt;&gt;"", COUNTIFS(Beans!A:A, A12), "")</f>
        <v>1</v>
      </c>
      <c r="C12" s="35">
        <f>if(A12&lt;&gt;"", COUNTIFS(Beans!A:A, A12, Beans!C:C, "Good" ), "")</f>
        <v>0</v>
      </c>
      <c r="D12" s="35">
        <f>if(A12&lt;&gt;"", COUNTIFS(Beans!A:A, A12, Beans!C:C, "Bad" ), "")</f>
        <v>1</v>
      </c>
      <c r="E12" s="35">
        <f>if(A12&lt;&gt;"", COUNTIFS(Beans!A:A, A12, Beans!C:C, "Spicy" ), "")</f>
        <v>0</v>
      </c>
      <c r="G12" s="5">
        <v>11.0</v>
      </c>
      <c r="H12" s="35">
        <f t="shared" si="1"/>
        <v>0</v>
      </c>
    </row>
    <row r="13">
      <c r="A13" s="34">
        <f t="shared" si="2"/>
        <v>44863</v>
      </c>
      <c r="B13" s="35">
        <f>if(A13&lt;&gt;"", COUNTIFS(Beans!A:A, A13), "")</f>
        <v>0</v>
      </c>
      <c r="C13" s="35">
        <f>if(A13&lt;&gt;"", COUNTIFS(Beans!A:A, A13, Beans!C:C, "Good" ), "")</f>
        <v>0</v>
      </c>
      <c r="D13" s="35">
        <f>if(A13&lt;&gt;"", COUNTIFS(Beans!A:A, A13, Beans!C:C, "Bad" ), "")</f>
        <v>0</v>
      </c>
      <c r="E13" s="35">
        <f>if(A13&lt;&gt;"", COUNTIFS(Beans!A:A, A13, Beans!C:C, "Spicy" ), "")</f>
        <v>0</v>
      </c>
      <c r="G13" s="5">
        <v>12.0</v>
      </c>
      <c r="H13" s="35">
        <f t="shared" si="1"/>
        <v>0</v>
      </c>
    </row>
    <row r="14">
      <c r="A14" s="34">
        <f t="shared" si="2"/>
        <v>44864</v>
      </c>
      <c r="B14" s="35">
        <f>if(A14&lt;&gt;"", COUNTIFS(Beans!A:A, A14), "")</f>
        <v>0</v>
      </c>
      <c r="C14" s="35">
        <f>if(A14&lt;&gt;"", COUNTIFS(Beans!A:A, A14, Beans!C:C, "Good" ), "")</f>
        <v>0</v>
      </c>
      <c r="D14" s="35">
        <f>if(A14&lt;&gt;"", COUNTIFS(Beans!A:A, A14, Beans!C:C, "Bad" ), "")</f>
        <v>0</v>
      </c>
      <c r="E14" s="35">
        <f>if(A14&lt;&gt;"", COUNTIFS(Beans!A:A, A14, Beans!C:C, "Spicy" ), "")</f>
        <v>0</v>
      </c>
      <c r="G14" s="5">
        <v>13.0</v>
      </c>
      <c r="H14" s="35">
        <f t="shared" si="1"/>
        <v>1</v>
      </c>
    </row>
    <row r="15">
      <c r="A15" s="34">
        <f t="shared" si="2"/>
        <v>44865</v>
      </c>
      <c r="B15" s="35">
        <f>if(A15&lt;&gt;"", COUNTIFS(Beans!A:A, A15), "")</f>
        <v>1</v>
      </c>
      <c r="C15" s="35">
        <f>if(A15&lt;&gt;"", COUNTIFS(Beans!A:A, A15, Beans!C:C, "Good" ), "")</f>
        <v>1</v>
      </c>
      <c r="D15" s="35">
        <f>if(A15&lt;&gt;"", COUNTIFS(Beans!A:A, A15, Beans!C:C, "Bad" ), "")</f>
        <v>0</v>
      </c>
      <c r="E15" s="35">
        <f>if(A15&lt;&gt;"", COUNTIFS(Beans!A:A, A15, Beans!C:C, "Spicy" ), "")</f>
        <v>0</v>
      </c>
      <c r="G15" s="5">
        <v>14.0</v>
      </c>
      <c r="H15" s="35">
        <f t="shared" si="1"/>
        <v>1</v>
      </c>
    </row>
    <row r="16">
      <c r="A16" s="34">
        <f t="shared" si="2"/>
        <v>44866</v>
      </c>
      <c r="B16" s="35">
        <f>if(A16&lt;&gt;"", COUNTIFS(Beans!A:A, A16), "")</f>
        <v>1</v>
      </c>
      <c r="C16" s="35">
        <f>if(A16&lt;&gt;"", COUNTIFS(Beans!A:A, A16, Beans!C:C, "Good" ), "")</f>
        <v>0</v>
      </c>
      <c r="D16" s="35">
        <f>if(A16&lt;&gt;"", COUNTIFS(Beans!A:A, A16, Beans!C:C, "Bad" ), "")</f>
        <v>1</v>
      </c>
      <c r="E16" s="35">
        <f>if(A16&lt;&gt;"", COUNTIFS(Beans!A:A, A16, Beans!C:C, "Spicy" ), "")</f>
        <v>0</v>
      </c>
      <c r="G16" s="5">
        <v>15.0</v>
      </c>
      <c r="H16" s="35">
        <f t="shared" si="1"/>
        <v>1</v>
      </c>
    </row>
    <row r="17">
      <c r="A17" s="34">
        <f t="shared" si="2"/>
        <v>44867</v>
      </c>
      <c r="B17" s="35">
        <f>if(A17&lt;&gt;"", COUNTIFS(Beans!A:A, A17), "")</f>
        <v>1</v>
      </c>
      <c r="C17" s="35">
        <f>if(A17&lt;&gt;"", COUNTIFS(Beans!A:A, A17, Beans!C:C, "Good" ), "")</f>
        <v>1</v>
      </c>
      <c r="D17" s="35">
        <f>if(A17&lt;&gt;"", COUNTIFS(Beans!A:A, A17, Beans!C:C, "Bad" ), "")</f>
        <v>0</v>
      </c>
      <c r="E17" s="35">
        <f>if(A17&lt;&gt;"", COUNTIFS(Beans!A:A, A17, Beans!C:C, "Spicy" ), "")</f>
        <v>0</v>
      </c>
      <c r="G17" s="5">
        <v>16.0</v>
      </c>
      <c r="H17" s="35">
        <f t="shared" si="1"/>
        <v>0</v>
      </c>
    </row>
    <row r="18">
      <c r="A18" s="34">
        <f t="shared" si="2"/>
        <v>44868</v>
      </c>
      <c r="B18" s="35">
        <f>if(A18&lt;&gt;"", COUNTIFS(Beans!A:A, A18), "")</f>
        <v>1</v>
      </c>
      <c r="C18" s="35">
        <f>if(A18&lt;&gt;"", COUNTIFS(Beans!A:A, A18, Beans!C:C, "Good" ), "")</f>
        <v>1</v>
      </c>
      <c r="D18" s="35">
        <f>if(A18&lt;&gt;"", COUNTIFS(Beans!A:A, A18, Beans!C:C, "Bad" ), "")</f>
        <v>0</v>
      </c>
      <c r="E18" s="35">
        <f>if(A18&lt;&gt;"", COUNTIFS(Beans!A:A, A18, Beans!C:C, "Spicy" ), "")</f>
        <v>0</v>
      </c>
      <c r="G18" s="5">
        <v>17.0</v>
      </c>
      <c r="H18" s="35">
        <f t="shared" si="1"/>
        <v>1</v>
      </c>
    </row>
    <row r="19">
      <c r="A19" s="34">
        <f t="shared" si="2"/>
        <v>44869</v>
      </c>
      <c r="B19" s="35">
        <f>if(A19&lt;&gt;"", COUNTIFS(Beans!A:A, A19), "")</f>
        <v>1</v>
      </c>
      <c r="C19" s="35">
        <f>if(A19&lt;&gt;"", COUNTIFS(Beans!A:A, A19, Beans!C:C, "Good" ), "")</f>
        <v>1</v>
      </c>
      <c r="D19" s="35">
        <f>if(A19&lt;&gt;"", COUNTIFS(Beans!A:A, A19, Beans!C:C, "Bad" ), "")</f>
        <v>0</v>
      </c>
      <c r="E19" s="35">
        <f>if(A19&lt;&gt;"", COUNTIFS(Beans!A:A, A19, Beans!C:C, "Spicy" ), "")</f>
        <v>0</v>
      </c>
      <c r="G19" s="5">
        <v>18.0</v>
      </c>
      <c r="H19" s="35">
        <f t="shared" si="1"/>
        <v>0</v>
      </c>
    </row>
    <row r="20">
      <c r="A20" s="34">
        <f t="shared" si="2"/>
        <v>44870</v>
      </c>
      <c r="B20" s="35">
        <f>if(A20&lt;&gt;"", COUNTIFS(Beans!A:A, A20), "")</f>
        <v>0</v>
      </c>
      <c r="C20" s="35">
        <f>if(A20&lt;&gt;"", COUNTIFS(Beans!A:A, A20, Beans!C:C, "Good" ), "")</f>
        <v>0</v>
      </c>
      <c r="D20" s="35">
        <f>if(A20&lt;&gt;"", COUNTIFS(Beans!A:A, A20, Beans!C:C, "Bad" ), "")</f>
        <v>0</v>
      </c>
      <c r="E20" s="35">
        <f>if(A20&lt;&gt;"", COUNTIFS(Beans!A:A, A20, Beans!C:C, "Spicy" ), "")</f>
        <v>0</v>
      </c>
      <c r="G20" s="5">
        <v>19.0</v>
      </c>
      <c r="H20" s="35">
        <f t="shared" si="1"/>
        <v>0</v>
      </c>
    </row>
    <row r="21">
      <c r="A21" s="34">
        <f t="shared" si="2"/>
        <v>44871</v>
      </c>
      <c r="B21" s="35">
        <f>if(A21&lt;&gt;"", COUNTIFS(Beans!A:A, A21), "")</f>
        <v>0</v>
      </c>
      <c r="C21" s="35">
        <f>if(A21&lt;&gt;"", COUNTIFS(Beans!A:A, A21, Beans!C:C, "Good" ), "")</f>
        <v>0</v>
      </c>
      <c r="D21" s="35">
        <f>if(A21&lt;&gt;"", COUNTIFS(Beans!A:A, A21, Beans!C:C, "Bad" ), "")</f>
        <v>0</v>
      </c>
      <c r="E21" s="35">
        <f>if(A21&lt;&gt;"", COUNTIFS(Beans!A:A, A21, Beans!C:C, "Spicy" ), "")</f>
        <v>0</v>
      </c>
      <c r="G21" s="5">
        <v>20.0</v>
      </c>
      <c r="H21" s="35">
        <f t="shared" si="1"/>
        <v>0</v>
      </c>
    </row>
    <row r="22">
      <c r="A22" s="34">
        <f t="shared" si="2"/>
        <v>44872</v>
      </c>
      <c r="B22" s="35">
        <f>if(A22&lt;&gt;"", COUNTIFS(Beans!A:A, A22), "")</f>
        <v>1</v>
      </c>
      <c r="C22" s="35">
        <f>if(A22&lt;&gt;"", COUNTIFS(Beans!A:A, A22, Beans!C:C, "Good" ), "")</f>
        <v>0</v>
      </c>
      <c r="D22" s="35">
        <f>if(A22&lt;&gt;"", COUNTIFS(Beans!A:A, A22, Beans!C:C, "Bad" ), "")</f>
        <v>1</v>
      </c>
      <c r="E22" s="35">
        <f>if(A22&lt;&gt;"", COUNTIFS(Beans!A:A, A22, Beans!C:C, "Spicy" ), "")</f>
        <v>0</v>
      </c>
      <c r="G22" s="5">
        <v>21.0</v>
      </c>
      <c r="H22" s="35">
        <f t="shared" si="1"/>
        <v>0</v>
      </c>
    </row>
    <row r="23">
      <c r="A23" s="34">
        <f t="shared" si="2"/>
        <v>44873</v>
      </c>
      <c r="B23" s="35">
        <f>if(A23&lt;&gt;"", COUNTIFS(Beans!A:A, A23), "")</f>
        <v>1</v>
      </c>
      <c r="C23" s="35">
        <f>if(A23&lt;&gt;"", COUNTIFS(Beans!A:A, A23, Beans!C:C, "Good" ), "")</f>
        <v>1</v>
      </c>
      <c r="D23" s="35">
        <f>if(A23&lt;&gt;"", COUNTIFS(Beans!A:A, A23, Beans!C:C, "Bad" ), "")</f>
        <v>0</v>
      </c>
      <c r="E23" s="35">
        <f>if(A23&lt;&gt;"", COUNTIFS(Beans!A:A, A23, Beans!C:C, "Spicy" ), "")</f>
        <v>0</v>
      </c>
      <c r="G23" s="5">
        <v>22.0</v>
      </c>
      <c r="H23" s="35">
        <f t="shared" si="1"/>
        <v>1</v>
      </c>
    </row>
    <row r="24">
      <c r="A24" s="34">
        <f t="shared" si="2"/>
        <v>44874</v>
      </c>
      <c r="B24" s="35">
        <f>if(A24&lt;&gt;"", COUNTIFS(Beans!A:A, A24), "")</f>
        <v>1</v>
      </c>
      <c r="C24" s="35">
        <f>if(A24&lt;&gt;"", COUNTIFS(Beans!A:A, A24, Beans!C:C, "Good" ), "")</f>
        <v>0</v>
      </c>
      <c r="D24" s="35">
        <f>if(A24&lt;&gt;"", COUNTIFS(Beans!A:A, A24, Beans!C:C, "Bad" ), "")</f>
        <v>1</v>
      </c>
      <c r="E24" s="35">
        <f>if(A24&lt;&gt;"", COUNTIFS(Beans!A:A, A24, Beans!C:C, "Spicy" ), "")</f>
        <v>0</v>
      </c>
      <c r="G24" s="5">
        <v>23.0</v>
      </c>
      <c r="H24" s="35">
        <f t="shared" si="1"/>
        <v>1</v>
      </c>
    </row>
    <row r="25">
      <c r="A25" s="34">
        <f t="shared" si="2"/>
        <v>44875</v>
      </c>
      <c r="B25" s="35">
        <f>if(A25&lt;&gt;"", COUNTIFS(Beans!A:A, A25), "")</f>
        <v>1</v>
      </c>
      <c r="C25" s="35">
        <f>if(A25&lt;&gt;"", COUNTIFS(Beans!A:A, A25, Beans!C:C, "Good" ), "")</f>
        <v>0</v>
      </c>
      <c r="D25" s="35">
        <f>if(A25&lt;&gt;"", COUNTIFS(Beans!A:A, A25, Beans!C:C, "Bad" ), "")</f>
        <v>1</v>
      </c>
      <c r="E25" s="35">
        <f>if(A25&lt;&gt;"", COUNTIFS(Beans!A:A, A25, Beans!C:C, "Spicy" ), "")</f>
        <v>0</v>
      </c>
      <c r="G25" s="5">
        <v>24.0</v>
      </c>
      <c r="H25" s="35">
        <f t="shared" si="1"/>
        <v>0</v>
      </c>
    </row>
    <row r="26">
      <c r="A26" s="34">
        <f t="shared" si="2"/>
        <v>44876</v>
      </c>
      <c r="B26" s="35">
        <f>if(A26&lt;&gt;"", COUNTIFS(Beans!A:A, A26), "")</f>
        <v>1</v>
      </c>
      <c r="C26" s="35">
        <f>if(A26&lt;&gt;"", COUNTIFS(Beans!A:A, A26, Beans!C:C, "Good" ), "")</f>
        <v>0</v>
      </c>
      <c r="D26" s="35">
        <f>if(A26&lt;&gt;"", COUNTIFS(Beans!A:A, A26, Beans!C:C, "Bad" ), "")</f>
        <v>1</v>
      </c>
      <c r="E26" s="35">
        <f>if(A26&lt;&gt;"", COUNTIFS(Beans!A:A, A26, Beans!C:C, "Spicy" ), "")</f>
        <v>0</v>
      </c>
      <c r="G26" s="5">
        <v>25.0</v>
      </c>
      <c r="H26" s="35">
        <f t="shared" si="1"/>
        <v>0</v>
      </c>
    </row>
    <row r="27">
      <c r="A27" s="34">
        <f t="shared" si="2"/>
        <v>44877</v>
      </c>
      <c r="B27" s="35">
        <f>if(A27&lt;&gt;"", COUNTIFS(Beans!A:A, A27), "")</f>
        <v>0</v>
      </c>
      <c r="C27" s="35">
        <f>if(A27&lt;&gt;"", COUNTIFS(Beans!A:A, A27, Beans!C:C, "Good" ), "")</f>
        <v>0</v>
      </c>
      <c r="D27" s="35">
        <f>if(A27&lt;&gt;"", COUNTIFS(Beans!A:A, A27, Beans!C:C, "Bad" ), "")</f>
        <v>0</v>
      </c>
      <c r="E27" s="35">
        <f>if(A27&lt;&gt;"", COUNTIFS(Beans!A:A, A27, Beans!C:C, "Spicy" ), "")</f>
        <v>0</v>
      </c>
      <c r="G27" s="35">
        <f t="shared" ref="G27:G35" si="3">G26+1</f>
        <v>26</v>
      </c>
      <c r="H27" s="35">
        <f t="shared" si="1"/>
        <v>0</v>
      </c>
    </row>
    <row r="28">
      <c r="A28" s="34">
        <f t="shared" si="2"/>
        <v>44878</v>
      </c>
      <c r="B28" s="35">
        <f>if(A28&lt;&gt;"", COUNTIFS(Beans!A:A, A28), "")</f>
        <v>0</v>
      </c>
      <c r="C28" s="35">
        <f>if(A28&lt;&gt;"", COUNTIFS(Beans!A:A, A28, Beans!C:C, "Good" ), "")</f>
        <v>0</v>
      </c>
      <c r="D28" s="35">
        <f>if(A28&lt;&gt;"", COUNTIFS(Beans!A:A, A28, Beans!C:C, "Bad" ), "")</f>
        <v>0</v>
      </c>
      <c r="E28" s="35">
        <f>if(A28&lt;&gt;"", COUNTIFS(Beans!A:A, A28, Beans!C:C, "Spicy" ), "")</f>
        <v>0</v>
      </c>
      <c r="G28" s="35">
        <f t="shared" si="3"/>
        <v>27</v>
      </c>
      <c r="H28" s="35">
        <f t="shared" si="1"/>
        <v>0</v>
      </c>
    </row>
    <row r="29">
      <c r="A29" s="34">
        <f t="shared" si="2"/>
        <v>44879</v>
      </c>
      <c r="B29" s="35">
        <f>if(A29&lt;&gt;"", COUNTIFS(Beans!A:A, A29), "")</f>
        <v>1</v>
      </c>
      <c r="C29" s="35">
        <f>if(A29&lt;&gt;"", COUNTIFS(Beans!A:A, A29, Beans!C:C, "Good" ), "")</f>
        <v>1</v>
      </c>
      <c r="D29" s="35">
        <f>if(A29&lt;&gt;"", COUNTIFS(Beans!A:A, A29, Beans!C:C, "Bad" ), "")</f>
        <v>0</v>
      </c>
      <c r="E29" s="35">
        <f>if(A29&lt;&gt;"", COUNTIFS(Beans!A:A, A29, Beans!C:C, "Spicy" ), "")</f>
        <v>0</v>
      </c>
      <c r="G29" s="35">
        <f t="shared" si="3"/>
        <v>28</v>
      </c>
      <c r="H29" s="35">
        <f t="shared" si="1"/>
        <v>0</v>
      </c>
    </row>
    <row r="30">
      <c r="A30" s="34">
        <f t="shared" si="2"/>
        <v>44880</v>
      </c>
      <c r="B30" s="35">
        <f>if(A30&lt;&gt;"", COUNTIFS(Beans!A:A, A30), "")</f>
        <v>1</v>
      </c>
      <c r="C30" s="35">
        <f>if(A30&lt;&gt;"", COUNTIFS(Beans!A:A, A30, Beans!C:C, "Good" ), "")</f>
        <v>0</v>
      </c>
      <c r="D30" s="35">
        <f>if(A30&lt;&gt;"", COUNTIFS(Beans!A:A, A30, Beans!C:C, "Bad" ), "")</f>
        <v>1</v>
      </c>
      <c r="E30" s="35">
        <f>if(A30&lt;&gt;"", COUNTIFS(Beans!A:A, A30, Beans!C:C, "Spicy" ), "")</f>
        <v>0</v>
      </c>
      <c r="G30" s="35">
        <f t="shared" si="3"/>
        <v>29</v>
      </c>
      <c r="H30" s="35">
        <f t="shared" si="1"/>
        <v>0</v>
      </c>
    </row>
    <row r="31">
      <c r="A31" s="34">
        <f t="shared" si="2"/>
        <v>44881</v>
      </c>
      <c r="B31" s="35">
        <f>if(A31&lt;&gt;"", COUNTIFS(Beans!A:A, A31), "")</f>
        <v>1</v>
      </c>
      <c r="C31" s="35">
        <f>if(A31&lt;&gt;"", COUNTIFS(Beans!A:A, A31, Beans!C:C, "Good" ), "")</f>
        <v>1</v>
      </c>
      <c r="D31" s="35">
        <f>if(A31&lt;&gt;"", COUNTIFS(Beans!A:A, A31, Beans!C:C, "Bad" ), "")</f>
        <v>0</v>
      </c>
      <c r="E31" s="35">
        <f>if(A31&lt;&gt;"", COUNTIFS(Beans!A:A, A31, Beans!C:C, "Spicy" ), "")</f>
        <v>0</v>
      </c>
      <c r="G31" s="35">
        <f t="shared" si="3"/>
        <v>30</v>
      </c>
      <c r="H31" s="35">
        <f t="shared" si="1"/>
        <v>0</v>
      </c>
    </row>
    <row r="32">
      <c r="A32" s="34">
        <f t="shared" si="2"/>
        <v>44882</v>
      </c>
      <c r="B32" s="35">
        <f>if(A32&lt;&gt;"", COUNTIFS(Beans!A:A, A32), "")</f>
        <v>2</v>
      </c>
      <c r="C32" s="35">
        <f>if(A32&lt;&gt;"", COUNTIFS(Beans!A:A, A32, Beans!C:C, "Good" ), "")</f>
        <v>1</v>
      </c>
      <c r="D32" s="35">
        <f>if(A32&lt;&gt;"", COUNTIFS(Beans!A:A, A32, Beans!C:C, "Bad" ), "")</f>
        <v>1</v>
      </c>
      <c r="E32" s="35">
        <f>if(A32&lt;&gt;"", COUNTIFS(Beans!A:A, A32, Beans!C:C, "Spicy" ), "")</f>
        <v>0</v>
      </c>
      <c r="G32" s="35">
        <f t="shared" si="3"/>
        <v>31</v>
      </c>
      <c r="H32" s="35">
        <f t="shared" si="1"/>
        <v>0</v>
      </c>
    </row>
    <row r="33">
      <c r="A33" s="34">
        <f t="shared" si="2"/>
        <v>44883</v>
      </c>
      <c r="B33" s="35">
        <f>if(A33&lt;&gt;"", COUNTIFS(Beans!A:A, A33), "")</f>
        <v>1</v>
      </c>
      <c r="C33" s="35">
        <f>if(A33&lt;&gt;"", COUNTIFS(Beans!A:A, A33, Beans!C:C, "Good" ), "")</f>
        <v>0</v>
      </c>
      <c r="D33" s="35">
        <f>if(A33&lt;&gt;"", COUNTIFS(Beans!A:A, A33, Beans!C:C, "Bad" ), "")</f>
        <v>1</v>
      </c>
      <c r="E33" s="35">
        <f>if(A33&lt;&gt;"", COUNTIFS(Beans!A:A, A33, Beans!C:C, "Spicy" ), "")</f>
        <v>0</v>
      </c>
      <c r="G33" s="35">
        <f t="shared" si="3"/>
        <v>32</v>
      </c>
      <c r="H33" s="35">
        <f t="shared" si="1"/>
        <v>0</v>
      </c>
    </row>
    <row r="34">
      <c r="A34" s="34">
        <f t="shared" si="2"/>
        <v>44884</v>
      </c>
      <c r="B34" s="35">
        <f>if(A34&lt;&gt;"", COUNTIFS(Beans!A:A, A34), "")</f>
        <v>0</v>
      </c>
      <c r="C34" s="35">
        <f>if(A34&lt;&gt;"", COUNTIFS(Beans!A:A, A34, Beans!C:C, "Good" ), "")</f>
        <v>0</v>
      </c>
      <c r="D34" s="35">
        <f>if(A34&lt;&gt;"", COUNTIFS(Beans!A:A, A34, Beans!C:C, "Bad" ), "")</f>
        <v>0</v>
      </c>
      <c r="E34" s="35">
        <f>if(A34&lt;&gt;"", COUNTIFS(Beans!A:A, A34, Beans!C:C, "Spicy" ), "")</f>
        <v>0</v>
      </c>
      <c r="G34" s="35">
        <f t="shared" si="3"/>
        <v>33</v>
      </c>
      <c r="H34" s="35">
        <f t="shared" si="1"/>
        <v>1</v>
      </c>
    </row>
    <row r="35">
      <c r="A35" s="34">
        <f t="shared" si="2"/>
        <v>44885</v>
      </c>
      <c r="B35" s="35">
        <f>if(A35&lt;&gt;"", COUNTIFS(Beans!A:A, A35), "")</f>
        <v>0</v>
      </c>
      <c r="C35" s="35">
        <f>if(A35&lt;&gt;"", COUNTIFS(Beans!A:A, A35, Beans!C:C, "Good" ), "")</f>
        <v>0</v>
      </c>
      <c r="D35" s="35">
        <f>if(A35&lt;&gt;"", COUNTIFS(Beans!A:A, A35, Beans!C:C, "Bad" ), "")</f>
        <v>0</v>
      </c>
      <c r="E35" s="35">
        <f>if(A35&lt;&gt;"", COUNTIFS(Beans!A:A, A35, Beans!C:C, "Spicy" ), "")</f>
        <v>0</v>
      </c>
      <c r="G35" s="35">
        <f t="shared" si="3"/>
        <v>34</v>
      </c>
      <c r="H35" s="35">
        <f t="shared" si="1"/>
        <v>0</v>
      </c>
    </row>
    <row r="36">
      <c r="A36" s="34">
        <f t="shared" si="2"/>
        <v>44886</v>
      </c>
      <c r="B36" s="35">
        <f>if(A36&lt;&gt;"", COUNTIFS(Beans!A:A, A36), "")</f>
        <v>1</v>
      </c>
      <c r="C36" s="35">
        <f>if(A36&lt;&gt;"", COUNTIFS(Beans!A:A, A36, Beans!C:C, "Good" ), "")</f>
        <v>0</v>
      </c>
      <c r="D36" s="35">
        <f>if(A36&lt;&gt;"", COUNTIFS(Beans!A:A, A36, Beans!C:C, "Bad" ), "")</f>
        <v>1</v>
      </c>
      <c r="E36" s="35">
        <f>if(A36&lt;&gt;"", COUNTIFS(Beans!A:A, A36, Beans!C:C, "Spicy" ), "")</f>
        <v>0</v>
      </c>
      <c r="H36" s="35">
        <f>SUM(H2:H35)</f>
        <v>426</v>
      </c>
      <c r="I36" s="35">
        <f>'Overall Bean Summary'!N7-H36</f>
        <v>787</v>
      </c>
    </row>
    <row r="37">
      <c r="A37" s="34">
        <f t="shared" si="2"/>
        <v>44887</v>
      </c>
      <c r="B37" s="35">
        <f>if(A37&lt;&gt;"", COUNTIFS(Beans!A:A, A37), "")</f>
        <v>1</v>
      </c>
      <c r="C37" s="35">
        <f>if(A37&lt;&gt;"", COUNTIFS(Beans!A:A, A37, Beans!C:C, "Good" ), "")</f>
        <v>0</v>
      </c>
      <c r="D37" s="35">
        <f>if(A37&lt;&gt;"", COUNTIFS(Beans!A:A, A37, Beans!C:C, "Bad" ), "")</f>
        <v>1</v>
      </c>
      <c r="E37" s="35">
        <f>if(A37&lt;&gt;"", COUNTIFS(Beans!A:A, A37, Beans!C:C, "Spicy" ), "")</f>
        <v>0</v>
      </c>
    </row>
    <row r="38">
      <c r="A38" s="34">
        <f t="shared" si="2"/>
        <v>44888</v>
      </c>
      <c r="B38" s="35">
        <f>if(A38&lt;&gt;"", COUNTIFS(Beans!A:A, A38), "")</f>
        <v>1</v>
      </c>
      <c r="C38" s="35">
        <f>if(A38&lt;&gt;"", COUNTIFS(Beans!A:A, A38, Beans!C:C, "Good" ), "")</f>
        <v>0</v>
      </c>
      <c r="D38" s="35">
        <f>if(A38&lt;&gt;"", COUNTIFS(Beans!A:A, A38, Beans!C:C, "Bad" ), "")</f>
        <v>1</v>
      </c>
      <c r="E38" s="35">
        <f>if(A38&lt;&gt;"", COUNTIFS(Beans!A:A, A38, Beans!C:C, "Spicy" ), "")</f>
        <v>0</v>
      </c>
    </row>
    <row r="39">
      <c r="A39" s="34">
        <f t="shared" si="2"/>
        <v>44889</v>
      </c>
      <c r="B39" s="35">
        <f>if(A39&lt;&gt;"", COUNTIFS(Beans!A:A, A39), "")</f>
        <v>1</v>
      </c>
      <c r="C39" s="35">
        <f>if(A39&lt;&gt;"", COUNTIFS(Beans!A:A, A39, Beans!C:C, "Good" ), "")</f>
        <v>0</v>
      </c>
      <c r="D39" s="35">
        <f>if(A39&lt;&gt;"", COUNTIFS(Beans!A:A, A39, Beans!C:C, "Bad" ), "")</f>
        <v>1</v>
      </c>
      <c r="E39" s="35">
        <f>if(A39&lt;&gt;"", COUNTIFS(Beans!A:A, A39, Beans!C:C, "Spicy" ), "")</f>
        <v>0</v>
      </c>
    </row>
    <row r="40">
      <c r="A40" s="34">
        <f t="shared" si="2"/>
        <v>44890</v>
      </c>
      <c r="B40" s="35">
        <f>if(A40&lt;&gt;"", COUNTIFS(Beans!A:A, A40), "")</f>
        <v>2</v>
      </c>
      <c r="C40" s="35">
        <f>if(A40&lt;&gt;"", COUNTIFS(Beans!A:A, A40, Beans!C:C, "Good" ), "")</f>
        <v>0</v>
      </c>
      <c r="D40" s="35">
        <f>if(A40&lt;&gt;"", COUNTIFS(Beans!A:A, A40, Beans!C:C, "Bad" ), "")</f>
        <v>2</v>
      </c>
      <c r="E40" s="35">
        <f>if(A40&lt;&gt;"", COUNTIFS(Beans!A:A, A40, Beans!C:C, "Spicy" ), "")</f>
        <v>0</v>
      </c>
    </row>
    <row r="41">
      <c r="A41" s="34">
        <f t="shared" si="2"/>
        <v>44891</v>
      </c>
      <c r="B41" s="35">
        <f>if(A41&lt;&gt;"", COUNTIFS(Beans!A:A, A41), "")</f>
        <v>0</v>
      </c>
      <c r="C41" s="35">
        <f>if(A41&lt;&gt;"", COUNTIFS(Beans!A:A, A41, Beans!C:C, "Good" ), "")</f>
        <v>0</v>
      </c>
      <c r="D41" s="35">
        <f>if(A41&lt;&gt;"", COUNTIFS(Beans!A:A, A41, Beans!C:C, "Bad" ), "")</f>
        <v>0</v>
      </c>
      <c r="E41" s="35">
        <f>if(A41&lt;&gt;"", COUNTIFS(Beans!A:A, A41, Beans!C:C, "Spicy" ), "")</f>
        <v>0</v>
      </c>
    </row>
    <row r="42">
      <c r="A42" s="34">
        <f t="shared" si="2"/>
        <v>44892</v>
      </c>
      <c r="B42" s="35">
        <f>if(A42&lt;&gt;"", COUNTIFS(Beans!A:A, A42), "")</f>
        <v>0</v>
      </c>
      <c r="C42" s="35">
        <f>if(A42&lt;&gt;"", COUNTIFS(Beans!A:A, A42, Beans!C:C, "Good" ), "")</f>
        <v>0</v>
      </c>
      <c r="D42" s="35">
        <f>if(A42&lt;&gt;"", COUNTIFS(Beans!A:A, A42, Beans!C:C, "Bad" ), "")</f>
        <v>0</v>
      </c>
      <c r="E42" s="35">
        <f>if(A42&lt;&gt;"", COUNTIFS(Beans!A:A, A42, Beans!C:C, "Spicy" ), "")</f>
        <v>0</v>
      </c>
    </row>
    <row r="43">
      <c r="A43" s="34">
        <f t="shared" si="2"/>
        <v>44893</v>
      </c>
      <c r="B43" s="35">
        <f>if(A43&lt;&gt;"", COUNTIFS(Beans!A:A, A43), "")</f>
        <v>1</v>
      </c>
      <c r="C43" s="35">
        <f>if(A43&lt;&gt;"", COUNTIFS(Beans!A:A, A43, Beans!C:C, "Good" ), "")</f>
        <v>0</v>
      </c>
      <c r="D43" s="35">
        <f>if(A43&lt;&gt;"", COUNTIFS(Beans!A:A, A43, Beans!C:C, "Bad" ), "")</f>
        <v>1</v>
      </c>
      <c r="E43" s="35">
        <f>if(A43&lt;&gt;"", COUNTIFS(Beans!A:A, A43, Beans!C:C, "Spicy" ), "")</f>
        <v>0</v>
      </c>
    </row>
    <row r="44">
      <c r="A44" s="34">
        <f t="shared" si="2"/>
        <v>44894</v>
      </c>
      <c r="B44" s="35">
        <f>if(A44&lt;&gt;"", COUNTIFS(Beans!A:A, A44), "")</f>
        <v>1</v>
      </c>
      <c r="C44" s="35">
        <f>if(A44&lt;&gt;"", COUNTIFS(Beans!A:A, A44, Beans!C:C, "Good" ), "")</f>
        <v>0</v>
      </c>
      <c r="D44" s="35">
        <f>if(A44&lt;&gt;"", COUNTIFS(Beans!A:A, A44, Beans!C:C, "Bad" ), "")</f>
        <v>1</v>
      </c>
      <c r="E44" s="35">
        <f>if(A44&lt;&gt;"", COUNTIFS(Beans!A:A, A44, Beans!C:C, "Spicy" ), "")</f>
        <v>0</v>
      </c>
    </row>
    <row r="45">
      <c r="A45" s="34">
        <f t="shared" si="2"/>
        <v>44895</v>
      </c>
      <c r="B45" s="35">
        <f>if(A45&lt;&gt;"", COUNTIFS(Beans!A:A, A45), "")</f>
        <v>0</v>
      </c>
      <c r="C45" s="35">
        <f>if(A45&lt;&gt;"", COUNTIFS(Beans!A:A, A45, Beans!C:C, "Good" ), "")</f>
        <v>0</v>
      </c>
      <c r="D45" s="35">
        <f>if(A45&lt;&gt;"", COUNTIFS(Beans!A:A, A45, Beans!C:C, "Bad" ), "")</f>
        <v>0</v>
      </c>
      <c r="E45" s="35">
        <f>if(A45&lt;&gt;"", COUNTIFS(Beans!A:A, A45, Beans!C:C, "Spicy" ), "")</f>
        <v>0</v>
      </c>
    </row>
    <row r="46">
      <c r="A46" s="34">
        <f t="shared" si="2"/>
        <v>44896</v>
      </c>
      <c r="B46" s="35">
        <f>if(A46&lt;&gt;"", COUNTIFS(Beans!A:A, A46), "")</f>
        <v>1</v>
      </c>
      <c r="C46" s="35">
        <f>if(A46&lt;&gt;"", COUNTIFS(Beans!A:A, A46, Beans!C:C, "Good" ), "")</f>
        <v>1</v>
      </c>
      <c r="D46" s="35">
        <f>if(A46&lt;&gt;"", COUNTIFS(Beans!A:A, A46, Beans!C:C, "Bad" ), "")</f>
        <v>0</v>
      </c>
      <c r="E46" s="35">
        <f>if(A46&lt;&gt;"", COUNTIFS(Beans!A:A, A46, Beans!C:C, "Spicy" ), "")</f>
        <v>0</v>
      </c>
    </row>
    <row r="47">
      <c r="A47" s="34">
        <f t="shared" si="2"/>
        <v>44897</v>
      </c>
      <c r="B47" s="35">
        <f>if(A47&lt;&gt;"", COUNTIFS(Beans!A:A, A47), "")</f>
        <v>2</v>
      </c>
      <c r="C47" s="35">
        <f>if(A47&lt;&gt;"", COUNTIFS(Beans!A:A, A47, Beans!C:C, "Good" ), "")</f>
        <v>1</v>
      </c>
      <c r="D47" s="35">
        <f>if(A47&lt;&gt;"", COUNTIFS(Beans!A:A, A47, Beans!C:C, "Bad" ), "")</f>
        <v>1</v>
      </c>
      <c r="E47" s="35">
        <f>if(A47&lt;&gt;"", COUNTIFS(Beans!A:A, A47, Beans!C:C, "Spicy" ), "")</f>
        <v>0</v>
      </c>
    </row>
    <row r="48">
      <c r="A48" s="34">
        <f t="shared" si="2"/>
        <v>44898</v>
      </c>
      <c r="B48" s="35">
        <f>if(A48&lt;&gt;"", COUNTIFS(Beans!A:A, A48), "")</f>
        <v>0</v>
      </c>
      <c r="C48" s="35">
        <f>if(A48&lt;&gt;"", COUNTIFS(Beans!A:A, A48, Beans!C:C, "Good" ), "")</f>
        <v>0</v>
      </c>
      <c r="D48" s="35">
        <f>if(A48&lt;&gt;"", COUNTIFS(Beans!A:A, A48, Beans!C:C, "Bad" ), "")</f>
        <v>0</v>
      </c>
      <c r="E48" s="35">
        <f>if(A48&lt;&gt;"", COUNTIFS(Beans!A:A, A48, Beans!C:C, "Spicy" ), "")</f>
        <v>0</v>
      </c>
    </row>
    <row r="49">
      <c r="A49" s="34">
        <f t="shared" si="2"/>
        <v>44899</v>
      </c>
      <c r="B49" s="35">
        <f>if(A49&lt;&gt;"", COUNTIFS(Beans!A:A, A49), "")</f>
        <v>0</v>
      </c>
      <c r="C49" s="35">
        <f>if(A49&lt;&gt;"", COUNTIFS(Beans!A:A, A49, Beans!C:C, "Good" ), "")</f>
        <v>0</v>
      </c>
      <c r="D49" s="35">
        <f>if(A49&lt;&gt;"", COUNTIFS(Beans!A:A, A49, Beans!C:C, "Bad" ), "")</f>
        <v>0</v>
      </c>
      <c r="E49" s="35">
        <f>if(A49&lt;&gt;"", COUNTIFS(Beans!A:A, A49, Beans!C:C, "Spicy" ), "")</f>
        <v>0</v>
      </c>
    </row>
    <row r="50">
      <c r="A50" s="34">
        <f t="shared" si="2"/>
        <v>44900</v>
      </c>
      <c r="B50" s="35">
        <f>if(A50&lt;&gt;"", COUNTIFS(Beans!A:A, A50), "")</f>
        <v>3</v>
      </c>
      <c r="C50" s="35">
        <f>if(A50&lt;&gt;"", COUNTIFS(Beans!A:A, A50, Beans!C:C, "Good" ), "")</f>
        <v>0</v>
      </c>
      <c r="D50" s="35">
        <f>if(A50&lt;&gt;"", COUNTIFS(Beans!A:A, A50, Beans!C:C, "Bad" ), "")</f>
        <v>3</v>
      </c>
      <c r="E50" s="35">
        <f>if(A50&lt;&gt;"", COUNTIFS(Beans!A:A, A50, Beans!C:C, "Spicy" ), "")</f>
        <v>0</v>
      </c>
    </row>
    <row r="51">
      <c r="A51" s="34">
        <f t="shared" si="2"/>
        <v>44901</v>
      </c>
      <c r="B51" s="35">
        <f>if(A51&lt;&gt;"", COUNTIFS(Beans!A:A, A51), "")</f>
        <v>3</v>
      </c>
      <c r="C51" s="35">
        <f>if(A51&lt;&gt;"", COUNTIFS(Beans!A:A, A51, Beans!C:C, "Good" ), "")</f>
        <v>1</v>
      </c>
      <c r="D51" s="35">
        <f>if(A51&lt;&gt;"", COUNTIFS(Beans!A:A, A51, Beans!C:C, "Bad" ), "")</f>
        <v>2</v>
      </c>
      <c r="E51" s="35">
        <f>if(A51&lt;&gt;"", COUNTIFS(Beans!A:A, A51, Beans!C:C, "Spicy" ), "")</f>
        <v>0</v>
      </c>
    </row>
    <row r="52">
      <c r="A52" s="34">
        <f t="shared" si="2"/>
        <v>44902</v>
      </c>
      <c r="B52" s="35">
        <f>if(A52&lt;&gt;"", COUNTIFS(Beans!A:A, A52), "")</f>
        <v>1</v>
      </c>
      <c r="C52" s="35">
        <f>if(A52&lt;&gt;"", COUNTIFS(Beans!A:A, A52, Beans!C:C, "Good" ), "")</f>
        <v>0</v>
      </c>
      <c r="D52" s="35">
        <f>if(A52&lt;&gt;"", COUNTIFS(Beans!A:A, A52, Beans!C:C, "Bad" ), "")</f>
        <v>1</v>
      </c>
      <c r="E52" s="35">
        <f>if(A52&lt;&gt;"", COUNTIFS(Beans!A:A, A52, Beans!C:C, "Spicy" ), "")</f>
        <v>0</v>
      </c>
    </row>
    <row r="53">
      <c r="A53" s="34">
        <f t="shared" si="2"/>
        <v>44903</v>
      </c>
      <c r="B53" s="35">
        <f>if(A53&lt;&gt;"", COUNTIFS(Beans!A:A, A53), "")</f>
        <v>2</v>
      </c>
      <c r="C53" s="35">
        <f>if(A53&lt;&gt;"", COUNTIFS(Beans!A:A, A53, Beans!C:C, "Good" ), "")</f>
        <v>1</v>
      </c>
      <c r="D53" s="35">
        <f>if(A53&lt;&gt;"", COUNTIFS(Beans!A:A, A53, Beans!C:C, "Bad" ), "")</f>
        <v>1</v>
      </c>
      <c r="E53" s="35">
        <f>if(A53&lt;&gt;"", COUNTIFS(Beans!A:A, A53, Beans!C:C, "Spicy" ), "")</f>
        <v>0</v>
      </c>
    </row>
    <row r="54">
      <c r="A54" s="34">
        <f t="shared" si="2"/>
        <v>44904</v>
      </c>
      <c r="B54" s="35">
        <f>if(A54&lt;&gt;"", COUNTIFS(Beans!A:A, A54), "")</f>
        <v>1</v>
      </c>
      <c r="C54" s="35">
        <f>if(A54&lt;&gt;"", COUNTIFS(Beans!A:A, A54, Beans!C:C, "Good" ), "")</f>
        <v>1</v>
      </c>
      <c r="D54" s="35">
        <f>if(A54&lt;&gt;"", COUNTIFS(Beans!A:A, A54, Beans!C:C, "Bad" ), "")</f>
        <v>0</v>
      </c>
      <c r="E54" s="35">
        <f>if(A54&lt;&gt;"", COUNTIFS(Beans!A:A, A54, Beans!C:C, "Spicy" ), "")</f>
        <v>0</v>
      </c>
    </row>
    <row r="55">
      <c r="A55" s="34">
        <f t="shared" si="2"/>
        <v>44905</v>
      </c>
      <c r="B55" s="35">
        <f>if(A55&lt;&gt;"", COUNTIFS(Beans!A:A, A55), "")</f>
        <v>0</v>
      </c>
      <c r="C55" s="35">
        <f>if(A55&lt;&gt;"", COUNTIFS(Beans!A:A, A55, Beans!C:C, "Good" ), "")</f>
        <v>0</v>
      </c>
      <c r="D55" s="35">
        <f>if(A55&lt;&gt;"", COUNTIFS(Beans!A:A, A55, Beans!C:C, "Bad" ), "")</f>
        <v>0</v>
      </c>
      <c r="E55" s="35">
        <f>if(A55&lt;&gt;"", COUNTIFS(Beans!A:A, A55, Beans!C:C, "Spicy" ), "")</f>
        <v>0</v>
      </c>
    </row>
    <row r="56">
      <c r="A56" s="34">
        <f t="shared" si="2"/>
        <v>44906</v>
      </c>
      <c r="B56" s="35">
        <f>if(A56&lt;&gt;"", COUNTIFS(Beans!A:A, A56), "")</f>
        <v>0</v>
      </c>
      <c r="C56" s="35">
        <f>if(A56&lt;&gt;"", COUNTIFS(Beans!A:A, A56, Beans!C:C, "Good" ), "")</f>
        <v>0</v>
      </c>
      <c r="D56" s="35">
        <f>if(A56&lt;&gt;"", COUNTIFS(Beans!A:A, A56, Beans!C:C, "Bad" ), "")</f>
        <v>0</v>
      </c>
      <c r="E56" s="35">
        <f>if(A56&lt;&gt;"", COUNTIFS(Beans!A:A, A56, Beans!C:C, "Spicy" ), "")</f>
        <v>0</v>
      </c>
    </row>
    <row r="57">
      <c r="A57" s="34">
        <f t="shared" si="2"/>
        <v>44907</v>
      </c>
      <c r="B57" s="35">
        <f>if(A57&lt;&gt;"", COUNTIFS(Beans!A:A, A57), "")</f>
        <v>1</v>
      </c>
      <c r="C57" s="35">
        <f>if(A57&lt;&gt;"", COUNTIFS(Beans!A:A, A57, Beans!C:C, "Good" ), "")</f>
        <v>1</v>
      </c>
      <c r="D57" s="35">
        <f>if(A57&lt;&gt;"", COUNTIFS(Beans!A:A, A57, Beans!C:C, "Bad" ), "")</f>
        <v>0</v>
      </c>
      <c r="E57" s="35">
        <f>if(A57&lt;&gt;"", COUNTIFS(Beans!A:A, A57, Beans!C:C, "Spicy" ), "")</f>
        <v>0</v>
      </c>
    </row>
    <row r="58">
      <c r="A58" s="34">
        <f t="shared" si="2"/>
        <v>44908</v>
      </c>
      <c r="B58" s="35">
        <f>if(A58&lt;&gt;"", COUNTIFS(Beans!A:A, A58), "")</f>
        <v>2</v>
      </c>
      <c r="C58" s="35">
        <f>if(A58&lt;&gt;"", COUNTIFS(Beans!A:A, A58, Beans!C:C, "Good" ), "")</f>
        <v>0</v>
      </c>
      <c r="D58" s="35">
        <f>if(A58&lt;&gt;"", COUNTIFS(Beans!A:A, A58, Beans!C:C, "Bad" ), "")</f>
        <v>2</v>
      </c>
      <c r="E58" s="35">
        <f>if(A58&lt;&gt;"", COUNTIFS(Beans!A:A, A58, Beans!C:C, "Spicy" ), "")</f>
        <v>0</v>
      </c>
    </row>
    <row r="59">
      <c r="A59" s="34">
        <f t="shared" si="2"/>
        <v>44909</v>
      </c>
      <c r="B59" s="35">
        <f>if(A59&lt;&gt;"", COUNTIFS(Beans!A:A, A59), "")</f>
        <v>3</v>
      </c>
      <c r="C59" s="35">
        <f>if(A59&lt;&gt;"", COUNTIFS(Beans!A:A, A59, Beans!C:C, "Good" ), "")</f>
        <v>1</v>
      </c>
      <c r="D59" s="35">
        <f>if(A59&lt;&gt;"", COUNTIFS(Beans!A:A, A59, Beans!C:C, "Bad" ), "")</f>
        <v>2</v>
      </c>
      <c r="E59" s="35">
        <f>if(A59&lt;&gt;"", COUNTIFS(Beans!A:A, A59, Beans!C:C, "Spicy" ), "")</f>
        <v>0</v>
      </c>
    </row>
    <row r="60">
      <c r="A60" s="34">
        <f t="shared" si="2"/>
        <v>44910</v>
      </c>
      <c r="B60" s="35">
        <f>if(A60&lt;&gt;"", COUNTIFS(Beans!A:A, A60), "")</f>
        <v>1</v>
      </c>
      <c r="C60" s="35">
        <f>if(A60&lt;&gt;"", COUNTIFS(Beans!A:A, A60, Beans!C:C, "Good" ), "")</f>
        <v>0</v>
      </c>
      <c r="D60" s="35">
        <f>if(A60&lt;&gt;"", COUNTIFS(Beans!A:A, A60, Beans!C:C, "Bad" ), "")</f>
        <v>1</v>
      </c>
      <c r="E60" s="35">
        <f>if(A60&lt;&gt;"", COUNTIFS(Beans!A:A, A60, Beans!C:C, "Spicy" ), "")</f>
        <v>0</v>
      </c>
    </row>
    <row r="61">
      <c r="A61" s="34">
        <f t="shared" si="2"/>
        <v>44911</v>
      </c>
      <c r="B61" s="35">
        <f>if(A61&lt;&gt;"", COUNTIFS(Beans!A:A, A61), "")</f>
        <v>1</v>
      </c>
      <c r="C61" s="35">
        <f>if(A61&lt;&gt;"", COUNTIFS(Beans!A:A, A61, Beans!C:C, "Good" ), "")</f>
        <v>1</v>
      </c>
      <c r="D61" s="35">
        <f>if(A61&lt;&gt;"", COUNTIFS(Beans!A:A, A61, Beans!C:C, "Bad" ), "")</f>
        <v>0</v>
      </c>
      <c r="E61" s="35">
        <f>if(A61&lt;&gt;"", COUNTIFS(Beans!A:A, A61, Beans!C:C, "Spicy" ), "")</f>
        <v>0</v>
      </c>
    </row>
    <row r="62">
      <c r="A62" s="34">
        <f t="shared" si="2"/>
        <v>44912</v>
      </c>
      <c r="B62" s="35">
        <f>if(A62&lt;&gt;"", COUNTIFS(Beans!A:A, A62), "")</f>
        <v>0</v>
      </c>
      <c r="C62" s="35">
        <f>if(A62&lt;&gt;"", COUNTIFS(Beans!A:A, A62, Beans!C:C, "Good" ), "")</f>
        <v>0</v>
      </c>
      <c r="D62" s="35">
        <f>if(A62&lt;&gt;"", COUNTIFS(Beans!A:A, A62, Beans!C:C, "Bad" ), "")</f>
        <v>0</v>
      </c>
      <c r="E62" s="35">
        <f>if(A62&lt;&gt;"", COUNTIFS(Beans!A:A, A62, Beans!C:C, "Spicy" ), "")</f>
        <v>0</v>
      </c>
    </row>
    <row r="63">
      <c r="A63" s="34">
        <f t="shared" si="2"/>
        <v>44913</v>
      </c>
      <c r="B63" s="35">
        <f>if(A63&lt;&gt;"", COUNTIFS(Beans!A:A, A63), "")</f>
        <v>0</v>
      </c>
      <c r="C63" s="35">
        <f>if(A63&lt;&gt;"", COUNTIFS(Beans!A:A, A63, Beans!C:C, "Good" ), "")</f>
        <v>0</v>
      </c>
      <c r="D63" s="35">
        <f>if(A63&lt;&gt;"", COUNTIFS(Beans!A:A, A63, Beans!C:C, "Bad" ), "")</f>
        <v>0</v>
      </c>
      <c r="E63" s="35">
        <f>if(A63&lt;&gt;"", COUNTIFS(Beans!A:A, A63, Beans!C:C, "Spicy" ), "")</f>
        <v>0</v>
      </c>
    </row>
    <row r="64">
      <c r="A64" s="34">
        <f t="shared" si="2"/>
        <v>44914</v>
      </c>
      <c r="B64" s="35">
        <f>if(A64&lt;&gt;"", COUNTIFS(Beans!A:A, A64), "")</f>
        <v>1</v>
      </c>
      <c r="C64" s="35">
        <f>if(A64&lt;&gt;"", COUNTIFS(Beans!A:A, A64, Beans!C:C, "Good" ), "")</f>
        <v>0</v>
      </c>
      <c r="D64" s="35">
        <f>if(A64&lt;&gt;"", COUNTIFS(Beans!A:A, A64, Beans!C:C, "Bad" ), "")</f>
        <v>1</v>
      </c>
      <c r="E64" s="35">
        <f>if(A64&lt;&gt;"", COUNTIFS(Beans!A:A, A64, Beans!C:C, "Spicy" ), "")</f>
        <v>0</v>
      </c>
    </row>
    <row r="65">
      <c r="A65" s="34">
        <f t="shared" si="2"/>
        <v>44915</v>
      </c>
      <c r="B65" s="35">
        <f>if(A65&lt;&gt;"", COUNTIFS(Beans!A:A, A65), "")</f>
        <v>8</v>
      </c>
      <c r="C65" s="35">
        <f>if(A65&lt;&gt;"", COUNTIFS(Beans!A:A, A65, Beans!C:C, "Good" ), "")</f>
        <v>0</v>
      </c>
      <c r="D65" s="35">
        <f>if(A65&lt;&gt;"", COUNTIFS(Beans!A:A, A65, Beans!C:C, "Bad" ), "")</f>
        <v>7</v>
      </c>
      <c r="E65" s="35">
        <f>if(A65&lt;&gt;"", COUNTIFS(Beans!A:A, A65, Beans!C:C, "Spicy" ), "")</f>
        <v>1</v>
      </c>
    </row>
    <row r="66">
      <c r="A66" s="34">
        <f t="shared" si="2"/>
        <v>44916</v>
      </c>
      <c r="B66" s="35">
        <f>if(A66&lt;&gt;"", COUNTIFS(Beans!A:A, A66), "")</f>
        <v>3</v>
      </c>
      <c r="C66" s="35">
        <f>if(A66&lt;&gt;"", COUNTIFS(Beans!A:A, A66, Beans!C:C, "Good" ), "")</f>
        <v>0</v>
      </c>
      <c r="D66" s="35">
        <f>if(A66&lt;&gt;"", COUNTIFS(Beans!A:A, A66, Beans!C:C, "Bad" ), "")</f>
        <v>0</v>
      </c>
      <c r="E66" s="35">
        <f>if(A66&lt;&gt;"", COUNTIFS(Beans!A:A, A66, Beans!C:C, "Spicy" ), "")</f>
        <v>3</v>
      </c>
    </row>
    <row r="67">
      <c r="A67" s="34">
        <f t="shared" si="2"/>
        <v>44917</v>
      </c>
      <c r="B67" s="35">
        <f>if(A67&lt;&gt;"", COUNTIFS(Beans!A:A, A67), "")</f>
        <v>1</v>
      </c>
      <c r="C67" s="35">
        <f>if(A67&lt;&gt;"", COUNTIFS(Beans!A:A, A67, Beans!C:C, "Good" ), "")</f>
        <v>0</v>
      </c>
      <c r="D67" s="35">
        <f>if(A67&lt;&gt;"", COUNTIFS(Beans!A:A, A67, Beans!C:C, "Bad" ), "")</f>
        <v>1</v>
      </c>
      <c r="E67" s="35">
        <f>if(A67&lt;&gt;"", COUNTIFS(Beans!A:A, A67, Beans!C:C, "Spicy" ), "")</f>
        <v>0</v>
      </c>
    </row>
    <row r="68">
      <c r="A68" s="34">
        <f t="shared" si="2"/>
        <v>44918</v>
      </c>
      <c r="B68" s="35">
        <f>if(A68&lt;&gt;"", COUNTIFS(Beans!A:A, A68), "")</f>
        <v>1</v>
      </c>
      <c r="C68" s="35">
        <f>if(A68&lt;&gt;"", COUNTIFS(Beans!A:A, A68, Beans!C:C, "Good" ), "")</f>
        <v>0</v>
      </c>
      <c r="D68" s="35">
        <f>if(A68&lt;&gt;"", COUNTIFS(Beans!A:A, A68, Beans!C:C, "Bad" ), "")</f>
        <v>0</v>
      </c>
      <c r="E68" s="35">
        <f>if(A68&lt;&gt;"", COUNTIFS(Beans!A:A, A68, Beans!C:C, "Spicy" ), "")</f>
        <v>1</v>
      </c>
    </row>
    <row r="69">
      <c r="A69" s="34">
        <f t="shared" si="2"/>
        <v>44919</v>
      </c>
      <c r="B69" s="35">
        <f>if(A69&lt;&gt;"", COUNTIFS(Beans!A:A, A69), "")</f>
        <v>0</v>
      </c>
      <c r="C69" s="35">
        <f>if(A69&lt;&gt;"", COUNTIFS(Beans!A:A, A69, Beans!C:C, "Good" ), "")</f>
        <v>0</v>
      </c>
      <c r="D69" s="35">
        <f>if(A69&lt;&gt;"", COUNTIFS(Beans!A:A, A69, Beans!C:C, "Bad" ), "")</f>
        <v>0</v>
      </c>
      <c r="E69" s="35">
        <f>if(A69&lt;&gt;"", COUNTIFS(Beans!A:A, A69, Beans!C:C, "Spicy" ), "")</f>
        <v>0</v>
      </c>
    </row>
    <row r="70">
      <c r="A70" s="34">
        <f t="shared" si="2"/>
        <v>44920</v>
      </c>
      <c r="B70" s="35">
        <f>if(A70&lt;&gt;"", COUNTIFS(Beans!A:A, A70), "")</f>
        <v>1</v>
      </c>
      <c r="C70" s="35">
        <f>if(A70&lt;&gt;"", COUNTIFS(Beans!A:A, A70, Beans!C:C, "Good" ), "")</f>
        <v>0</v>
      </c>
      <c r="D70" s="35">
        <f>if(A70&lt;&gt;"", COUNTIFS(Beans!A:A, A70, Beans!C:C, "Bad" ), "")</f>
        <v>1</v>
      </c>
      <c r="E70" s="35">
        <f>if(A70&lt;&gt;"", COUNTIFS(Beans!A:A, A70, Beans!C:C, "Spicy" ), "")</f>
        <v>0</v>
      </c>
    </row>
    <row r="71">
      <c r="A71" s="34">
        <f t="shared" si="2"/>
        <v>44921</v>
      </c>
      <c r="B71" s="35">
        <f>if(A71&lt;&gt;"", COUNTIFS(Beans!A:A, A71), "")</f>
        <v>0</v>
      </c>
      <c r="C71" s="35">
        <f>if(A71&lt;&gt;"", COUNTIFS(Beans!A:A, A71, Beans!C:C, "Good" ), "")</f>
        <v>0</v>
      </c>
      <c r="D71" s="35">
        <f>if(A71&lt;&gt;"", COUNTIFS(Beans!A:A, A71, Beans!C:C, "Bad" ), "")</f>
        <v>0</v>
      </c>
      <c r="E71" s="35">
        <f>if(A71&lt;&gt;"", COUNTIFS(Beans!A:A, A71, Beans!C:C, "Spicy" ), "")</f>
        <v>0</v>
      </c>
    </row>
    <row r="72">
      <c r="A72" s="34">
        <f t="shared" si="2"/>
        <v>44922</v>
      </c>
      <c r="B72" s="35">
        <f>if(A72&lt;&gt;"", COUNTIFS(Beans!A:A, A72), "")</f>
        <v>0</v>
      </c>
      <c r="C72" s="35">
        <f>if(A72&lt;&gt;"", COUNTIFS(Beans!A:A, A72, Beans!C:C, "Good" ), "")</f>
        <v>0</v>
      </c>
      <c r="D72" s="35">
        <f>if(A72&lt;&gt;"", COUNTIFS(Beans!A:A, A72, Beans!C:C, "Bad" ), "")</f>
        <v>0</v>
      </c>
      <c r="E72" s="35">
        <f>if(A72&lt;&gt;"", COUNTIFS(Beans!A:A, A72, Beans!C:C, "Spicy" ), "")</f>
        <v>0</v>
      </c>
    </row>
    <row r="73">
      <c r="A73" s="34">
        <f t="shared" si="2"/>
        <v>44923</v>
      </c>
      <c r="B73" s="35">
        <f>if(A73&lt;&gt;"", COUNTIFS(Beans!A:A, A73), "")</f>
        <v>0</v>
      </c>
      <c r="C73" s="35">
        <f>if(A73&lt;&gt;"", COUNTIFS(Beans!A:A, A73, Beans!C:C, "Good" ), "")</f>
        <v>0</v>
      </c>
      <c r="D73" s="35">
        <f>if(A73&lt;&gt;"", COUNTIFS(Beans!A:A, A73, Beans!C:C, "Bad" ), "")</f>
        <v>0</v>
      </c>
      <c r="E73" s="35">
        <f>if(A73&lt;&gt;"", COUNTIFS(Beans!A:A, A73, Beans!C:C, "Spicy" ), "")</f>
        <v>0</v>
      </c>
    </row>
    <row r="74">
      <c r="A74" s="34">
        <f t="shared" si="2"/>
        <v>44924</v>
      </c>
      <c r="B74" s="35">
        <f>if(A74&lt;&gt;"", COUNTIFS(Beans!A:A, A74), "")</f>
        <v>0</v>
      </c>
      <c r="C74" s="35">
        <f>if(A74&lt;&gt;"", COUNTIFS(Beans!A:A, A74, Beans!C:C, "Good" ), "")</f>
        <v>0</v>
      </c>
      <c r="D74" s="35">
        <f>if(A74&lt;&gt;"", COUNTIFS(Beans!A:A, A74, Beans!C:C, "Bad" ), "")</f>
        <v>0</v>
      </c>
      <c r="E74" s="35">
        <f>if(A74&lt;&gt;"", COUNTIFS(Beans!A:A, A74, Beans!C:C, "Spicy" ), "")</f>
        <v>0</v>
      </c>
    </row>
    <row r="75">
      <c r="A75" s="34">
        <f t="shared" si="2"/>
        <v>44925</v>
      </c>
      <c r="B75" s="35">
        <f>if(A75&lt;&gt;"", COUNTIFS(Beans!A:A, A75), "")</f>
        <v>0</v>
      </c>
      <c r="C75" s="35">
        <f>if(A75&lt;&gt;"", COUNTIFS(Beans!A:A, A75, Beans!C:C, "Good" ), "")</f>
        <v>0</v>
      </c>
      <c r="D75" s="35">
        <f>if(A75&lt;&gt;"", COUNTIFS(Beans!A:A, A75, Beans!C:C, "Bad" ), "")</f>
        <v>0</v>
      </c>
      <c r="E75" s="35">
        <f>if(A75&lt;&gt;"", COUNTIFS(Beans!A:A, A75, Beans!C:C, "Spicy" ), "")</f>
        <v>0</v>
      </c>
    </row>
    <row r="76">
      <c r="A76" s="34">
        <f t="shared" si="2"/>
        <v>44926</v>
      </c>
      <c r="B76" s="35">
        <f>if(A76&lt;&gt;"", COUNTIFS(Beans!A:A, A76), "")</f>
        <v>0</v>
      </c>
      <c r="C76" s="35">
        <f>if(A76&lt;&gt;"", COUNTIFS(Beans!A:A, A76, Beans!C:C, "Good" ), "")</f>
        <v>0</v>
      </c>
      <c r="D76" s="35">
        <f>if(A76&lt;&gt;"", COUNTIFS(Beans!A:A, A76, Beans!C:C, "Bad" ), "")</f>
        <v>0</v>
      </c>
      <c r="E76" s="35">
        <f>if(A76&lt;&gt;"", COUNTIFS(Beans!A:A, A76, Beans!C:C, "Spicy" ), "")</f>
        <v>0</v>
      </c>
    </row>
    <row r="77">
      <c r="A77" s="34">
        <f t="shared" si="2"/>
        <v>44927</v>
      </c>
      <c r="B77" s="35">
        <f>if(A77&lt;&gt;"", COUNTIFS(Beans!A:A, A77), "")</f>
        <v>0</v>
      </c>
      <c r="C77" s="35">
        <f>if(A77&lt;&gt;"", COUNTIFS(Beans!A:A, A77, Beans!C:C, "Good" ), "")</f>
        <v>0</v>
      </c>
      <c r="D77" s="35">
        <f>if(A77&lt;&gt;"", COUNTIFS(Beans!A:A, A77, Beans!C:C, "Bad" ), "")</f>
        <v>0</v>
      </c>
      <c r="E77" s="35">
        <f>if(A77&lt;&gt;"", COUNTIFS(Beans!A:A, A77, Beans!C:C, "Spicy" ), "")</f>
        <v>0</v>
      </c>
    </row>
    <row r="78">
      <c r="A78" s="34">
        <f t="shared" si="2"/>
        <v>44928</v>
      </c>
      <c r="B78" s="35">
        <f>if(A78&lt;&gt;"", COUNTIFS(Beans!A:A, A78), "")</f>
        <v>0</v>
      </c>
      <c r="C78" s="35">
        <f>if(A78&lt;&gt;"", COUNTIFS(Beans!A:A, A78, Beans!C:C, "Good" ), "")</f>
        <v>0</v>
      </c>
      <c r="D78" s="35">
        <f>if(A78&lt;&gt;"", COUNTIFS(Beans!A:A, A78, Beans!C:C, "Bad" ), "")</f>
        <v>0</v>
      </c>
      <c r="E78" s="35">
        <f>if(A78&lt;&gt;"", COUNTIFS(Beans!A:A, A78, Beans!C:C, "Spicy" ), "")</f>
        <v>0</v>
      </c>
    </row>
    <row r="79">
      <c r="A79" s="34">
        <f t="shared" si="2"/>
        <v>44929</v>
      </c>
      <c r="B79" s="35">
        <f>if(A79&lt;&gt;"", COUNTIFS(Beans!A:A, A79), "")</f>
        <v>3</v>
      </c>
      <c r="C79" s="35">
        <f>if(A79&lt;&gt;"", COUNTIFS(Beans!A:A, A79, Beans!C:C, "Good" ), "")</f>
        <v>0</v>
      </c>
      <c r="D79" s="35">
        <f>if(A79&lt;&gt;"", COUNTIFS(Beans!A:A, A79, Beans!C:C, "Bad" ), "")</f>
        <v>3</v>
      </c>
      <c r="E79" s="35">
        <f>if(A79&lt;&gt;"", COUNTIFS(Beans!A:A, A79, Beans!C:C, "Spicy" ), "")</f>
        <v>0</v>
      </c>
    </row>
    <row r="80">
      <c r="A80" s="34">
        <f t="shared" si="2"/>
        <v>44930</v>
      </c>
      <c r="B80" s="35">
        <f>if(A80&lt;&gt;"", COUNTIFS(Beans!A:A, A80), "")</f>
        <v>1</v>
      </c>
      <c r="C80" s="35">
        <f>if(A80&lt;&gt;"", COUNTIFS(Beans!A:A, A80, Beans!C:C, "Good" ), "")</f>
        <v>0</v>
      </c>
      <c r="D80" s="35">
        <f>if(A80&lt;&gt;"", COUNTIFS(Beans!A:A, A80, Beans!C:C, "Bad" ), "")</f>
        <v>0</v>
      </c>
      <c r="E80" s="35">
        <f>if(A80&lt;&gt;"", COUNTIFS(Beans!A:A, A80, Beans!C:C, "Spicy" ), "")</f>
        <v>1</v>
      </c>
    </row>
    <row r="81">
      <c r="A81" s="34">
        <f t="shared" si="2"/>
        <v>44931</v>
      </c>
      <c r="B81" s="35">
        <f>if(A81&lt;&gt;"", COUNTIFS(Beans!A:A, A81), "")</f>
        <v>9</v>
      </c>
      <c r="C81" s="35">
        <f>if(A81&lt;&gt;"", COUNTIFS(Beans!A:A, A81, Beans!C:C, "Good" ), "")</f>
        <v>0</v>
      </c>
      <c r="D81" s="35">
        <f>if(A81&lt;&gt;"", COUNTIFS(Beans!A:A, A81, Beans!C:C, "Bad" ), "")</f>
        <v>9</v>
      </c>
      <c r="E81" s="35">
        <f>if(A81&lt;&gt;"", COUNTIFS(Beans!A:A, A81, Beans!C:C, "Spicy" ), "")</f>
        <v>0</v>
      </c>
    </row>
    <row r="82">
      <c r="A82" s="34">
        <f t="shared" si="2"/>
        <v>44932</v>
      </c>
      <c r="B82" s="35">
        <f>if(A82&lt;&gt;"", COUNTIFS(Beans!A:A, A82), "")</f>
        <v>0</v>
      </c>
      <c r="C82" s="35">
        <f>if(A82&lt;&gt;"", COUNTIFS(Beans!A:A, A82, Beans!C:C, "Good" ), "")</f>
        <v>0</v>
      </c>
      <c r="D82" s="35">
        <f>if(A82&lt;&gt;"", COUNTIFS(Beans!A:A, A82, Beans!C:C, "Bad" ), "")</f>
        <v>0</v>
      </c>
      <c r="E82" s="35">
        <f>if(A82&lt;&gt;"", COUNTIFS(Beans!A:A, A82, Beans!C:C, "Spicy" ), "")</f>
        <v>0</v>
      </c>
    </row>
    <row r="83">
      <c r="A83" s="34">
        <f t="shared" si="2"/>
        <v>44933</v>
      </c>
      <c r="B83" s="35">
        <f>if(A83&lt;&gt;"", COUNTIFS(Beans!A:A, A83), "")</f>
        <v>0</v>
      </c>
      <c r="C83" s="35">
        <f>if(A83&lt;&gt;"", COUNTIFS(Beans!A:A, A83, Beans!C:C, "Good" ), "")</f>
        <v>0</v>
      </c>
      <c r="D83" s="35">
        <f>if(A83&lt;&gt;"", COUNTIFS(Beans!A:A, A83, Beans!C:C, "Bad" ), "")</f>
        <v>0</v>
      </c>
      <c r="E83" s="35">
        <f>if(A83&lt;&gt;"", COUNTIFS(Beans!A:A, A83, Beans!C:C, "Spicy" ), "")</f>
        <v>0</v>
      </c>
    </row>
    <row r="84">
      <c r="A84" s="34">
        <f t="shared" si="2"/>
        <v>44934</v>
      </c>
      <c r="B84" s="35">
        <f>if(A84&lt;&gt;"", COUNTIFS(Beans!A:A, A84), "")</f>
        <v>0</v>
      </c>
      <c r="C84" s="35">
        <f>if(A84&lt;&gt;"", COUNTIFS(Beans!A:A, A84, Beans!C:C, "Good" ), "")</f>
        <v>0</v>
      </c>
      <c r="D84" s="35">
        <f>if(A84&lt;&gt;"", COUNTIFS(Beans!A:A, A84, Beans!C:C, "Bad" ), "")</f>
        <v>0</v>
      </c>
      <c r="E84" s="35">
        <f>if(A84&lt;&gt;"", COUNTIFS(Beans!A:A, A84, Beans!C:C, "Spicy" ), "")</f>
        <v>0</v>
      </c>
    </row>
    <row r="85">
      <c r="A85" s="34">
        <f t="shared" si="2"/>
        <v>44935</v>
      </c>
      <c r="B85" s="35">
        <f>if(A85&lt;&gt;"", COUNTIFS(Beans!A:A, A85), "")</f>
        <v>1</v>
      </c>
      <c r="C85" s="35">
        <f>if(A85&lt;&gt;"", COUNTIFS(Beans!A:A, A85, Beans!C:C, "Good" ), "")</f>
        <v>1</v>
      </c>
      <c r="D85" s="35">
        <f>if(A85&lt;&gt;"", COUNTIFS(Beans!A:A, A85, Beans!C:C, "Bad" ), "")</f>
        <v>0</v>
      </c>
      <c r="E85" s="35">
        <f>if(A85&lt;&gt;"", COUNTIFS(Beans!A:A, A85, Beans!C:C, "Spicy" ), "")</f>
        <v>0</v>
      </c>
    </row>
    <row r="86">
      <c r="A86" s="34">
        <f t="shared" si="2"/>
        <v>44936</v>
      </c>
      <c r="B86" s="35">
        <f>if(A86&lt;&gt;"", COUNTIFS(Beans!A:A, A86), "")</f>
        <v>1</v>
      </c>
      <c r="C86" s="35">
        <f>if(A86&lt;&gt;"", COUNTIFS(Beans!A:A, A86, Beans!C:C, "Good" ), "")</f>
        <v>1</v>
      </c>
      <c r="D86" s="35">
        <f>if(A86&lt;&gt;"", COUNTIFS(Beans!A:A, A86, Beans!C:C, "Bad" ), "")</f>
        <v>0</v>
      </c>
      <c r="E86" s="35">
        <f>if(A86&lt;&gt;"", COUNTIFS(Beans!A:A, A86, Beans!C:C, "Spicy" ), "")</f>
        <v>0</v>
      </c>
    </row>
    <row r="87">
      <c r="A87" s="34">
        <f t="shared" si="2"/>
        <v>44937</v>
      </c>
      <c r="B87" s="35">
        <f>if(A87&lt;&gt;"", COUNTIFS(Beans!A:A, A87), "")</f>
        <v>1</v>
      </c>
      <c r="C87" s="35">
        <f>if(A87&lt;&gt;"", COUNTIFS(Beans!A:A, A87, Beans!C:C, "Good" ), "")</f>
        <v>0</v>
      </c>
      <c r="D87" s="35">
        <f>if(A87&lt;&gt;"", COUNTIFS(Beans!A:A, A87, Beans!C:C, "Bad" ), "")</f>
        <v>1</v>
      </c>
      <c r="E87" s="35">
        <f>if(A87&lt;&gt;"", COUNTIFS(Beans!A:A, A87, Beans!C:C, "Spicy" ), "")</f>
        <v>0</v>
      </c>
    </row>
    <row r="88">
      <c r="A88" s="34">
        <f t="shared" si="2"/>
        <v>44938</v>
      </c>
      <c r="B88" s="35">
        <f>if(A88&lt;&gt;"", COUNTIFS(Beans!A:A, A88), "")</f>
        <v>1</v>
      </c>
      <c r="C88" s="35">
        <f>if(A88&lt;&gt;"", COUNTIFS(Beans!A:A, A88, Beans!C:C, "Good" ), "")</f>
        <v>0</v>
      </c>
      <c r="D88" s="35">
        <f>if(A88&lt;&gt;"", COUNTIFS(Beans!A:A, A88, Beans!C:C, "Bad" ), "")</f>
        <v>1</v>
      </c>
      <c r="E88" s="35">
        <f>if(A88&lt;&gt;"", COUNTIFS(Beans!A:A, A88, Beans!C:C, "Spicy" ), "")</f>
        <v>0</v>
      </c>
    </row>
    <row r="89">
      <c r="A89" s="34">
        <f t="shared" si="2"/>
        <v>44939</v>
      </c>
      <c r="B89" s="35">
        <f>if(A89&lt;&gt;"", COUNTIFS(Beans!A:A, A89), "")</f>
        <v>1</v>
      </c>
      <c r="C89" s="35">
        <f>if(A89&lt;&gt;"", COUNTIFS(Beans!A:A, A89, Beans!C:C, "Good" ), "")</f>
        <v>0</v>
      </c>
      <c r="D89" s="35">
        <f>if(A89&lt;&gt;"", COUNTIFS(Beans!A:A, A89, Beans!C:C, "Bad" ), "")</f>
        <v>1</v>
      </c>
      <c r="E89" s="35">
        <f>if(A89&lt;&gt;"", COUNTIFS(Beans!A:A, A89, Beans!C:C, "Spicy" ), "")</f>
        <v>0</v>
      </c>
    </row>
    <row r="90">
      <c r="A90" s="34">
        <f t="shared" si="2"/>
        <v>44940</v>
      </c>
      <c r="B90" s="35">
        <f>if(A90&lt;&gt;"", COUNTIFS(Beans!A:A, A90), "")</f>
        <v>0</v>
      </c>
      <c r="C90" s="35">
        <f>if(A90&lt;&gt;"", COUNTIFS(Beans!A:A, A90, Beans!C:C, "Good" ), "")</f>
        <v>0</v>
      </c>
      <c r="D90" s="35">
        <f>if(A90&lt;&gt;"", COUNTIFS(Beans!A:A, A90, Beans!C:C, "Bad" ), "")</f>
        <v>0</v>
      </c>
      <c r="E90" s="35">
        <f>if(A90&lt;&gt;"", COUNTIFS(Beans!A:A, A90, Beans!C:C, "Spicy" ), "")</f>
        <v>0</v>
      </c>
    </row>
    <row r="91">
      <c r="A91" s="34">
        <f t="shared" si="2"/>
        <v>44941</v>
      </c>
      <c r="B91" s="35">
        <f>if(A91&lt;&gt;"", COUNTIFS(Beans!A:A, A91), "")</f>
        <v>0</v>
      </c>
      <c r="C91" s="35">
        <f>if(A91&lt;&gt;"", COUNTIFS(Beans!A:A, A91, Beans!C:C, "Good" ), "")</f>
        <v>0</v>
      </c>
      <c r="D91" s="35">
        <f>if(A91&lt;&gt;"", COUNTIFS(Beans!A:A, A91, Beans!C:C, "Bad" ), "")</f>
        <v>0</v>
      </c>
      <c r="E91" s="35">
        <f>if(A91&lt;&gt;"", COUNTIFS(Beans!A:A, A91, Beans!C:C, "Spicy" ), "")</f>
        <v>0</v>
      </c>
    </row>
    <row r="92">
      <c r="A92" s="34">
        <f t="shared" si="2"/>
        <v>44942</v>
      </c>
      <c r="B92" s="35">
        <f>if(A92&lt;&gt;"", COUNTIFS(Beans!A:A, A92), "")</f>
        <v>1</v>
      </c>
      <c r="C92" s="35">
        <f>if(A92&lt;&gt;"", COUNTIFS(Beans!A:A, A92, Beans!C:C, "Good" ), "")</f>
        <v>0</v>
      </c>
      <c r="D92" s="35">
        <f>if(A92&lt;&gt;"", COUNTIFS(Beans!A:A, A92, Beans!C:C, "Bad" ), "")</f>
        <v>1</v>
      </c>
      <c r="E92" s="35">
        <f>if(A92&lt;&gt;"", COUNTIFS(Beans!A:A, A92, Beans!C:C, "Spicy" ), "")</f>
        <v>0</v>
      </c>
    </row>
    <row r="93">
      <c r="A93" s="34">
        <f t="shared" si="2"/>
        <v>44943</v>
      </c>
      <c r="B93" s="35">
        <f>if(A93&lt;&gt;"", COUNTIFS(Beans!A:A, A93), "")</f>
        <v>1</v>
      </c>
      <c r="C93" s="35">
        <f>if(A93&lt;&gt;"", COUNTIFS(Beans!A:A, A93, Beans!C:C, "Good" ), "")</f>
        <v>0</v>
      </c>
      <c r="D93" s="35">
        <f>if(A93&lt;&gt;"", COUNTIFS(Beans!A:A, A93, Beans!C:C, "Bad" ), "")</f>
        <v>1</v>
      </c>
      <c r="E93" s="35">
        <f>if(A93&lt;&gt;"", COUNTIFS(Beans!A:A, A93, Beans!C:C, "Spicy" ), "")</f>
        <v>0</v>
      </c>
    </row>
    <row r="94">
      <c r="A94" s="34">
        <f t="shared" si="2"/>
        <v>44944</v>
      </c>
      <c r="B94" s="35">
        <f>if(A94&lt;&gt;"", COUNTIFS(Beans!A:A, A94), "")</f>
        <v>1</v>
      </c>
      <c r="C94" s="35">
        <f>if(A94&lt;&gt;"", COUNTIFS(Beans!A:A, A94, Beans!C:C, "Good" ), "")</f>
        <v>0</v>
      </c>
      <c r="D94" s="35">
        <f>if(A94&lt;&gt;"", COUNTIFS(Beans!A:A, A94, Beans!C:C, "Bad" ), "")</f>
        <v>1</v>
      </c>
      <c r="E94" s="35">
        <f>if(A94&lt;&gt;"", COUNTIFS(Beans!A:A, A94, Beans!C:C, "Spicy" ), "")</f>
        <v>0</v>
      </c>
    </row>
    <row r="95">
      <c r="A95" s="34">
        <f t="shared" si="2"/>
        <v>44945</v>
      </c>
      <c r="B95" s="35">
        <f>if(A95&lt;&gt;"", COUNTIFS(Beans!A:A, A95), "")</f>
        <v>3</v>
      </c>
      <c r="C95" s="35">
        <f>if(A95&lt;&gt;"", COUNTIFS(Beans!A:A, A95, Beans!C:C, "Good" ), "")</f>
        <v>1</v>
      </c>
      <c r="D95" s="35">
        <f>if(A95&lt;&gt;"", COUNTIFS(Beans!A:A, A95, Beans!C:C, "Bad" ), "")</f>
        <v>2</v>
      </c>
      <c r="E95" s="35">
        <f>if(A95&lt;&gt;"", COUNTIFS(Beans!A:A, A95, Beans!C:C, "Spicy" ), "")</f>
        <v>0</v>
      </c>
    </row>
    <row r="96">
      <c r="A96" s="34">
        <f t="shared" si="2"/>
        <v>44946</v>
      </c>
      <c r="B96" s="35">
        <f>if(A96&lt;&gt;"", COUNTIFS(Beans!A:A, A96), "")</f>
        <v>1</v>
      </c>
      <c r="C96" s="35">
        <f>if(A96&lt;&gt;"", COUNTIFS(Beans!A:A, A96, Beans!C:C, "Good" ), "")</f>
        <v>0</v>
      </c>
      <c r="D96" s="35">
        <f>if(A96&lt;&gt;"", COUNTIFS(Beans!A:A, A96, Beans!C:C, "Bad" ), "")</f>
        <v>1</v>
      </c>
      <c r="E96" s="35">
        <f>if(A96&lt;&gt;"", COUNTIFS(Beans!A:A, A96, Beans!C:C, "Spicy" ), "")</f>
        <v>0</v>
      </c>
    </row>
    <row r="97">
      <c r="A97" s="34">
        <f t="shared" si="2"/>
        <v>44947</v>
      </c>
      <c r="B97" s="35">
        <f>if(A97&lt;&gt;"", COUNTIFS(Beans!A:A, A97), "")</f>
        <v>0</v>
      </c>
      <c r="C97" s="35">
        <f>if(A97&lt;&gt;"", COUNTIFS(Beans!A:A, A97, Beans!C:C, "Good" ), "")</f>
        <v>0</v>
      </c>
      <c r="D97" s="35">
        <f>if(A97&lt;&gt;"", COUNTIFS(Beans!A:A, A97, Beans!C:C, "Bad" ), "")</f>
        <v>0</v>
      </c>
      <c r="E97" s="35">
        <f>if(A97&lt;&gt;"", COUNTIFS(Beans!A:A, A97, Beans!C:C, "Spicy" ), "")</f>
        <v>0</v>
      </c>
    </row>
    <row r="98">
      <c r="A98" s="34">
        <f t="shared" si="2"/>
        <v>44948</v>
      </c>
      <c r="B98" s="35">
        <f>if(A98&lt;&gt;"", COUNTIFS(Beans!A:A, A98), "")</f>
        <v>0</v>
      </c>
      <c r="C98" s="35">
        <f>if(A98&lt;&gt;"", COUNTIFS(Beans!A:A, A98, Beans!C:C, "Good" ), "")</f>
        <v>0</v>
      </c>
      <c r="D98" s="35">
        <f>if(A98&lt;&gt;"", COUNTIFS(Beans!A:A, A98, Beans!C:C, "Bad" ), "")</f>
        <v>0</v>
      </c>
      <c r="E98" s="35">
        <f>if(A98&lt;&gt;"", COUNTIFS(Beans!A:A, A98, Beans!C:C, "Spicy" ), "")</f>
        <v>0</v>
      </c>
    </row>
    <row r="99">
      <c r="A99" s="34">
        <f t="shared" si="2"/>
        <v>44949</v>
      </c>
      <c r="B99" s="35">
        <f>if(A99&lt;&gt;"", COUNTIFS(Beans!A:A, A99), "")</f>
        <v>1</v>
      </c>
      <c r="C99" s="35">
        <f>if(A99&lt;&gt;"", COUNTIFS(Beans!A:A, A99, Beans!C:C, "Good" ), "")</f>
        <v>1</v>
      </c>
      <c r="D99" s="35">
        <f>if(A99&lt;&gt;"", COUNTIFS(Beans!A:A, A99, Beans!C:C, "Bad" ), "")</f>
        <v>0</v>
      </c>
      <c r="E99" s="35">
        <f>if(A99&lt;&gt;"", COUNTIFS(Beans!A:A, A99, Beans!C:C, "Spicy" ), "")</f>
        <v>0</v>
      </c>
    </row>
    <row r="100">
      <c r="A100" s="34">
        <f t="shared" si="2"/>
        <v>44950</v>
      </c>
      <c r="B100" s="35">
        <f>if(A100&lt;&gt;"", COUNTIFS(Beans!A:A, A100), "")</f>
        <v>4</v>
      </c>
      <c r="C100" s="35">
        <f>if(A100&lt;&gt;"", COUNTIFS(Beans!A:A, A100, Beans!C:C, "Good" ), "")</f>
        <v>1</v>
      </c>
      <c r="D100" s="35">
        <f>if(A100&lt;&gt;"", COUNTIFS(Beans!A:A, A100, Beans!C:C, "Bad" ), "")</f>
        <v>3</v>
      </c>
      <c r="E100" s="35">
        <f>if(A100&lt;&gt;"", COUNTIFS(Beans!A:A, A100, Beans!C:C, "Spicy" ), "")</f>
        <v>0</v>
      </c>
    </row>
    <row r="101">
      <c r="A101" s="34">
        <f t="shared" si="2"/>
        <v>44951</v>
      </c>
      <c r="B101" s="35">
        <f>if(A101&lt;&gt;"", COUNTIFS(Beans!A:A, A101), "")</f>
        <v>6</v>
      </c>
      <c r="C101" s="35">
        <f>if(A101&lt;&gt;"", COUNTIFS(Beans!A:A, A101, Beans!C:C, "Good" ), "")</f>
        <v>1</v>
      </c>
      <c r="D101" s="35">
        <f>if(A101&lt;&gt;"", COUNTIFS(Beans!A:A, A101, Beans!C:C, "Bad" ), "")</f>
        <v>5</v>
      </c>
      <c r="E101" s="35">
        <f>if(A101&lt;&gt;"", COUNTIFS(Beans!A:A, A101, Beans!C:C, "Spicy" ), "")</f>
        <v>0</v>
      </c>
    </row>
    <row r="102">
      <c r="A102" s="34">
        <f t="shared" si="2"/>
        <v>44952</v>
      </c>
      <c r="B102" s="35">
        <f>if(A102&lt;&gt;"", COUNTIFS(Beans!A:A, A102), "")</f>
        <v>0</v>
      </c>
      <c r="C102" s="35">
        <f>if(A102&lt;&gt;"", COUNTIFS(Beans!A:A, A102, Beans!C:C, "Good" ), "")</f>
        <v>0</v>
      </c>
      <c r="D102" s="35">
        <f>if(A102&lt;&gt;"", COUNTIFS(Beans!A:A, A102, Beans!C:C, "Bad" ), "")</f>
        <v>0</v>
      </c>
      <c r="E102" s="35">
        <f>if(A102&lt;&gt;"", COUNTIFS(Beans!A:A, A102, Beans!C:C, "Spicy" ), "")</f>
        <v>0</v>
      </c>
    </row>
    <row r="103">
      <c r="A103" s="34">
        <f t="shared" si="2"/>
        <v>44953</v>
      </c>
      <c r="B103" s="35">
        <f>if(A103&lt;&gt;"", COUNTIFS(Beans!A:A, A103), "")</f>
        <v>0</v>
      </c>
      <c r="C103" s="35">
        <f>if(A103&lt;&gt;"", COUNTIFS(Beans!A:A, A103, Beans!C:C, "Good" ), "")</f>
        <v>0</v>
      </c>
      <c r="D103" s="35">
        <f>if(A103&lt;&gt;"", COUNTIFS(Beans!A:A, A103, Beans!C:C, "Bad" ), "")</f>
        <v>0</v>
      </c>
      <c r="E103" s="35">
        <f>if(A103&lt;&gt;"", COUNTIFS(Beans!A:A, A103, Beans!C:C, "Spicy" ), "")</f>
        <v>0</v>
      </c>
    </row>
    <row r="104">
      <c r="A104" s="34">
        <f t="shared" si="2"/>
        <v>44954</v>
      </c>
      <c r="B104" s="35">
        <f>if(A104&lt;&gt;"", COUNTIFS(Beans!A:A, A104), "")</f>
        <v>0</v>
      </c>
      <c r="C104" s="35">
        <f>if(A104&lt;&gt;"", COUNTIFS(Beans!A:A, A104, Beans!C:C, "Good" ), "")</f>
        <v>0</v>
      </c>
      <c r="D104" s="35">
        <f>if(A104&lt;&gt;"", COUNTIFS(Beans!A:A, A104, Beans!C:C, "Bad" ), "")</f>
        <v>0</v>
      </c>
      <c r="E104" s="35">
        <f>if(A104&lt;&gt;"", COUNTIFS(Beans!A:A, A104, Beans!C:C, "Spicy" ), "")</f>
        <v>0</v>
      </c>
    </row>
    <row r="105">
      <c r="A105" s="34">
        <f t="shared" si="2"/>
        <v>44955</v>
      </c>
      <c r="B105" s="35">
        <f>if(A105&lt;&gt;"", COUNTIFS(Beans!A:A, A105), "")</f>
        <v>0</v>
      </c>
      <c r="C105" s="35">
        <f>if(A105&lt;&gt;"", COUNTIFS(Beans!A:A, A105, Beans!C:C, "Good" ), "")</f>
        <v>0</v>
      </c>
      <c r="D105" s="35">
        <f>if(A105&lt;&gt;"", COUNTIFS(Beans!A:A, A105, Beans!C:C, "Bad" ), "")</f>
        <v>0</v>
      </c>
      <c r="E105" s="35">
        <f>if(A105&lt;&gt;"", COUNTIFS(Beans!A:A, A105, Beans!C:C, "Spicy" ), "")</f>
        <v>0</v>
      </c>
    </row>
    <row r="106">
      <c r="A106" s="34">
        <f t="shared" si="2"/>
        <v>44956</v>
      </c>
      <c r="B106" s="35">
        <f>if(A106&lt;&gt;"", COUNTIFS(Beans!A:A, A106), "")</f>
        <v>1</v>
      </c>
      <c r="C106" s="35">
        <f>if(A106&lt;&gt;"", COUNTIFS(Beans!A:A, A106, Beans!C:C, "Good" ), "")</f>
        <v>1</v>
      </c>
      <c r="D106" s="35">
        <f>if(A106&lt;&gt;"", COUNTIFS(Beans!A:A, A106, Beans!C:C, "Bad" ), "")</f>
        <v>0</v>
      </c>
      <c r="E106" s="35">
        <f>if(A106&lt;&gt;"", COUNTIFS(Beans!A:A, A106, Beans!C:C, "Spicy" ), "")</f>
        <v>0</v>
      </c>
    </row>
    <row r="107">
      <c r="A107" s="34">
        <f t="shared" si="2"/>
        <v>44957</v>
      </c>
      <c r="B107" s="35">
        <f>if(A107&lt;&gt;"", COUNTIFS(Beans!A:A, A107), "")</f>
        <v>6</v>
      </c>
      <c r="C107" s="35">
        <f>if(A107&lt;&gt;"", COUNTIFS(Beans!A:A, A107, Beans!C:C, "Good" ), "")</f>
        <v>4</v>
      </c>
      <c r="D107" s="35">
        <f>if(A107&lt;&gt;"", COUNTIFS(Beans!A:A, A107, Beans!C:C, "Bad" ), "")</f>
        <v>2</v>
      </c>
      <c r="E107" s="35">
        <f>if(A107&lt;&gt;"", COUNTIFS(Beans!A:A, A107, Beans!C:C, "Spicy" ), "")</f>
        <v>0</v>
      </c>
    </row>
    <row r="108">
      <c r="A108" s="34">
        <f t="shared" si="2"/>
        <v>44958</v>
      </c>
      <c r="B108" s="35">
        <f>if(A108&lt;&gt;"", COUNTIFS(Beans!A:A, A108), "")</f>
        <v>0</v>
      </c>
      <c r="C108" s="35">
        <f>if(A108&lt;&gt;"", COUNTIFS(Beans!A:A, A108, Beans!C:C, "Good" ), "")</f>
        <v>0</v>
      </c>
      <c r="D108" s="35">
        <f>if(A108&lt;&gt;"", COUNTIFS(Beans!A:A, A108, Beans!C:C, "Bad" ), "")</f>
        <v>0</v>
      </c>
      <c r="E108" s="35">
        <f>if(A108&lt;&gt;"", COUNTIFS(Beans!A:A, A108, Beans!C:C, "Spicy" ), "")</f>
        <v>0</v>
      </c>
    </row>
    <row r="109">
      <c r="A109" s="34">
        <f t="shared" si="2"/>
        <v>44959</v>
      </c>
      <c r="B109" s="35">
        <f>if(A109&lt;&gt;"", COUNTIFS(Beans!A:A, A109), "")</f>
        <v>0</v>
      </c>
      <c r="C109" s="35">
        <f>if(A109&lt;&gt;"", COUNTIFS(Beans!A:A, A109, Beans!C:C, "Good" ), "")</f>
        <v>0</v>
      </c>
      <c r="D109" s="35">
        <f>if(A109&lt;&gt;"", COUNTIFS(Beans!A:A, A109, Beans!C:C, "Bad" ), "")</f>
        <v>0</v>
      </c>
      <c r="E109" s="35">
        <f>if(A109&lt;&gt;"", COUNTIFS(Beans!A:A, A109, Beans!C:C, "Spicy" ), "")</f>
        <v>0</v>
      </c>
    </row>
    <row r="110">
      <c r="A110" s="34">
        <f t="shared" si="2"/>
        <v>44960</v>
      </c>
      <c r="B110" s="35">
        <f>if(A110&lt;&gt;"", COUNTIFS(Beans!A:A, A110), "")</f>
        <v>0</v>
      </c>
      <c r="C110" s="35">
        <f>if(A110&lt;&gt;"", COUNTIFS(Beans!A:A, A110, Beans!C:C, "Good" ), "")</f>
        <v>0</v>
      </c>
      <c r="D110" s="35">
        <f>if(A110&lt;&gt;"", COUNTIFS(Beans!A:A, A110, Beans!C:C, "Bad" ), "")</f>
        <v>0</v>
      </c>
      <c r="E110" s="35">
        <f>if(A110&lt;&gt;"", COUNTIFS(Beans!A:A, A110, Beans!C:C, "Spicy" ), "")</f>
        <v>0</v>
      </c>
    </row>
    <row r="111">
      <c r="A111" s="34">
        <f t="shared" si="2"/>
        <v>44961</v>
      </c>
      <c r="B111" s="35">
        <f>if(A111&lt;&gt;"", COUNTIFS(Beans!A:A, A111), "")</f>
        <v>0</v>
      </c>
      <c r="C111" s="35">
        <f>if(A111&lt;&gt;"", COUNTIFS(Beans!A:A, A111, Beans!C:C, "Good" ), "")</f>
        <v>0</v>
      </c>
      <c r="D111" s="35">
        <f>if(A111&lt;&gt;"", COUNTIFS(Beans!A:A, A111, Beans!C:C, "Bad" ), "")</f>
        <v>0</v>
      </c>
      <c r="E111" s="35">
        <f>if(A111&lt;&gt;"", COUNTIFS(Beans!A:A, A111, Beans!C:C, "Spicy" ), "")</f>
        <v>0</v>
      </c>
    </row>
    <row r="112">
      <c r="A112" s="34">
        <f t="shared" si="2"/>
        <v>44962</v>
      </c>
      <c r="B112" s="35">
        <f>if(A112&lt;&gt;"", COUNTIFS(Beans!A:A, A112), "")</f>
        <v>0</v>
      </c>
      <c r="C112" s="35">
        <f>if(A112&lt;&gt;"", COUNTIFS(Beans!A:A, A112, Beans!C:C, "Good" ), "")</f>
        <v>0</v>
      </c>
      <c r="D112" s="35">
        <f>if(A112&lt;&gt;"", COUNTIFS(Beans!A:A, A112, Beans!C:C, "Bad" ), "")</f>
        <v>0</v>
      </c>
      <c r="E112" s="35">
        <f>if(A112&lt;&gt;"", COUNTIFS(Beans!A:A, A112, Beans!C:C, "Spicy" ), "")</f>
        <v>0</v>
      </c>
    </row>
    <row r="113">
      <c r="A113" s="34">
        <f t="shared" si="2"/>
        <v>44963</v>
      </c>
      <c r="B113" s="35">
        <f>if(A113&lt;&gt;"", COUNTIFS(Beans!A:A, A113), "")</f>
        <v>0</v>
      </c>
      <c r="C113" s="35">
        <f>if(A113&lt;&gt;"", COUNTIFS(Beans!A:A, A113, Beans!C:C, "Good" ), "")</f>
        <v>0</v>
      </c>
      <c r="D113" s="35">
        <f>if(A113&lt;&gt;"", COUNTIFS(Beans!A:A, A113, Beans!C:C, "Bad" ), "")</f>
        <v>0</v>
      </c>
      <c r="E113" s="35">
        <f>if(A113&lt;&gt;"", COUNTIFS(Beans!A:A, A113, Beans!C:C, "Spicy" ), "")</f>
        <v>0</v>
      </c>
    </row>
    <row r="114">
      <c r="A114" s="34">
        <f t="shared" si="2"/>
        <v>44964</v>
      </c>
      <c r="B114" s="35">
        <f>if(A114&lt;&gt;"", COUNTIFS(Beans!A:A, A114), "")</f>
        <v>0</v>
      </c>
      <c r="C114" s="35">
        <f>if(A114&lt;&gt;"", COUNTIFS(Beans!A:A, A114, Beans!C:C, "Good" ), "")</f>
        <v>0</v>
      </c>
      <c r="D114" s="35">
        <f>if(A114&lt;&gt;"", COUNTIFS(Beans!A:A, A114, Beans!C:C, "Bad" ), "")</f>
        <v>0</v>
      </c>
      <c r="E114" s="35">
        <f>if(A114&lt;&gt;"", COUNTIFS(Beans!A:A, A114, Beans!C:C, "Spicy" ), "")</f>
        <v>0</v>
      </c>
    </row>
    <row r="115">
      <c r="A115" s="34">
        <f t="shared" si="2"/>
        <v>44965</v>
      </c>
      <c r="B115" s="35">
        <f>if(A115&lt;&gt;"", COUNTIFS(Beans!A:A, A115), "")</f>
        <v>0</v>
      </c>
      <c r="C115" s="35">
        <f>if(A115&lt;&gt;"", COUNTIFS(Beans!A:A, A115, Beans!C:C, "Good" ), "")</f>
        <v>0</v>
      </c>
      <c r="D115" s="35">
        <f>if(A115&lt;&gt;"", COUNTIFS(Beans!A:A, A115, Beans!C:C, "Bad" ), "")</f>
        <v>0</v>
      </c>
      <c r="E115" s="35">
        <f>if(A115&lt;&gt;"", COUNTIFS(Beans!A:A, A115, Beans!C:C, "Spicy" ), "")</f>
        <v>0</v>
      </c>
    </row>
    <row r="116">
      <c r="A116" s="34">
        <f t="shared" si="2"/>
        <v>44966</v>
      </c>
      <c r="B116" s="35">
        <f>if(A116&lt;&gt;"", COUNTIFS(Beans!A:A, A116), "")</f>
        <v>0</v>
      </c>
      <c r="C116" s="35">
        <f>if(A116&lt;&gt;"", COUNTIFS(Beans!A:A, A116, Beans!C:C, "Good" ), "")</f>
        <v>0</v>
      </c>
      <c r="D116" s="35">
        <f>if(A116&lt;&gt;"", COUNTIFS(Beans!A:A, A116, Beans!C:C, "Bad" ), "")</f>
        <v>0</v>
      </c>
      <c r="E116" s="35">
        <f>if(A116&lt;&gt;"", COUNTIFS(Beans!A:A, A116, Beans!C:C, "Spicy" ), "")</f>
        <v>0</v>
      </c>
    </row>
    <row r="117">
      <c r="A117" s="34">
        <f t="shared" si="2"/>
        <v>44967</v>
      </c>
      <c r="B117" s="35">
        <f>if(A117&lt;&gt;"", COUNTIFS(Beans!A:A, A117), "")</f>
        <v>0</v>
      </c>
      <c r="C117" s="35">
        <f>if(A117&lt;&gt;"", COUNTIFS(Beans!A:A, A117, Beans!C:C, "Good" ), "")</f>
        <v>0</v>
      </c>
      <c r="D117" s="35">
        <f>if(A117&lt;&gt;"", COUNTIFS(Beans!A:A, A117, Beans!C:C, "Bad" ), "")</f>
        <v>0</v>
      </c>
      <c r="E117" s="35">
        <f>if(A117&lt;&gt;"", COUNTIFS(Beans!A:A, A117, Beans!C:C, "Spicy" ), "")</f>
        <v>0</v>
      </c>
    </row>
    <row r="118">
      <c r="A118" s="34">
        <f t="shared" si="2"/>
        <v>44968</v>
      </c>
      <c r="B118" s="35">
        <f>if(A118&lt;&gt;"", COUNTIFS(Beans!A:A, A118), "")</f>
        <v>0</v>
      </c>
      <c r="C118" s="35">
        <f>if(A118&lt;&gt;"", COUNTIFS(Beans!A:A, A118, Beans!C:C, "Good" ), "")</f>
        <v>0</v>
      </c>
      <c r="D118" s="35">
        <f>if(A118&lt;&gt;"", COUNTIFS(Beans!A:A, A118, Beans!C:C, "Bad" ), "")</f>
        <v>0</v>
      </c>
      <c r="E118" s="35">
        <f>if(A118&lt;&gt;"", COUNTIFS(Beans!A:A, A118, Beans!C:C, "Spicy" ), "")</f>
        <v>0</v>
      </c>
    </row>
    <row r="119">
      <c r="A119" s="34">
        <f t="shared" si="2"/>
        <v>44969</v>
      </c>
      <c r="B119" s="35">
        <f>if(A119&lt;&gt;"", COUNTIFS(Beans!A:A, A119), "")</f>
        <v>0</v>
      </c>
      <c r="C119" s="35">
        <f>if(A119&lt;&gt;"", COUNTIFS(Beans!A:A, A119, Beans!C:C, "Good" ), "")</f>
        <v>0</v>
      </c>
      <c r="D119" s="35">
        <f>if(A119&lt;&gt;"", COUNTIFS(Beans!A:A, A119, Beans!C:C, "Bad" ), "")</f>
        <v>0</v>
      </c>
      <c r="E119" s="35">
        <f>if(A119&lt;&gt;"", COUNTIFS(Beans!A:A, A119, Beans!C:C, "Spicy" ), "")</f>
        <v>0</v>
      </c>
    </row>
    <row r="120">
      <c r="A120" s="34">
        <f t="shared" si="2"/>
        <v>44970</v>
      </c>
      <c r="B120" s="35">
        <f>if(A120&lt;&gt;"", COUNTIFS(Beans!A:A, A120), "")</f>
        <v>0</v>
      </c>
      <c r="C120" s="35">
        <f>if(A120&lt;&gt;"", COUNTIFS(Beans!A:A, A120, Beans!C:C, "Good" ), "")</f>
        <v>0</v>
      </c>
      <c r="D120" s="35">
        <f>if(A120&lt;&gt;"", COUNTIFS(Beans!A:A, A120, Beans!C:C, "Bad" ), "")</f>
        <v>0</v>
      </c>
      <c r="E120" s="35">
        <f>if(A120&lt;&gt;"", COUNTIFS(Beans!A:A, A120, Beans!C:C, "Spicy" ), "")</f>
        <v>0</v>
      </c>
    </row>
    <row r="121">
      <c r="A121" s="34">
        <f t="shared" si="2"/>
        <v>44971</v>
      </c>
      <c r="B121" s="35">
        <f>if(A121&lt;&gt;"", COUNTIFS(Beans!A:A, A121), "")</f>
        <v>0</v>
      </c>
      <c r="C121" s="35">
        <f>if(A121&lt;&gt;"", COUNTIFS(Beans!A:A, A121, Beans!C:C, "Good" ), "")</f>
        <v>0</v>
      </c>
      <c r="D121" s="35">
        <f>if(A121&lt;&gt;"", COUNTIFS(Beans!A:A, A121, Beans!C:C, "Bad" ), "")</f>
        <v>0</v>
      </c>
      <c r="E121" s="35">
        <f>if(A121&lt;&gt;"", COUNTIFS(Beans!A:A, A121, Beans!C:C, "Spicy" ), "")</f>
        <v>0</v>
      </c>
    </row>
    <row r="122">
      <c r="A122" s="34">
        <f t="shared" si="2"/>
        <v>44972</v>
      </c>
      <c r="B122" s="35">
        <f>if(A122&lt;&gt;"", COUNTIFS(Beans!A:A, A122), "")</f>
        <v>0</v>
      </c>
      <c r="C122" s="35">
        <f>if(A122&lt;&gt;"", COUNTIFS(Beans!A:A, A122, Beans!C:C, "Good" ), "")</f>
        <v>0</v>
      </c>
      <c r="D122" s="35">
        <f>if(A122&lt;&gt;"", COUNTIFS(Beans!A:A, A122, Beans!C:C, "Bad" ), "")</f>
        <v>0</v>
      </c>
      <c r="E122" s="35">
        <f>if(A122&lt;&gt;"", COUNTIFS(Beans!A:A, A122, Beans!C:C, "Spicy" ), "")</f>
        <v>0</v>
      </c>
    </row>
    <row r="123">
      <c r="A123" s="34">
        <f t="shared" si="2"/>
        <v>44973</v>
      </c>
      <c r="B123" s="35">
        <f>if(A123&lt;&gt;"", COUNTIFS(Beans!A:A, A123), "")</f>
        <v>0</v>
      </c>
      <c r="C123" s="35">
        <f>if(A123&lt;&gt;"", COUNTIFS(Beans!A:A, A123, Beans!C:C, "Good" ), "")</f>
        <v>0</v>
      </c>
      <c r="D123" s="35">
        <f>if(A123&lt;&gt;"", COUNTIFS(Beans!A:A, A123, Beans!C:C, "Bad" ), "")</f>
        <v>0</v>
      </c>
      <c r="E123" s="35">
        <f>if(A123&lt;&gt;"", COUNTIFS(Beans!A:A, A123, Beans!C:C, "Spicy" ), "")</f>
        <v>0</v>
      </c>
    </row>
    <row r="124">
      <c r="A124" s="34">
        <f t="shared" si="2"/>
        <v>44974</v>
      </c>
      <c r="B124" s="35">
        <f>if(A124&lt;&gt;"", COUNTIFS(Beans!A:A, A124), "")</f>
        <v>0</v>
      </c>
      <c r="C124" s="35">
        <f>if(A124&lt;&gt;"", COUNTIFS(Beans!A:A, A124, Beans!C:C, "Good" ), "")</f>
        <v>0</v>
      </c>
      <c r="D124" s="35">
        <f>if(A124&lt;&gt;"", COUNTIFS(Beans!A:A, A124, Beans!C:C, "Bad" ), "")</f>
        <v>0</v>
      </c>
      <c r="E124" s="35">
        <f>if(A124&lt;&gt;"", COUNTIFS(Beans!A:A, A124, Beans!C:C, "Spicy" ), "")</f>
        <v>0</v>
      </c>
    </row>
    <row r="125">
      <c r="A125" s="34">
        <f t="shared" si="2"/>
        <v>44975</v>
      </c>
      <c r="B125" s="35">
        <f>if(A125&lt;&gt;"", COUNTIFS(Beans!A:A, A125), "")</f>
        <v>0</v>
      </c>
      <c r="C125" s="35">
        <f>if(A125&lt;&gt;"", COUNTIFS(Beans!A:A, A125, Beans!C:C, "Good" ), "")</f>
        <v>0</v>
      </c>
      <c r="D125" s="35">
        <f>if(A125&lt;&gt;"", COUNTIFS(Beans!A:A, A125, Beans!C:C, "Bad" ), "")</f>
        <v>0</v>
      </c>
      <c r="E125" s="35">
        <f>if(A125&lt;&gt;"", COUNTIFS(Beans!A:A, A125, Beans!C:C, "Spicy" ), "")</f>
        <v>0</v>
      </c>
    </row>
    <row r="126">
      <c r="A126" s="34">
        <f t="shared" si="2"/>
        <v>44976</v>
      </c>
      <c r="B126" s="35">
        <f>if(A126&lt;&gt;"", COUNTIFS(Beans!A:A, A126), "")</f>
        <v>0</v>
      </c>
      <c r="C126" s="35">
        <f>if(A126&lt;&gt;"", COUNTIFS(Beans!A:A, A126, Beans!C:C, "Good" ), "")</f>
        <v>0</v>
      </c>
      <c r="D126" s="35">
        <f>if(A126&lt;&gt;"", COUNTIFS(Beans!A:A, A126, Beans!C:C, "Bad" ), "")</f>
        <v>0</v>
      </c>
      <c r="E126" s="35">
        <f>if(A126&lt;&gt;"", COUNTIFS(Beans!A:A, A126, Beans!C:C, "Spicy" ), "")</f>
        <v>0</v>
      </c>
    </row>
    <row r="127">
      <c r="A127" s="34">
        <f t="shared" si="2"/>
        <v>44977</v>
      </c>
      <c r="B127" s="35">
        <f>if(A127&lt;&gt;"", COUNTIFS(Beans!A:A, A127), "")</f>
        <v>0</v>
      </c>
      <c r="C127" s="35">
        <f>if(A127&lt;&gt;"", COUNTIFS(Beans!A:A, A127, Beans!C:C, "Good" ), "")</f>
        <v>0</v>
      </c>
      <c r="D127" s="35">
        <f>if(A127&lt;&gt;"", COUNTIFS(Beans!A:A, A127, Beans!C:C, "Bad" ), "")</f>
        <v>0</v>
      </c>
      <c r="E127" s="35">
        <f>if(A127&lt;&gt;"", COUNTIFS(Beans!A:A, A127, Beans!C:C, "Spicy" ), "")</f>
        <v>0</v>
      </c>
    </row>
    <row r="128">
      <c r="A128" s="34">
        <f t="shared" si="2"/>
        <v>44978</v>
      </c>
      <c r="B128" s="35">
        <f>if(A128&lt;&gt;"", COUNTIFS(Beans!A:A, A128), "")</f>
        <v>0</v>
      </c>
      <c r="C128" s="35">
        <f>if(A128&lt;&gt;"", COUNTIFS(Beans!A:A, A128, Beans!C:C, "Good" ), "")</f>
        <v>0</v>
      </c>
      <c r="D128" s="35">
        <f>if(A128&lt;&gt;"", COUNTIFS(Beans!A:A, A128, Beans!C:C, "Bad" ), "")</f>
        <v>0</v>
      </c>
      <c r="E128" s="35">
        <f>if(A128&lt;&gt;"", COUNTIFS(Beans!A:A, A128, Beans!C:C, "Spicy" ), "")</f>
        <v>0</v>
      </c>
    </row>
    <row r="129">
      <c r="A129" s="34">
        <f t="shared" si="2"/>
        <v>44979</v>
      </c>
      <c r="B129" s="35">
        <f>if(A129&lt;&gt;"", COUNTIFS(Beans!A:A, A129), "")</f>
        <v>0</v>
      </c>
      <c r="C129" s="35">
        <f>if(A129&lt;&gt;"", COUNTIFS(Beans!A:A, A129, Beans!C:C, "Good" ), "")</f>
        <v>0</v>
      </c>
      <c r="D129" s="35">
        <f>if(A129&lt;&gt;"", COUNTIFS(Beans!A:A, A129, Beans!C:C, "Bad" ), "")</f>
        <v>0</v>
      </c>
      <c r="E129" s="35">
        <f>if(A129&lt;&gt;"", COUNTIFS(Beans!A:A, A129, Beans!C:C, "Spicy" ), "")</f>
        <v>0</v>
      </c>
    </row>
    <row r="130">
      <c r="A130" s="34">
        <f t="shared" si="2"/>
        <v>44980</v>
      </c>
      <c r="B130" s="35">
        <f>if(A130&lt;&gt;"", COUNTIFS(Beans!A:A, A130), "")</f>
        <v>0</v>
      </c>
      <c r="C130" s="35">
        <f>if(A130&lt;&gt;"", COUNTIFS(Beans!A:A, A130, Beans!C:C, "Good" ), "")</f>
        <v>0</v>
      </c>
      <c r="D130" s="35">
        <f>if(A130&lt;&gt;"", COUNTIFS(Beans!A:A, A130, Beans!C:C, "Bad" ), "")</f>
        <v>0</v>
      </c>
      <c r="E130" s="35">
        <f>if(A130&lt;&gt;"", COUNTIFS(Beans!A:A, A130, Beans!C:C, "Spicy" ), "")</f>
        <v>0</v>
      </c>
    </row>
    <row r="131">
      <c r="A131" s="34">
        <f t="shared" si="2"/>
        <v>44981</v>
      </c>
      <c r="B131" s="35">
        <f>if(A131&lt;&gt;"", COUNTIFS(Beans!A:A, A131), "")</f>
        <v>0</v>
      </c>
      <c r="C131" s="35">
        <f>if(A131&lt;&gt;"", COUNTIFS(Beans!A:A, A131, Beans!C:C, "Good" ), "")</f>
        <v>0</v>
      </c>
      <c r="D131" s="35">
        <f>if(A131&lt;&gt;"", COUNTIFS(Beans!A:A, A131, Beans!C:C, "Bad" ), "")</f>
        <v>0</v>
      </c>
      <c r="E131" s="35">
        <f>if(A131&lt;&gt;"", COUNTIFS(Beans!A:A, A131, Beans!C:C, "Spicy" ), "")</f>
        <v>0</v>
      </c>
    </row>
    <row r="132">
      <c r="A132" s="34">
        <f t="shared" si="2"/>
        <v>44982</v>
      </c>
      <c r="B132" s="35">
        <f>if(A132&lt;&gt;"", COUNTIFS(Beans!A:A, A132), "")</f>
        <v>0</v>
      </c>
      <c r="C132" s="35">
        <f>if(A132&lt;&gt;"", COUNTIFS(Beans!A:A, A132, Beans!C:C, "Good" ), "")</f>
        <v>0</v>
      </c>
      <c r="D132" s="35">
        <f>if(A132&lt;&gt;"", COUNTIFS(Beans!A:A, A132, Beans!C:C, "Bad" ), "")</f>
        <v>0</v>
      </c>
      <c r="E132" s="35">
        <f>if(A132&lt;&gt;"", COUNTIFS(Beans!A:A, A132, Beans!C:C, "Spicy" ), "")</f>
        <v>0</v>
      </c>
    </row>
    <row r="133">
      <c r="A133" s="34">
        <f t="shared" si="2"/>
        <v>44983</v>
      </c>
      <c r="B133" s="35">
        <f>if(A133&lt;&gt;"", COUNTIFS(Beans!A:A, A133), "")</f>
        <v>0</v>
      </c>
      <c r="C133" s="35">
        <f>if(A133&lt;&gt;"", COUNTIFS(Beans!A:A, A133, Beans!C:C, "Good" ), "")</f>
        <v>0</v>
      </c>
      <c r="D133" s="35">
        <f>if(A133&lt;&gt;"", COUNTIFS(Beans!A:A, A133, Beans!C:C, "Bad" ), "")</f>
        <v>0</v>
      </c>
      <c r="E133" s="35">
        <f>if(A133&lt;&gt;"", COUNTIFS(Beans!A:A, A133, Beans!C:C, "Spicy" ), "")</f>
        <v>0</v>
      </c>
    </row>
    <row r="134">
      <c r="A134" s="34">
        <f t="shared" si="2"/>
        <v>44984</v>
      </c>
      <c r="B134" s="35">
        <f>if(A134&lt;&gt;"", COUNTIFS(Beans!A:A, A134), "")</f>
        <v>0</v>
      </c>
      <c r="C134" s="35">
        <f>if(A134&lt;&gt;"", COUNTIFS(Beans!A:A, A134, Beans!C:C, "Good" ), "")</f>
        <v>0</v>
      </c>
      <c r="D134" s="35">
        <f>if(A134&lt;&gt;"", COUNTIFS(Beans!A:A, A134, Beans!C:C, "Bad" ), "")</f>
        <v>0</v>
      </c>
      <c r="E134" s="35">
        <f>if(A134&lt;&gt;"", COUNTIFS(Beans!A:A, A134, Beans!C:C, "Spicy" ), "")</f>
        <v>0</v>
      </c>
    </row>
    <row r="135">
      <c r="A135" s="34">
        <f t="shared" si="2"/>
        <v>44985</v>
      </c>
      <c r="B135" s="35">
        <f>if(A135&lt;&gt;"", COUNTIFS(Beans!A:A, A135), "")</f>
        <v>0</v>
      </c>
      <c r="C135" s="35">
        <f>if(A135&lt;&gt;"", COUNTIFS(Beans!A:A, A135, Beans!C:C, "Good" ), "")</f>
        <v>0</v>
      </c>
      <c r="D135" s="35">
        <f>if(A135&lt;&gt;"", COUNTIFS(Beans!A:A, A135, Beans!C:C, "Bad" ), "")</f>
        <v>0</v>
      </c>
      <c r="E135" s="35">
        <f>if(A135&lt;&gt;"", COUNTIFS(Beans!A:A, A135, Beans!C:C, "Spicy" ), "")</f>
        <v>0</v>
      </c>
    </row>
    <row r="136">
      <c r="A136" s="34">
        <f t="shared" si="2"/>
        <v>44986</v>
      </c>
      <c r="B136" s="35">
        <f>if(A136&lt;&gt;"", COUNTIFS(Beans!A:A, A136), "")</f>
        <v>17</v>
      </c>
      <c r="C136" s="35">
        <f>if(A136&lt;&gt;"", COUNTIFS(Beans!A:A, A136, Beans!C:C, "Good" ), "")</f>
        <v>3</v>
      </c>
      <c r="D136" s="35">
        <f>if(A136&lt;&gt;"", COUNTIFS(Beans!A:A, A136, Beans!C:C, "Bad" ), "")</f>
        <v>14</v>
      </c>
      <c r="E136" s="35">
        <f>if(A136&lt;&gt;"", COUNTIFS(Beans!A:A, A136, Beans!C:C, "Spicy" ), "")</f>
        <v>0</v>
      </c>
    </row>
    <row r="137">
      <c r="A137" s="34">
        <f t="shared" si="2"/>
        <v>44987</v>
      </c>
      <c r="B137" s="35">
        <f>if(A137&lt;&gt;"", COUNTIFS(Beans!A:A, A137), "")</f>
        <v>1</v>
      </c>
      <c r="C137" s="35">
        <f>if(A137&lt;&gt;"", COUNTIFS(Beans!A:A, A137, Beans!C:C, "Good" ), "")</f>
        <v>0</v>
      </c>
      <c r="D137" s="35">
        <f>if(A137&lt;&gt;"", COUNTIFS(Beans!A:A, A137, Beans!C:C, "Bad" ), "")</f>
        <v>1</v>
      </c>
      <c r="E137" s="35">
        <f>if(A137&lt;&gt;"", COUNTIFS(Beans!A:A, A137, Beans!C:C, "Spicy" ), "")</f>
        <v>0</v>
      </c>
    </row>
    <row r="138">
      <c r="A138" s="34">
        <f t="shared" si="2"/>
        <v>44988</v>
      </c>
      <c r="B138" s="35">
        <f>if(A138&lt;&gt;"", COUNTIFS(Beans!A:A, A138), "")</f>
        <v>3</v>
      </c>
      <c r="C138" s="35">
        <f>if(A138&lt;&gt;"", COUNTIFS(Beans!A:A, A138, Beans!C:C, "Good" ), "")</f>
        <v>0</v>
      </c>
      <c r="D138" s="35">
        <f>if(A138&lt;&gt;"", COUNTIFS(Beans!A:A, A138, Beans!C:C, "Bad" ), "")</f>
        <v>3</v>
      </c>
      <c r="E138" s="35">
        <f>if(A138&lt;&gt;"", COUNTIFS(Beans!A:A, A138, Beans!C:C, "Spicy" ), "")</f>
        <v>0</v>
      </c>
    </row>
    <row r="139">
      <c r="A139" s="34">
        <f t="shared" si="2"/>
        <v>44989</v>
      </c>
      <c r="B139" s="35">
        <f>if(A139&lt;&gt;"", COUNTIFS(Beans!A:A, A139), "")</f>
        <v>0</v>
      </c>
      <c r="C139" s="35">
        <f>if(A139&lt;&gt;"", COUNTIFS(Beans!A:A, A139, Beans!C:C, "Good" ), "")</f>
        <v>0</v>
      </c>
      <c r="D139" s="35">
        <f>if(A139&lt;&gt;"", COUNTIFS(Beans!A:A, A139, Beans!C:C, "Bad" ), "")</f>
        <v>0</v>
      </c>
      <c r="E139" s="35">
        <f>if(A139&lt;&gt;"", COUNTIFS(Beans!A:A, A139, Beans!C:C, "Spicy" ), "")</f>
        <v>0</v>
      </c>
    </row>
    <row r="140">
      <c r="A140" s="34">
        <f t="shared" si="2"/>
        <v>44990</v>
      </c>
      <c r="B140" s="35">
        <f>if(A140&lt;&gt;"", COUNTIFS(Beans!A:A, A140), "")</f>
        <v>0</v>
      </c>
      <c r="C140" s="35">
        <f>if(A140&lt;&gt;"", COUNTIFS(Beans!A:A, A140, Beans!C:C, "Good" ), "")</f>
        <v>0</v>
      </c>
      <c r="D140" s="35">
        <f>if(A140&lt;&gt;"", COUNTIFS(Beans!A:A, A140, Beans!C:C, "Bad" ), "")</f>
        <v>0</v>
      </c>
      <c r="E140" s="35">
        <f>if(A140&lt;&gt;"", COUNTIFS(Beans!A:A, A140, Beans!C:C, "Spicy" ), "")</f>
        <v>0</v>
      </c>
    </row>
    <row r="141">
      <c r="A141" s="34">
        <f t="shared" si="2"/>
        <v>44991</v>
      </c>
      <c r="B141" s="35">
        <f>if(A141&lt;&gt;"", COUNTIFS(Beans!A:A, A141), "")</f>
        <v>4</v>
      </c>
      <c r="C141" s="35">
        <f>if(A141&lt;&gt;"", COUNTIFS(Beans!A:A, A141, Beans!C:C, "Good" ), "")</f>
        <v>2</v>
      </c>
      <c r="D141" s="35">
        <f>if(A141&lt;&gt;"", COUNTIFS(Beans!A:A, A141, Beans!C:C, "Bad" ), "")</f>
        <v>2</v>
      </c>
      <c r="E141" s="35">
        <f>if(A141&lt;&gt;"", COUNTIFS(Beans!A:A, A141, Beans!C:C, "Spicy" ), "")</f>
        <v>0</v>
      </c>
    </row>
    <row r="142">
      <c r="A142" s="34">
        <f t="shared" si="2"/>
        <v>44992</v>
      </c>
      <c r="B142" s="35">
        <f>if(A142&lt;&gt;"", COUNTIFS(Beans!A:A, A142), "")</f>
        <v>2</v>
      </c>
      <c r="C142" s="35">
        <f>if(A142&lt;&gt;"", COUNTIFS(Beans!A:A, A142, Beans!C:C, "Good" ), "")</f>
        <v>0</v>
      </c>
      <c r="D142" s="35">
        <f>if(A142&lt;&gt;"", COUNTIFS(Beans!A:A, A142, Beans!C:C, "Bad" ), "")</f>
        <v>1</v>
      </c>
      <c r="E142" s="35">
        <f>if(A142&lt;&gt;"", COUNTIFS(Beans!A:A, A142, Beans!C:C, "Spicy" ), "")</f>
        <v>1</v>
      </c>
    </row>
    <row r="143">
      <c r="A143" s="34">
        <f t="shared" si="2"/>
        <v>44993</v>
      </c>
      <c r="B143" s="35">
        <f>if(A143&lt;&gt;"", COUNTIFS(Beans!A:A, A143), "")</f>
        <v>3</v>
      </c>
      <c r="C143" s="35">
        <f>if(A143&lt;&gt;"", COUNTIFS(Beans!A:A, A143, Beans!C:C, "Good" ), "")</f>
        <v>1</v>
      </c>
      <c r="D143" s="35">
        <f>if(A143&lt;&gt;"", COUNTIFS(Beans!A:A, A143, Beans!C:C, "Bad" ), "")</f>
        <v>2</v>
      </c>
      <c r="E143" s="35">
        <f>if(A143&lt;&gt;"", COUNTIFS(Beans!A:A, A143, Beans!C:C, "Spicy" ), "")</f>
        <v>0</v>
      </c>
    </row>
    <row r="144">
      <c r="A144" s="34">
        <f t="shared" si="2"/>
        <v>44994</v>
      </c>
      <c r="B144" s="35">
        <f>if(A144&lt;&gt;"", COUNTIFS(Beans!A:A, A144), "")</f>
        <v>4</v>
      </c>
      <c r="C144" s="35">
        <f>if(A144&lt;&gt;"", COUNTIFS(Beans!A:A, A144, Beans!C:C, "Good" ), "")</f>
        <v>0</v>
      </c>
      <c r="D144" s="35">
        <f>if(A144&lt;&gt;"", COUNTIFS(Beans!A:A, A144, Beans!C:C, "Bad" ), "")</f>
        <v>4</v>
      </c>
      <c r="E144" s="35">
        <f>if(A144&lt;&gt;"", COUNTIFS(Beans!A:A, A144, Beans!C:C, "Spicy" ), "")</f>
        <v>0</v>
      </c>
    </row>
    <row r="145">
      <c r="A145" s="34">
        <f t="shared" si="2"/>
        <v>44995</v>
      </c>
      <c r="B145" s="35">
        <f>if(A145&lt;&gt;"", COUNTIFS(Beans!A:A, A145), "")</f>
        <v>1</v>
      </c>
      <c r="C145" s="35">
        <f>if(A145&lt;&gt;"", COUNTIFS(Beans!A:A, A145, Beans!C:C, "Good" ), "")</f>
        <v>1</v>
      </c>
      <c r="D145" s="35">
        <f>if(A145&lt;&gt;"", COUNTIFS(Beans!A:A, A145, Beans!C:C, "Bad" ), "")</f>
        <v>0</v>
      </c>
      <c r="E145" s="35">
        <f>if(A145&lt;&gt;"", COUNTIFS(Beans!A:A, A145, Beans!C:C, "Spicy" ), "")</f>
        <v>0</v>
      </c>
    </row>
    <row r="146">
      <c r="A146" s="34">
        <f t="shared" si="2"/>
        <v>44996</v>
      </c>
      <c r="B146" s="35">
        <f>if(A146&lt;&gt;"", COUNTIFS(Beans!A:A, A146), "")</f>
        <v>0</v>
      </c>
      <c r="C146" s="35">
        <f>if(A146&lt;&gt;"", COUNTIFS(Beans!A:A, A146, Beans!C:C, "Good" ), "")</f>
        <v>0</v>
      </c>
      <c r="D146" s="35">
        <f>if(A146&lt;&gt;"", COUNTIFS(Beans!A:A, A146, Beans!C:C, "Bad" ), "")</f>
        <v>0</v>
      </c>
      <c r="E146" s="35">
        <f>if(A146&lt;&gt;"", COUNTIFS(Beans!A:A, A146, Beans!C:C, "Spicy" ), "")</f>
        <v>0</v>
      </c>
    </row>
    <row r="147">
      <c r="A147" s="34">
        <f t="shared" si="2"/>
        <v>44997</v>
      </c>
      <c r="B147" s="35">
        <f>if(A147&lt;&gt;"", COUNTIFS(Beans!A:A, A147), "")</f>
        <v>0</v>
      </c>
      <c r="C147" s="35">
        <f>if(A147&lt;&gt;"", COUNTIFS(Beans!A:A, A147, Beans!C:C, "Good" ), "")</f>
        <v>0</v>
      </c>
      <c r="D147" s="35">
        <f>if(A147&lt;&gt;"", COUNTIFS(Beans!A:A, A147, Beans!C:C, "Bad" ), "")</f>
        <v>0</v>
      </c>
      <c r="E147" s="35">
        <f>if(A147&lt;&gt;"", COUNTIFS(Beans!A:A, A147, Beans!C:C, "Spicy" ), "")</f>
        <v>0</v>
      </c>
    </row>
    <row r="148">
      <c r="A148" s="34">
        <f t="shared" si="2"/>
        <v>44998</v>
      </c>
      <c r="B148" s="35">
        <f>if(A148&lt;&gt;"", COUNTIFS(Beans!A:A, A148), "")</f>
        <v>2</v>
      </c>
      <c r="C148" s="35">
        <f>if(A148&lt;&gt;"", COUNTIFS(Beans!A:A, A148, Beans!C:C, "Good" ), "")</f>
        <v>1</v>
      </c>
      <c r="D148" s="35">
        <f>if(A148&lt;&gt;"", COUNTIFS(Beans!A:A, A148, Beans!C:C, "Bad" ), "")</f>
        <v>1</v>
      </c>
      <c r="E148" s="35">
        <f>if(A148&lt;&gt;"", COUNTIFS(Beans!A:A, A148, Beans!C:C, "Spicy" ), "")</f>
        <v>0</v>
      </c>
    </row>
    <row r="149">
      <c r="A149" s="34">
        <f t="shared" si="2"/>
        <v>44999</v>
      </c>
      <c r="B149" s="35">
        <f>if(A149&lt;&gt;"", COUNTIFS(Beans!A:A, A149), "")</f>
        <v>2</v>
      </c>
      <c r="C149" s="35">
        <f>if(A149&lt;&gt;"", COUNTIFS(Beans!A:A, A149, Beans!C:C, "Good" ), "")</f>
        <v>1</v>
      </c>
      <c r="D149" s="35">
        <f>if(A149&lt;&gt;"", COUNTIFS(Beans!A:A, A149, Beans!C:C, "Bad" ), "")</f>
        <v>1</v>
      </c>
      <c r="E149" s="35">
        <f>if(A149&lt;&gt;"", COUNTIFS(Beans!A:A, A149, Beans!C:C, "Spicy" ), "")</f>
        <v>0</v>
      </c>
    </row>
    <row r="150">
      <c r="A150" s="34">
        <f t="shared" si="2"/>
        <v>45000</v>
      </c>
      <c r="B150" s="35">
        <f>if(A150&lt;&gt;"", COUNTIFS(Beans!A:A, A150), "")</f>
        <v>2</v>
      </c>
      <c r="C150" s="35">
        <f>if(A150&lt;&gt;"", COUNTIFS(Beans!A:A, A150, Beans!C:C, "Good" ), "")</f>
        <v>2</v>
      </c>
      <c r="D150" s="35">
        <f>if(A150&lt;&gt;"", COUNTIFS(Beans!A:A, A150, Beans!C:C, "Bad" ), "")</f>
        <v>0</v>
      </c>
      <c r="E150" s="35">
        <f>if(A150&lt;&gt;"", COUNTIFS(Beans!A:A, A150, Beans!C:C, "Spicy" ), "")</f>
        <v>0</v>
      </c>
    </row>
    <row r="151">
      <c r="A151" s="34">
        <f t="shared" si="2"/>
        <v>45001</v>
      </c>
      <c r="B151" s="35">
        <f>if(A151&lt;&gt;"", COUNTIFS(Beans!A:A, A151), "")</f>
        <v>1</v>
      </c>
      <c r="C151" s="35">
        <f>if(A151&lt;&gt;"", COUNTIFS(Beans!A:A, A151, Beans!C:C, "Good" ), "")</f>
        <v>0</v>
      </c>
      <c r="D151" s="35">
        <f>if(A151&lt;&gt;"", COUNTIFS(Beans!A:A, A151, Beans!C:C, "Bad" ), "")</f>
        <v>1</v>
      </c>
      <c r="E151" s="35">
        <f>if(A151&lt;&gt;"", COUNTIFS(Beans!A:A, A151, Beans!C:C, "Spicy" ), "")</f>
        <v>0</v>
      </c>
    </row>
    <row r="152">
      <c r="A152" s="34">
        <f t="shared" si="2"/>
        <v>45002</v>
      </c>
      <c r="B152" s="35">
        <f>if(A152&lt;&gt;"", COUNTIFS(Beans!A:A, A152), "")</f>
        <v>1</v>
      </c>
      <c r="C152" s="35">
        <f>if(A152&lt;&gt;"", COUNTIFS(Beans!A:A, A152, Beans!C:C, "Good" ), "")</f>
        <v>0</v>
      </c>
      <c r="D152" s="35">
        <f>if(A152&lt;&gt;"", COUNTIFS(Beans!A:A, A152, Beans!C:C, "Bad" ), "")</f>
        <v>1</v>
      </c>
      <c r="E152" s="35">
        <f>if(A152&lt;&gt;"", COUNTIFS(Beans!A:A, A152, Beans!C:C, "Spicy" ), "")</f>
        <v>0</v>
      </c>
    </row>
    <row r="153">
      <c r="A153" s="34">
        <f t="shared" si="2"/>
        <v>45003</v>
      </c>
      <c r="B153" s="35">
        <f>if(A153&lt;&gt;"", COUNTIFS(Beans!A:A, A153), "")</f>
        <v>0</v>
      </c>
      <c r="C153" s="35">
        <f>if(A153&lt;&gt;"", COUNTIFS(Beans!A:A, A153, Beans!C:C, "Good" ), "")</f>
        <v>0</v>
      </c>
      <c r="D153" s="35">
        <f>if(A153&lt;&gt;"", COUNTIFS(Beans!A:A, A153, Beans!C:C, "Bad" ), "")</f>
        <v>0</v>
      </c>
      <c r="E153" s="35">
        <f>if(A153&lt;&gt;"", COUNTIFS(Beans!A:A, A153, Beans!C:C, "Spicy" ), "")</f>
        <v>0</v>
      </c>
    </row>
    <row r="154">
      <c r="A154" s="34">
        <f t="shared" si="2"/>
        <v>45004</v>
      </c>
      <c r="B154" s="35">
        <f>if(A154&lt;&gt;"", COUNTIFS(Beans!A:A, A154), "")</f>
        <v>0</v>
      </c>
      <c r="C154" s="35">
        <f>if(A154&lt;&gt;"", COUNTIFS(Beans!A:A, A154, Beans!C:C, "Good" ), "")</f>
        <v>0</v>
      </c>
      <c r="D154" s="35">
        <f>if(A154&lt;&gt;"", COUNTIFS(Beans!A:A, A154, Beans!C:C, "Bad" ), "")</f>
        <v>0</v>
      </c>
      <c r="E154" s="35">
        <f>if(A154&lt;&gt;"", COUNTIFS(Beans!A:A, A154, Beans!C:C, "Spicy" ), "")</f>
        <v>0</v>
      </c>
    </row>
    <row r="155">
      <c r="A155" s="34">
        <f t="shared" si="2"/>
        <v>45005</v>
      </c>
      <c r="B155" s="35">
        <f>if(A155&lt;&gt;"", COUNTIFS(Beans!A:A, A155), "")</f>
        <v>1</v>
      </c>
      <c r="C155" s="35">
        <f>if(A155&lt;&gt;"", COUNTIFS(Beans!A:A, A155, Beans!C:C, "Good" ), "")</f>
        <v>0</v>
      </c>
      <c r="D155" s="35">
        <f>if(A155&lt;&gt;"", COUNTIFS(Beans!A:A, A155, Beans!C:C, "Bad" ), "")</f>
        <v>1</v>
      </c>
      <c r="E155" s="35">
        <f>if(A155&lt;&gt;"", COUNTIFS(Beans!A:A, A155, Beans!C:C, "Spicy" ), "")</f>
        <v>0</v>
      </c>
    </row>
    <row r="156">
      <c r="A156" s="34">
        <f t="shared" si="2"/>
        <v>45006</v>
      </c>
      <c r="B156" s="35">
        <f>if(A156&lt;&gt;"", COUNTIFS(Beans!A:A, A156), "")</f>
        <v>1</v>
      </c>
      <c r="C156" s="35">
        <f>if(A156&lt;&gt;"", COUNTIFS(Beans!A:A, A156, Beans!C:C, "Good" ), "")</f>
        <v>0</v>
      </c>
      <c r="D156" s="35">
        <f>if(A156&lt;&gt;"", COUNTIFS(Beans!A:A, A156, Beans!C:C, "Bad" ), "")</f>
        <v>1</v>
      </c>
      <c r="E156" s="35">
        <f>if(A156&lt;&gt;"", COUNTIFS(Beans!A:A, A156, Beans!C:C, "Spicy" ), "")</f>
        <v>0</v>
      </c>
    </row>
    <row r="157">
      <c r="A157" s="34">
        <f t="shared" si="2"/>
        <v>45007</v>
      </c>
      <c r="B157" s="35">
        <f>if(A157&lt;&gt;"", COUNTIFS(Beans!A:A, A157), "")</f>
        <v>3</v>
      </c>
      <c r="C157" s="35">
        <f>if(A157&lt;&gt;"", COUNTIFS(Beans!A:A, A157, Beans!C:C, "Good" ), "")</f>
        <v>0</v>
      </c>
      <c r="D157" s="35">
        <f>if(A157&lt;&gt;"", COUNTIFS(Beans!A:A, A157, Beans!C:C, "Bad" ), "")</f>
        <v>3</v>
      </c>
      <c r="E157" s="35">
        <f>if(A157&lt;&gt;"", COUNTIFS(Beans!A:A, A157, Beans!C:C, "Spicy" ), "")</f>
        <v>0</v>
      </c>
    </row>
    <row r="158">
      <c r="A158" s="34">
        <f t="shared" si="2"/>
        <v>45008</v>
      </c>
      <c r="B158" s="35">
        <f>if(A158&lt;&gt;"", COUNTIFS(Beans!A:A, A158), "")</f>
        <v>1</v>
      </c>
      <c r="C158" s="35">
        <f>if(A158&lt;&gt;"", COUNTIFS(Beans!A:A, A158, Beans!C:C, "Good" ), "")</f>
        <v>0</v>
      </c>
      <c r="D158" s="35">
        <f>if(A158&lt;&gt;"", COUNTIFS(Beans!A:A, A158, Beans!C:C, "Bad" ), "")</f>
        <v>1</v>
      </c>
      <c r="E158" s="35">
        <f>if(A158&lt;&gt;"", COUNTIFS(Beans!A:A, A158, Beans!C:C, "Spicy" ), "")</f>
        <v>0</v>
      </c>
    </row>
    <row r="159">
      <c r="A159" s="34">
        <f t="shared" si="2"/>
        <v>45009</v>
      </c>
      <c r="B159" s="35">
        <f>if(A159&lt;&gt;"", COUNTIFS(Beans!A:A, A159), "")</f>
        <v>1</v>
      </c>
      <c r="C159" s="35">
        <f>if(A159&lt;&gt;"", COUNTIFS(Beans!A:A, A159, Beans!C:C, "Good" ), "")</f>
        <v>0</v>
      </c>
      <c r="D159" s="35">
        <f>if(A159&lt;&gt;"", COUNTIFS(Beans!A:A, A159, Beans!C:C, "Bad" ), "")</f>
        <v>1</v>
      </c>
      <c r="E159" s="35">
        <f>if(A159&lt;&gt;"", COUNTIFS(Beans!A:A, A159, Beans!C:C, "Spicy" ), "")</f>
        <v>0</v>
      </c>
    </row>
    <row r="160">
      <c r="A160" s="34">
        <f t="shared" si="2"/>
        <v>45010</v>
      </c>
      <c r="B160" s="35">
        <f>if(A160&lt;&gt;"", COUNTIFS(Beans!A:A, A160), "")</f>
        <v>0</v>
      </c>
      <c r="C160" s="35">
        <f>if(A160&lt;&gt;"", COUNTIFS(Beans!A:A, A160, Beans!C:C, "Good" ), "")</f>
        <v>0</v>
      </c>
      <c r="D160" s="35">
        <f>if(A160&lt;&gt;"", COUNTIFS(Beans!A:A, A160, Beans!C:C, "Bad" ), "")</f>
        <v>0</v>
      </c>
      <c r="E160" s="35">
        <f>if(A160&lt;&gt;"", COUNTIFS(Beans!A:A, A160, Beans!C:C, "Spicy" ), "")</f>
        <v>0</v>
      </c>
    </row>
    <row r="161">
      <c r="A161" s="34">
        <f t="shared" si="2"/>
        <v>45011</v>
      </c>
      <c r="B161" s="35">
        <f>if(A161&lt;&gt;"", COUNTIFS(Beans!A:A, A161), "")</f>
        <v>0</v>
      </c>
      <c r="C161" s="35">
        <f>if(A161&lt;&gt;"", COUNTIFS(Beans!A:A, A161, Beans!C:C, "Good" ), "")</f>
        <v>0</v>
      </c>
      <c r="D161" s="35">
        <f>if(A161&lt;&gt;"", COUNTIFS(Beans!A:A, A161, Beans!C:C, "Bad" ), "")</f>
        <v>0</v>
      </c>
      <c r="E161" s="35">
        <f>if(A161&lt;&gt;"", COUNTIFS(Beans!A:A, A161, Beans!C:C, "Spicy" ), "")</f>
        <v>0</v>
      </c>
    </row>
    <row r="162">
      <c r="A162" s="34">
        <f t="shared" si="2"/>
        <v>45012</v>
      </c>
      <c r="B162" s="35">
        <f>if(A162&lt;&gt;"", COUNTIFS(Beans!A:A, A162), "")</f>
        <v>0</v>
      </c>
      <c r="C162" s="35">
        <f>if(A162&lt;&gt;"", COUNTIFS(Beans!A:A, A162, Beans!C:C, "Good" ), "")</f>
        <v>0</v>
      </c>
      <c r="D162" s="35">
        <f>if(A162&lt;&gt;"", COUNTIFS(Beans!A:A, A162, Beans!C:C, "Bad" ), "")</f>
        <v>0</v>
      </c>
      <c r="E162" s="35">
        <f>if(A162&lt;&gt;"", COUNTIFS(Beans!A:A, A162, Beans!C:C, "Spicy" ), "")</f>
        <v>0</v>
      </c>
    </row>
    <row r="163">
      <c r="A163" s="34">
        <f t="shared" si="2"/>
        <v>45013</v>
      </c>
      <c r="B163" s="35">
        <f>if(A163&lt;&gt;"", COUNTIFS(Beans!A:A, A163), "")</f>
        <v>1</v>
      </c>
      <c r="C163" s="35">
        <f>if(A163&lt;&gt;"", COUNTIFS(Beans!A:A, A163, Beans!C:C, "Good" ), "")</f>
        <v>0</v>
      </c>
      <c r="D163" s="35">
        <f>if(A163&lt;&gt;"", COUNTIFS(Beans!A:A, A163, Beans!C:C, "Bad" ), "")</f>
        <v>1</v>
      </c>
      <c r="E163" s="35">
        <f>if(A163&lt;&gt;"", COUNTIFS(Beans!A:A, A163, Beans!C:C, "Spicy" ), "")</f>
        <v>0</v>
      </c>
    </row>
    <row r="164">
      <c r="A164" s="34">
        <f t="shared" si="2"/>
        <v>45014</v>
      </c>
      <c r="B164" s="35">
        <f>if(A164&lt;&gt;"", COUNTIFS(Beans!A:A, A164), "")</f>
        <v>2</v>
      </c>
      <c r="C164" s="35">
        <f>if(A164&lt;&gt;"", COUNTIFS(Beans!A:A, A164, Beans!C:C, "Good" ), "")</f>
        <v>0</v>
      </c>
      <c r="D164" s="35">
        <f>if(A164&lt;&gt;"", COUNTIFS(Beans!A:A, A164, Beans!C:C, "Bad" ), "")</f>
        <v>2</v>
      </c>
      <c r="E164" s="35">
        <f>if(A164&lt;&gt;"", COUNTIFS(Beans!A:A, A164, Beans!C:C, "Spicy" ), "")</f>
        <v>0</v>
      </c>
    </row>
    <row r="165">
      <c r="A165" s="34">
        <f t="shared" si="2"/>
        <v>45015</v>
      </c>
      <c r="B165" s="35">
        <f>if(A165&lt;&gt;"", COUNTIFS(Beans!A:A, A165), "")</f>
        <v>1</v>
      </c>
      <c r="C165" s="35">
        <f>if(A165&lt;&gt;"", COUNTIFS(Beans!A:A, A165, Beans!C:C, "Good" ), "")</f>
        <v>0</v>
      </c>
      <c r="D165" s="35">
        <f>if(A165&lt;&gt;"", COUNTIFS(Beans!A:A, A165, Beans!C:C, "Bad" ), "")</f>
        <v>1</v>
      </c>
      <c r="E165" s="35">
        <f>if(A165&lt;&gt;"", COUNTIFS(Beans!A:A, A165, Beans!C:C, "Spicy" ), "")</f>
        <v>0</v>
      </c>
    </row>
    <row r="166">
      <c r="A166" s="34">
        <f t="shared" si="2"/>
        <v>45016</v>
      </c>
      <c r="B166" s="35">
        <f>if(A166&lt;&gt;"", COUNTIFS(Beans!A:A, A166), "")</f>
        <v>3</v>
      </c>
      <c r="C166" s="35">
        <f>if(A166&lt;&gt;"", COUNTIFS(Beans!A:A, A166, Beans!C:C, "Good" ), "")</f>
        <v>0</v>
      </c>
      <c r="D166" s="35">
        <f>if(A166&lt;&gt;"", COUNTIFS(Beans!A:A, A166, Beans!C:C, "Bad" ), "")</f>
        <v>3</v>
      </c>
      <c r="E166" s="35">
        <f>if(A166&lt;&gt;"", COUNTIFS(Beans!A:A, A166, Beans!C:C, "Spicy" ), "")</f>
        <v>0</v>
      </c>
    </row>
    <row r="167">
      <c r="A167" s="34">
        <f t="shared" si="2"/>
        <v>45017</v>
      </c>
      <c r="B167" s="35">
        <f>if(A167&lt;&gt;"", COUNTIFS(Beans!A:A, A167), "")</f>
        <v>0</v>
      </c>
      <c r="C167" s="35">
        <f>if(A167&lt;&gt;"", COUNTIFS(Beans!A:A, A167, Beans!C:C, "Good" ), "")</f>
        <v>0</v>
      </c>
      <c r="D167" s="35">
        <f>if(A167&lt;&gt;"", COUNTIFS(Beans!A:A, A167, Beans!C:C, "Bad" ), "")</f>
        <v>0</v>
      </c>
      <c r="E167" s="35">
        <f>if(A167&lt;&gt;"", COUNTIFS(Beans!A:A, A167, Beans!C:C, "Spicy" ), "")</f>
        <v>0</v>
      </c>
    </row>
    <row r="168">
      <c r="A168" s="34">
        <f t="shared" si="2"/>
        <v>45018</v>
      </c>
      <c r="B168" s="35">
        <f>if(A168&lt;&gt;"", COUNTIFS(Beans!A:A, A168), "")</f>
        <v>0</v>
      </c>
      <c r="C168" s="35">
        <f>if(A168&lt;&gt;"", COUNTIFS(Beans!A:A, A168, Beans!C:C, "Good" ), "")</f>
        <v>0</v>
      </c>
      <c r="D168" s="35">
        <f>if(A168&lt;&gt;"", COUNTIFS(Beans!A:A, A168, Beans!C:C, "Bad" ), "")</f>
        <v>0</v>
      </c>
      <c r="E168" s="35">
        <f>if(A168&lt;&gt;"", COUNTIFS(Beans!A:A, A168, Beans!C:C, "Spicy" ), "")</f>
        <v>0</v>
      </c>
    </row>
    <row r="169">
      <c r="A169" s="34">
        <f t="shared" si="2"/>
        <v>45019</v>
      </c>
      <c r="B169" s="35">
        <f>if(A169&lt;&gt;"", COUNTIFS(Beans!A:A, A169), "")</f>
        <v>1</v>
      </c>
      <c r="C169" s="35">
        <f>if(A169&lt;&gt;"", COUNTIFS(Beans!A:A, A169, Beans!C:C, "Good" ), "")</f>
        <v>1</v>
      </c>
      <c r="D169" s="35">
        <f>if(A169&lt;&gt;"", COUNTIFS(Beans!A:A, A169, Beans!C:C, "Bad" ), "")</f>
        <v>0</v>
      </c>
      <c r="E169" s="35">
        <f>if(A169&lt;&gt;"", COUNTIFS(Beans!A:A, A169, Beans!C:C, "Spicy" ), "")</f>
        <v>0</v>
      </c>
    </row>
    <row r="170">
      <c r="A170" s="34">
        <f t="shared" si="2"/>
        <v>45020</v>
      </c>
      <c r="B170" s="35">
        <f>if(A170&lt;&gt;"", COUNTIFS(Beans!A:A, A170), "")</f>
        <v>1</v>
      </c>
      <c r="C170" s="35">
        <f>if(A170&lt;&gt;"", COUNTIFS(Beans!A:A, A170, Beans!C:C, "Good" ), "")</f>
        <v>0</v>
      </c>
      <c r="D170" s="35">
        <f>if(A170&lt;&gt;"", COUNTIFS(Beans!A:A, A170, Beans!C:C, "Bad" ), "")</f>
        <v>1</v>
      </c>
      <c r="E170" s="35">
        <f>if(A170&lt;&gt;"", COUNTIFS(Beans!A:A, A170, Beans!C:C, "Spicy" ), "")</f>
        <v>0</v>
      </c>
    </row>
    <row r="171">
      <c r="A171" s="34">
        <f t="shared" si="2"/>
        <v>45021</v>
      </c>
      <c r="B171" s="35">
        <f>if(A171&lt;&gt;"", COUNTIFS(Beans!A:A, A171), "")</f>
        <v>14</v>
      </c>
      <c r="C171" s="35">
        <f>if(A171&lt;&gt;"", COUNTIFS(Beans!A:A, A171, Beans!C:C, "Good" ), "")</f>
        <v>6</v>
      </c>
      <c r="D171" s="35">
        <f>if(A171&lt;&gt;"", COUNTIFS(Beans!A:A, A171, Beans!C:C, "Bad" ), "")</f>
        <v>8</v>
      </c>
      <c r="E171" s="35">
        <f>if(A171&lt;&gt;"", COUNTIFS(Beans!A:A, A171, Beans!C:C, "Spicy" ), "")</f>
        <v>0</v>
      </c>
    </row>
    <row r="172">
      <c r="A172" s="34">
        <f t="shared" si="2"/>
        <v>45022</v>
      </c>
      <c r="B172" s="35">
        <f>if(A172&lt;&gt;"", COUNTIFS(Beans!A:A, A172), "")</f>
        <v>2</v>
      </c>
      <c r="C172" s="35">
        <f>if(A172&lt;&gt;"", COUNTIFS(Beans!A:A, A172, Beans!C:C, "Good" ), "")</f>
        <v>0</v>
      </c>
      <c r="D172" s="35">
        <f>if(A172&lt;&gt;"", COUNTIFS(Beans!A:A, A172, Beans!C:C, "Bad" ), "")</f>
        <v>2</v>
      </c>
      <c r="E172" s="35">
        <f>if(A172&lt;&gt;"", COUNTIFS(Beans!A:A, A172, Beans!C:C, "Spicy" ), "")</f>
        <v>0</v>
      </c>
    </row>
    <row r="173">
      <c r="A173" s="34">
        <f t="shared" si="2"/>
        <v>45023</v>
      </c>
      <c r="B173" s="35">
        <f>if(A173&lt;&gt;"", COUNTIFS(Beans!A:A, A173), "")</f>
        <v>2</v>
      </c>
      <c r="C173" s="35">
        <f>if(A173&lt;&gt;"", COUNTIFS(Beans!A:A, A173, Beans!C:C, "Good" ), "")</f>
        <v>0</v>
      </c>
      <c r="D173" s="35">
        <f>if(A173&lt;&gt;"", COUNTIFS(Beans!A:A, A173, Beans!C:C, "Bad" ), "")</f>
        <v>2</v>
      </c>
      <c r="E173" s="35">
        <f>if(A173&lt;&gt;"", COUNTIFS(Beans!A:A, A173, Beans!C:C, "Spicy" ), "")</f>
        <v>0</v>
      </c>
    </row>
    <row r="174">
      <c r="A174" s="34">
        <f t="shared" si="2"/>
        <v>45024</v>
      </c>
      <c r="B174" s="35">
        <f>if(A174&lt;&gt;"", COUNTIFS(Beans!A:A, A174), "")</f>
        <v>0</v>
      </c>
      <c r="C174" s="35">
        <f>if(A174&lt;&gt;"", COUNTIFS(Beans!A:A, A174, Beans!C:C, "Good" ), "")</f>
        <v>0</v>
      </c>
      <c r="D174" s="35">
        <f>if(A174&lt;&gt;"", COUNTIFS(Beans!A:A, A174, Beans!C:C, "Bad" ), "")</f>
        <v>0</v>
      </c>
      <c r="E174" s="35">
        <f>if(A174&lt;&gt;"", COUNTIFS(Beans!A:A, A174, Beans!C:C, "Spicy" ), "")</f>
        <v>0</v>
      </c>
    </row>
    <row r="175">
      <c r="A175" s="34">
        <f t="shared" si="2"/>
        <v>45025</v>
      </c>
      <c r="B175" s="35">
        <f>if(A175&lt;&gt;"", COUNTIFS(Beans!A:A, A175), "")</f>
        <v>0</v>
      </c>
      <c r="C175" s="35">
        <f>if(A175&lt;&gt;"", COUNTIFS(Beans!A:A, A175, Beans!C:C, "Good" ), "")</f>
        <v>0</v>
      </c>
      <c r="D175" s="35">
        <f>if(A175&lt;&gt;"", COUNTIFS(Beans!A:A, A175, Beans!C:C, "Bad" ), "")</f>
        <v>0</v>
      </c>
      <c r="E175" s="35">
        <f>if(A175&lt;&gt;"", COUNTIFS(Beans!A:A, A175, Beans!C:C, "Spicy" ), "")</f>
        <v>0</v>
      </c>
    </row>
    <row r="176">
      <c r="A176" s="34">
        <f t="shared" si="2"/>
        <v>45026</v>
      </c>
      <c r="B176" s="35">
        <f>if(A176&lt;&gt;"", COUNTIFS(Beans!A:A, A176), "")</f>
        <v>0</v>
      </c>
      <c r="C176" s="35">
        <f>if(A176&lt;&gt;"", COUNTIFS(Beans!A:A, A176, Beans!C:C, "Good" ), "")</f>
        <v>0</v>
      </c>
      <c r="D176" s="35">
        <f>if(A176&lt;&gt;"", COUNTIFS(Beans!A:A, A176, Beans!C:C, "Bad" ), "")</f>
        <v>0</v>
      </c>
      <c r="E176" s="35">
        <f>if(A176&lt;&gt;"", COUNTIFS(Beans!A:A, A176, Beans!C:C, "Spicy" ), "")</f>
        <v>0</v>
      </c>
    </row>
    <row r="177">
      <c r="A177" s="34">
        <f t="shared" si="2"/>
        <v>45027</v>
      </c>
      <c r="B177" s="35">
        <f>if(A177&lt;&gt;"", COUNTIFS(Beans!A:A, A177), "")</f>
        <v>3</v>
      </c>
      <c r="C177" s="35">
        <f>if(A177&lt;&gt;"", COUNTIFS(Beans!A:A, A177, Beans!C:C, "Good" ), "")</f>
        <v>0</v>
      </c>
      <c r="D177" s="35">
        <f>if(A177&lt;&gt;"", COUNTIFS(Beans!A:A, A177, Beans!C:C, "Bad" ), "")</f>
        <v>3</v>
      </c>
      <c r="E177" s="35">
        <f>if(A177&lt;&gt;"", COUNTIFS(Beans!A:A, A177, Beans!C:C, "Spicy" ), "")</f>
        <v>0</v>
      </c>
    </row>
    <row r="178">
      <c r="A178" s="34">
        <f t="shared" si="2"/>
        <v>45028</v>
      </c>
      <c r="B178" s="35">
        <f>if(A178&lt;&gt;"", COUNTIFS(Beans!A:A, A178), "")</f>
        <v>0</v>
      </c>
      <c r="C178" s="35">
        <f>if(A178&lt;&gt;"", COUNTIFS(Beans!A:A, A178, Beans!C:C, "Good" ), "")</f>
        <v>0</v>
      </c>
      <c r="D178" s="35">
        <f>if(A178&lt;&gt;"", COUNTIFS(Beans!A:A, A178, Beans!C:C, "Bad" ), "")</f>
        <v>0</v>
      </c>
      <c r="E178" s="35">
        <f>if(A178&lt;&gt;"", COUNTIFS(Beans!A:A, A178, Beans!C:C, "Spicy" ), "")</f>
        <v>0</v>
      </c>
    </row>
    <row r="179">
      <c r="A179" s="34">
        <f t="shared" si="2"/>
        <v>45029</v>
      </c>
      <c r="B179" s="35">
        <f>if(A179&lt;&gt;"", COUNTIFS(Beans!A:A, A179), "")</f>
        <v>0</v>
      </c>
      <c r="C179" s="35">
        <f>if(A179&lt;&gt;"", COUNTIFS(Beans!A:A, A179, Beans!C:C, "Good" ), "")</f>
        <v>0</v>
      </c>
      <c r="D179" s="35">
        <f>if(A179&lt;&gt;"", COUNTIFS(Beans!A:A, A179, Beans!C:C, "Bad" ), "")</f>
        <v>0</v>
      </c>
      <c r="E179" s="35">
        <f>if(A179&lt;&gt;"", COUNTIFS(Beans!A:A, A179, Beans!C:C, "Spicy" ), "")</f>
        <v>0</v>
      </c>
    </row>
    <row r="180">
      <c r="A180" s="34">
        <f t="shared" si="2"/>
        <v>45030</v>
      </c>
      <c r="B180" s="35">
        <f>if(A180&lt;&gt;"", COUNTIFS(Beans!A:A, A180), "")</f>
        <v>2</v>
      </c>
      <c r="C180" s="35">
        <f>if(A180&lt;&gt;"", COUNTIFS(Beans!A:A, A180, Beans!C:C, "Good" ), "")</f>
        <v>1</v>
      </c>
      <c r="D180" s="35">
        <f>if(A180&lt;&gt;"", COUNTIFS(Beans!A:A, A180, Beans!C:C, "Bad" ), "")</f>
        <v>0</v>
      </c>
      <c r="E180" s="35">
        <f>if(A180&lt;&gt;"", COUNTIFS(Beans!A:A, A180, Beans!C:C, "Spicy" ), "")</f>
        <v>1</v>
      </c>
    </row>
    <row r="181">
      <c r="A181" s="34">
        <f t="shared" si="2"/>
        <v>45031</v>
      </c>
      <c r="B181" s="35">
        <f>if(A181&lt;&gt;"", COUNTIFS(Beans!A:A, A181), "")</f>
        <v>0</v>
      </c>
      <c r="C181" s="35">
        <f>if(A181&lt;&gt;"", COUNTIFS(Beans!A:A, A181, Beans!C:C, "Good" ), "")</f>
        <v>0</v>
      </c>
      <c r="D181" s="35">
        <f>if(A181&lt;&gt;"", COUNTIFS(Beans!A:A, A181, Beans!C:C, "Bad" ), "")</f>
        <v>0</v>
      </c>
      <c r="E181" s="35">
        <f>if(A181&lt;&gt;"", COUNTIFS(Beans!A:A, A181, Beans!C:C, "Spicy" ), "")</f>
        <v>0</v>
      </c>
    </row>
    <row r="182">
      <c r="A182" s="34">
        <f t="shared" si="2"/>
        <v>45032</v>
      </c>
      <c r="B182" s="35">
        <f>if(A182&lt;&gt;"", COUNTIFS(Beans!A:A, A182), "")</f>
        <v>0</v>
      </c>
      <c r="C182" s="35">
        <f>if(A182&lt;&gt;"", COUNTIFS(Beans!A:A, A182, Beans!C:C, "Good" ), "")</f>
        <v>0</v>
      </c>
      <c r="D182" s="35">
        <f>if(A182&lt;&gt;"", COUNTIFS(Beans!A:A, A182, Beans!C:C, "Bad" ), "")</f>
        <v>0</v>
      </c>
      <c r="E182" s="35">
        <f>if(A182&lt;&gt;"", COUNTIFS(Beans!A:A, A182, Beans!C:C, "Spicy" ), "")</f>
        <v>0</v>
      </c>
    </row>
    <row r="183">
      <c r="A183" s="34">
        <f t="shared" si="2"/>
        <v>45033</v>
      </c>
      <c r="B183" s="35">
        <f>if(A183&lt;&gt;"", COUNTIFS(Beans!A:A, A183), "")</f>
        <v>7</v>
      </c>
      <c r="C183" s="35">
        <f>if(A183&lt;&gt;"", COUNTIFS(Beans!A:A, A183, Beans!C:C, "Good" ), "")</f>
        <v>0</v>
      </c>
      <c r="D183" s="35">
        <f>if(A183&lt;&gt;"", COUNTIFS(Beans!A:A, A183, Beans!C:C, "Bad" ), "")</f>
        <v>0</v>
      </c>
      <c r="E183" s="35">
        <f>if(A183&lt;&gt;"", COUNTIFS(Beans!A:A, A183, Beans!C:C, "Spicy" ), "")</f>
        <v>7</v>
      </c>
    </row>
    <row r="184">
      <c r="A184" s="34">
        <f t="shared" si="2"/>
        <v>45034</v>
      </c>
      <c r="B184" s="35">
        <f>if(A184&lt;&gt;"", COUNTIFS(Beans!A:A, A184), "")</f>
        <v>5</v>
      </c>
      <c r="C184" s="35">
        <f>if(A184&lt;&gt;"", COUNTIFS(Beans!A:A, A184, Beans!C:C, "Good" ), "")</f>
        <v>0</v>
      </c>
      <c r="D184" s="35">
        <f>if(A184&lt;&gt;"", COUNTIFS(Beans!A:A, A184, Beans!C:C, "Bad" ), "")</f>
        <v>0</v>
      </c>
      <c r="E184" s="35">
        <f>if(A184&lt;&gt;"", COUNTIFS(Beans!A:A, A184, Beans!C:C, "Spicy" ), "")</f>
        <v>5</v>
      </c>
    </row>
    <row r="185">
      <c r="A185" s="34">
        <f t="shared" si="2"/>
        <v>45035</v>
      </c>
      <c r="B185" s="35">
        <f>if(A185&lt;&gt;"", COUNTIFS(Beans!A:A, A185), "")</f>
        <v>6</v>
      </c>
      <c r="C185" s="35">
        <f>if(A185&lt;&gt;"", COUNTIFS(Beans!A:A, A185, Beans!C:C, "Good" ), "")</f>
        <v>0</v>
      </c>
      <c r="D185" s="35">
        <f>if(A185&lt;&gt;"", COUNTIFS(Beans!A:A, A185, Beans!C:C, "Bad" ), "")</f>
        <v>0</v>
      </c>
      <c r="E185" s="35">
        <f>if(A185&lt;&gt;"", COUNTIFS(Beans!A:A, A185, Beans!C:C, "Spicy" ), "")</f>
        <v>6</v>
      </c>
    </row>
    <row r="186">
      <c r="A186" s="34">
        <f t="shared" si="2"/>
        <v>45036</v>
      </c>
      <c r="B186" s="35">
        <f>if(A186&lt;&gt;"", COUNTIFS(Beans!A:A, A186), "")</f>
        <v>4</v>
      </c>
      <c r="C186" s="35">
        <f>if(A186&lt;&gt;"", COUNTIFS(Beans!A:A, A186, Beans!C:C, "Good" ), "")</f>
        <v>1</v>
      </c>
      <c r="D186" s="35">
        <f>if(A186&lt;&gt;"", COUNTIFS(Beans!A:A, A186, Beans!C:C, "Bad" ), "")</f>
        <v>3</v>
      </c>
      <c r="E186" s="35">
        <f>if(A186&lt;&gt;"", COUNTIFS(Beans!A:A, A186, Beans!C:C, "Spicy" ), "")</f>
        <v>0</v>
      </c>
    </row>
    <row r="187">
      <c r="A187" s="34">
        <f t="shared" si="2"/>
        <v>45037</v>
      </c>
      <c r="B187" s="35">
        <f>if(A187&lt;&gt;"", COUNTIFS(Beans!A:A, A187), "")</f>
        <v>5</v>
      </c>
      <c r="C187" s="35">
        <f>if(A187&lt;&gt;"", COUNTIFS(Beans!A:A, A187, Beans!C:C, "Good" ), "")</f>
        <v>1</v>
      </c>
      <c r="D187" s="35">
        <f>if(A187&lt;&gt;"", COUNTIFS(Beans!A:A, A187, Beans!C:C, "Bad" ), "")</f>
        <v>4</v>
      </c>
      <c r="E187" s="35">
        <f>if(A187&lt;&gt;"", COUNTIFS(Beans!A:A, A187, Beans!C:C, "Spicy" ), "")</f>
        <v>0</v>
      </c>
    </row>
    <row r="188">
      <c r="A188" s="34">
        <f t="shared" si="2"/>
        <v>45038</v>
      </c>
      <c r="B188" s="35">
        <f>if(A188&lt;&gt;"", COUNTIFS(Beans!A:A, A188), "")</f>
        <v>0</v>
      </c>
      <c r="C188" s="35">
        <f>if(A188&lt;&gt;"", COUNTIFS(Beans!A:A, A188, Beans!C:C, "Good" ), "")</f>
        <v>0</v>
      </c>
      <c r="D188" s="35">
        <f>if(A188&lt;&gt;"", COUNTIFS(Beans!A:A, A188, Beans!C:C, "Bad" ), "")</f>
        <v>0</v>
      </c>
      <c r="E188" s="35">
        <f>if(A188&lt;&gt;"", COUNTIFS(Beans!A:A, A188, Beans!C:C, "Spicy" ), "")</f>
        <v>0</v>
      </c>
    </row>
    <row r="189">
      <c r="A189" s="34">
        <f t="shared" si="2"/>
        <v>45039</v>
      </c>
      <c r="B189" s="35">
        <f>if(A189&lt;&gt;"", COUNTIFS(Beans!A:A, A189), "")</f>
        <v>0</v>
      </c>
      <c r="C189" s="35">
        <f>if(A189&lt;&gt;"", COUNTIFS(Beans!A:A, A189, Beans!C:C, "Good" ), "")</f>
        <v>0</v>
      </c>
      <c r="D189" s="35">
        <f>if(A189&lt;&gt;"", COUNTIFS(Beans!A:A, A189, Beans!C:C, "Bad" ), "")</f>
        <v>0</v>
      </c>
      <c r="E189" s="35">
        <f>if(A189&lt;&gt;"", COUNTIFS(Beans!A:A, A189, Beans!C:C, "Spicy" ), "")</f>
        <v>0</v>
      </c>
    </row>
    <row r="190">
      <c r="A190" s="34">
        <f t="shared" si="2"/>
        <v>45040</v>
      </c>
      <c r="B190" s="35">
        <f>if(A190&lt;&gt;"", COUNTIFS(Beans!A:A, A190), "")</f>
        <v>2</v>
      </c>
      <c r="C190" s="35">
        <f>if(A190&lt;&gt;"", COUNTIFS(Beans!A:A, A190, Beans!C:C, "Good" ), "")</f>
        <v>0</v>
      </c>
      <c r="D190" s="35">
        <f>if(A190&lt;&gt;"", COUNTIFS(Beans!A:A, A190, Beans!C:C, "Bad" ), "")</f>
        <v>2</v>
      </c>
      <c r="E190" s="35">
        <f>if(A190&lt;&gt;"", COUNTIFS(Beans!A:A, A190, Beans!C:C, "Spicy" ), "")</f>
        <v>0</v>
      </c>
    </row>
    <row r="191">
      <c r="A191" s="34">
        <f t="shared" si="2"/>
        <v>45041</v>
      </c>
      <c r="B191" s="35">
        <f>if(A191&lt;&gt;"", COUNTIFS(Beans!A:A, A191), "")</f>
        <v>2</v>
      </c>
      <c r="C191" s="35">
        <f>if(A191&lt;&gt;"", COUNTIFS(Beans!A:A, A191, Beans!C:C, "Good" ), "")</f>
        <v>0</v>
      </c>
      <c r="D191" s="35">
        <f>if(A191&lt;&gt;"", COUNTIFS(Beans!A:A, A191, Beans!C:C, "Bad" ), "")</f>
        <v>2</v>
      </c>
      <c r="E191" s="35">
        <f>if(A191&lt;&gt;"", COUNTIFS(Beans!A:A, A191, Beans!C:C, "Spicy" ), "")</f>
        <v>0</v>
      </c>
    </row>
    <row r="192">
      <c r="A192" s="34">
        <f t="shared" si="2"/>
        <v>45042</v>
      </c>
      <c r="B192" s="35">
        <f>if(A192&lt;&gt;"", COUNTIFS(Beans!A:A, A192), "")</f>
        <v>15</v>
      </c>
      <c r="C192" s="35">
        <f>if(A192&lt;&gt;"", COUNTIFS(Beans!A:A, A192, Beans!C:C, "Good" ), "")</f>
        <v>6</v>
      </c>
      <c r="D192" s="35">
        <f>if(A192&lt;&gt;"", COUNTIFS(Beans!A:A, A192, Beans!C:C, "Bad" ), "")</f>
        <v>9</v>
      </c>
      <c r="E192" s="35">
        <f>if(A192&lt;&gt;"", COUNTIFS(Beans!A:A, A192, Beans!C:C, "Spicy" ), "")</f>
        <v>0</v>
      </c>
    </row>
    <row r="193">
      <c r="A193" s="34">
        <f t="shared" si="2"/>
        <v>45043</v>
      </c>
      <c r="B193" s="35">
        <f>if(A193&lt;&gt;"", COUNTIFS(Beans!A:A, A193), "")</f>
        <v>2</v>
      </c>
      <c r="C193" s="35">
        <f>if(A193&lt;&gt;"", COUNTIFS(Beans!A:A, A193, Beans!C:C, "Good" ), "")</f>
        <v>0</v>
      </c>
      <c r="D193" s="35">
        <f>if(A193&lt;&gt;"", COUNTIFS(Beans!A:A, A193, Beans!C:C, "Bad" ), "")</f>
        <v>2</v>
      </c>
      <c r="E193" s="35">
        <f>if(A193&lt;&gt;"", COUNTIFS(Beans!A:A, A193, Beans!C:C, "Spicy" ), "")</f>
        <v>0</v>
      </c>
    </row>
    <row r="194">
      <c r="A194" s="34">
        <f t="shared" si="2"/>
        <v>45044</v>
      </c>
      <c r="B194" s="35">
        <f>if(A194&lt;&gt;"", COUNTIFS(Beans!A:A, A194), "")</f>
        <v>1</v>
      </c>
      <c r="C194" s="35">
        <f>if(A194&lt;&gt;"", COUNTIFS(Beans!A:A, A194, Beans!C:C, "Good" ), "")</f>
        <v>1</v>
      </c>
      <c r="D194" s="35">
        <f>if(A194&lt;&gt;"", COUNTIFS(Beans!A:A, A194, Beans!C:C, "Bad" ), "")</f>
        <v>0</v>
      </c>
      <c r="E194" s="35">
        <f>if(A194&lt;&gt;"", COUNTIFS(Beans!A:A, A194, Beans!C:C, "Spicy" ), "")</f>
        <v>0</v>
      </c>
    </row>
    <row r="195">
      <c r="A195" s="34">
        <f t="shared" si="2"/>
        <v>45045</v>
      </c>
      <c r="B195" s="35">
        <f>if(A195&lt;&gt;"", COUNTIFS(Beans!A:A, A195), "")</f>
        <v>0</v>
      </c>
      <c r="C195" s="35">
        <f>if(A195&lt;&gt;"", COUNTIFS(Beans!A:A, A195, Beans!C:C, "Good" ), "")</f>
        <v>0</v>
      </c>
      <c r="D195" s="35">
        <f>if(A195&lt;&gt;"", COUNTIFS(Beans!A:A, A195, Beans!C:C, "Bad" ), "")</f>
        <v>0</v>
      </c>
      <c r="E195" s="35">
        <f>if(A195&lt;&gt;"", COUNTIFS(Beans!A:A, A195, Beans!C:C, "Spicy" ), "")</f>
        <v>0</v>
      </c>
    </row>
    <row r="196">
      <c r="A196" s="34">
        <f t="shared" si="2"/>
        <v>45046</v>
      </c>
      <c r="B196" s="35">
        <f>if(A196&lt;&gt;"", COUNTIFS(Beans!A:A, A196), "")</f>
        <v>0</v>
      </c>
      <c r="C196" s="35">
        <f>if(A196&lt;&gt;"", COUNTIFS(Beans!A:A, A196, Beans!C:C, "Good" ), "")</f>
        <v>0</v>
      </c>
      <c r="D196" s="35">
        <f>if(A196&lt;&gt;"", COUNTIFS(Beans!A:A, A196, Beans!C:C, "Bad" ), "")</f>
        <v>0</v>
      </c>
      <c r="E196" s="35">
        <f>if(A196&lt;&gt;"", COUNTIFS(Beans!A:A, A196, Beans!C:C, "Spicy" ), "")</f>
        <v>0</v>
      </c>
    </row>
    <row r="197">
      <c r="A197" s="34">
        <f t="shared" si="2"/>
        <v>45047</v>
      </c>
      <c r="B197" s="35">
        <f>if(A197&lt;&gt;"", COUNTIFS(Beans!A:A, A197), "")</f>
        <v>1</v>
      </c>
      <c r="C197" s="35">
        <f>if(A197&lt;&gt;"", COUNTIFS(Beans!A:A, A197, Beans!C:C, "Good" ), "")</f>
        <v>0</v>
      </c>
      <c r="D197" s="35">
        <f>if(A197&lt;&gt;"", COUNTIFS(Beans!A:A, A197, Beans!C:C, "Bad" ), "")</f>
        <v>1</v>
      </c>
      <c r="E197" s="35">
        <f>if(A197&lt;&gt;"", COUNTIFS(Beans!A:A, A197, Beans!C:C, "Spicy" ), "")</f>
        <v>0</v>
      </c>
    </row>
    <row r="198">
      <c r="A198" s="34">
        <f t="shared" si="2"/>
        <v>45048</v>
      </c>
      <c r="B198" s="35">
        <f>if(A198&lt;&gt;"", COUNTIFS(Beans!A:A, A198), "")</f>
        <v>2</v>
      </c>
      <c r="C198" s="35">
        <f>if(A198&lt;&gt;"", COUNTIFS(Beans!A:A, A198, Beans!C:C, "Good" ), "")</f>
        <v>0</v>
      </c>
      <c r="D198" s="35">
        <f>if(A198&lt;&gt;"", COUNTIFS(Beans!A:A, A198, Beans!C:C, "Bad" ), "")</f>
        <v>2</v>
      </c>
      <c r="E198" s="35">
        <f>if(A198&lt;&gt;"", COUNTIFS(Beans!A:A, A198, Beans!C:C, "Spicy" ), "")</f>
        <v>0</v>
      </c>
    </row>
    <row r="199">
      <c r="A199" s="34">
        <f t="shared" si="2"/>
        <v>45049</v>
      </c>
      <c r="B199" s="35">
        <f>if(A199&lt;&gt;"", COUNTIFS(Beans!A:A, A199), "")</f>
        <v>3</v>
      </c>
      <c r="C199" s="35">
        <f>if(A199&lt;&gt;"", COUNTIFS(Beans!A:A, A199, Beans!C:C, "Good" ), "")</f>
        <v>0</v>
      </c>
      <c r="D199" s="35">
        <f>if(A199&lt;&gt;"", COUNTIFS(Beans!A:A, A199, Beans!C:C, "Bad" ), "")</f>
        <v>3</v>
      </c>
      <c r="E199" s="35">
        <f>if(A199&lt;&gt;"", COUNTIFS(Beans!A:A, A199, Beans!C:C, "Spicy" ), "")</f>
        <v>0</v>
      </c>
    </row>
    <row r="200">
      <c r="A200" s="34">
        <f t="shared" si="2"/>
        <v>45050</v>
      </c>
      <c r="B200" s="35">
        <f>if(A200&lt;&gt;"", COUNTIFS(Beans!A:A, A200), "")</f>
        <v>0</v>
      </c>
      <c r="C200" s="35">
        <f>if(A200&lt;&gt;"", COUNTIFS(Beans!A:A, A200, Beans!C:C, "Good" ), "")</f>
        <v>0</v>
      </c>
      <c r="D200" s="35">
        <f>if(A200&lt;&gt;"", COUNTIFS(Beans!A:A, A200, Beans!C:C, "Bad" ), "")</f>
        <v>0</v>
      </c>
      <c r="E200" s="35">
        <f>if(A200&lt;&gt;"", COUNTIFS(Beans!A:A, A200, Beans!C:C, "Spicy" ), "")</f>
        <v>0</v>
      </c>
    </row>
    <row r="201">
      <c r="A201" s="34">
        <f t="shared" si="2"/>
        <v>45051</v>
      </c>
      <c r="B201" s="35">
        <f>if(A201&lt;&gt;"", COUNTIFS(Beans!A:A, A201), "")</f>
        <v>4</v>
      </c>
      <c r="C201" s="35">
        <f>if(A201&lt;&gt;"", COUNTIFS(Beans!A:A, A201, Beans!C:C, "Good" ), "")</f>
        <v>0</v>
      </c>
      <c r="D201" s="35">
        <f>if(A201&lt;&gt;"", COUNTIFS(Beans!A:A, A201, Beans!C:C, "Bad" ), "")</f>
        <v>4</v>
      </c>
      <c r="E201" s="35">
        <f>if(A201&lt;&gt;"", COUNTIFS(Beans!A:A, A201, Beans!C:C, "Spicy" ), "")</f>
        <v>0</v>
      </c>
    </row>
    <row r="202">
      <c r="A202" s="34">
        <f t="shared" si="2"/>
        <v>45052</v>
      </c>
      <c r="B202" s="35">
        <f>if(A202&lt;&gt;"", COUNTIFS(Beans!A:A, A202), "")</f>
        <v>0</v>
      </c>
      <c r="C202" s="35">
        <f>if(A202&lt;&gt;"", COUNTIFS(Beans!A:A, A202, Beans!C:C, "Good" ), "")</f>
        <v>0</v>
      </c>
      <c r="D202" s="35">
        <f>if(A202&lt;&gt;"", COUNTIFS(Beans!A:A, A202, Beans!C:C, "Bad" ), "")</f>
        <v>0</v>
      </c>
      <c r="E202" s="35">
        <f>if(A202&lt;&gt;"", COUNTIFS(Beans!A:A, A202, Beans!C:C, "Spicy" ), "")</f>
        <v>0</v>
      </c>
    </row>
    <row r="203">
      <c r="A203" s="34">
        <f t="shared" si="2"/>
        <v>45053</v>
      </c>
      <c r="B203" s="35">
        <f>if(A203&lt;&gt;"", COUNTIFS(Beans!A:A, A203), "")</f>
        <v>0</v>
      </c>
      <c r="C203" s="35">
        <f>if(A203&lt;&gt;"", COUNTIFS(Beans!A:A, A203, Beans!C:C, "Good" ), "")</f>
        <v>0</v>
      </c>
      <c r="D203" s="35">
        <f>if(A203&lt;&gt;"", COUNTIFS(Beans!A:A, A203, Beans!C:C, "Bad" ), "")</f>
        <v>0</v>
      </c>
      <c r="E203" s="35">
        <f>if(A203&lt;&gt;"", COUNTIFS(Beans!A:A, A203, Beans!C:C, "Spicy" ), "")</f>
        <v>0</v>
      </c>
    </row>
    <row r="204">
      <c r="A204" s="34">
        <f t="shared" si="2"/>
        <v>45054</v>
      </c>
      <c r="B204" s="35">
        <f>if(A204&lt;&gt;"", COUNTIFS(Beans!A:A, A204), "")</f>
        <v>1</v>
      </c>
      <c r="C204" s="35">
        <f>if(A204&lt;&gt;"", COUNTIFS(Beans!A:A, A204, Beans!C:C, "Good" ), "")</f>
        <v>0</v>
      </c>
      <c r="D204" s="35">
        <f>if(A204&lt;&gt;"", COUNTIFS(Beans!A:A, A204, Beans!C:C, "Bad" ), "")</f>
        <v>1</v>
      </c>
      <c r="E204" s="35">
        <f>if(A204&lt;&gt;"", COUNTIFS(Beans!A:A, A204, Beans!C:C, "Spicy" ), "")</f>
        <v>0</v>
      </c>
    </row>
    <row r="205">
      <c r="A205" s="34">
        <f t="shared" si="2"/>
        <v>45055</v>
      </c>
      <c r="B205" s="35">
        <f>if(A205&lt;&gt;"", COUNTIFS(Beans!A:A, A205), "")</f>
        <v>2</v>
      </c>
      <c r="C205" s="35">
        <f>if(A205&lt;&gt;"", COUNTIFS(Beans!A:A, A205, Beans!C:C, "Good" ), "")</f>
        <v>0</v>
      </c>
      <c r="D205" s="35">
        <f>if(A205&lt;&gt;"", COUNTIFS(Beans!A:A, A205, Beans!C:C, "Bad" ), "")</f>
        <v>2</v>
      </c>
      <c r="E205" s="35">
        <f>if(A205&lt;&gt;"", COUNTIFS(Beans!A:A, A205, Beans!C:C, "Spicy" ), "")</f>
        <v>0</v>
      </c>
    </row>
    <row r="206">
      <c r="A206" s="34">
        <f t="shared" si="2"/>
        <v>45056</v>
      </c>
      <c r="B206" s="35">
        <f>if(A206&lt;&gt;"", COUNTIFS(Beans!A:A, A206), "")</f>
        <v>1</v>
      </c>
      <c r="C206" s="35">
        <f>if(A206&lt;&gt;"", COUNTIFS(Beans!A:A, A206, Beans!C:C, "Good" ), "")</f>
        <v>0</v>
      </c>
      <c r="D206" s="35">
        <f>if(A206&lt;&gt;"", COUNTIFS(Beans!A:A, A206, Beans!C:C, "Bad" ), "")</f>
        <v>1</v>
      </c>
      <c r="E206" s="35">
        <f>if(A206&lt;&gt;"", COUNTIFS(Beans!A:A, A206, Beans!C:C, "Spicy" ), "")</f>
        <v>0</v>
      </c>
    </row>
    <row r="207">
      <c r="A207" s="34">
        <f t="shared" si="2"/>
        <v>45057</v>
      </c>
      <c r="B207" s="35">
        <f>if(A207&lt;&gt;"", COUNTIFS(Beans!A:A, A207), "")</f>
        <v>2</v>
      </c>
      <c r="C207" s="35">
        <f>if(A207&lt;&gt;"", COUNTIFS(Beans!A:A, A207, Beans!C:C, "Good" ), "")</f>
        <v>0</v>
      </c>
      <c r="D207" s="35">
        <f>if(A207&lt;&gt;"", COUNTIFS(Beans!A:A, A207, Beans!C:C, "Bad" ), "")</f>
        <v>2</v>
      </c>
      <c r="E207" s="35">
        <f>if(A207&lt;&gt;"", COUNTIFS(Beans!A:A, A207, Beans!C:C, "Spicy" ), "")</f>
        <v>0</v>
      </c>
    </row>
    <row r="208">
      <c r="A208" s="34">
        <f t="shared" si="2"/>
        <v>45058</v>
      </c>
      <c r="B208" s="35">
        <f>if(A208&lt;&gt;"", COUNTIFS(Beans!A:A, A208), "")</f>
        <v>0</v>
      </c>
      <c r="C208" s="35">
        <f>if(A208&lt;&gt;"", COUNTIFS(Beans!A:A, A208, Beans!C:C, "Good" ), "")</f>
        <v>0</v>
      </c>
      <c r="D208" s="35">
        <f>if(A208&lt;&gt;"", COUNTIFS(Beans!A:A, A208, Beans!C:C, "Bad" ), "")</f>
        <v>0</v>
      </c>
      <c r="E208" s="35">
        <f>if(A208&lt;&gt;"", COUNTIFS(Beans!A:A, A208, Beans!C:C, "Spicy" ), "")</f>
        <v>0</v>
      </c>
    </row>
    <row r="209">
      <c r="A209" s="34">
        <f t="shared" si="2"/>
        <v>45059</v>
      </c>
      <c r="B209" s="35">
        <f>if(A209&lt;&gt;"", COUNTIFS(Beans!A:A, A209), "")</f>
        <v>0</v>
      </c>
      <c r="C209" s="35">
        <f>if(A209&lt;&gt;"", COUNTIFS(Beans!A:A, A209, Beans!C:C, "Good" ), "")</f>
        <v>0</v>
      </c>
      <c r="D209" s="35">
        <f>if(A209&lt;&gt;"", COUNTIFS(Beans!A:A, A209, Beans!C:C, "Bad" ), "")</f>
        <v>0</v>
      </c>
      <c r="E209" s="35">
        <f>if(A209&lt;&gt;"", COUNTIFS(Beans!A:A, A209, Beans!C:C, "Spicy" ), "")</f>
        <v>0</v>
      </c>
    </row>
    <row r="210">
      <c r="A210" s="34">
        <f t="shared" si="2"/>
        <v>45060</v>
      </c>
      <c r="B210" s="35">
        <f>if(A210&lt;&gt;"", COUNTIFS(Beans!A:A, A210), "")</f>
        <v>0</v>
      </c>
      <c r="C210" s="35">
        <f>if(A210&lt;&gt;"", COUNTIFS(Beans!A:A, A210, Beans!C:C, "Good" ), "")</f>
        <v>0</v>
      </c>
      <c r="D210" s="35">
        <f>if(A210&lt;&gt;"", COUNTIFS(Beans!A:A, A210, Beans!C:C, "Bad" ), "")</f>
        <v>0</v>
      </c>
      <c r="E210" s="35">
        <f>if(A210&lt;&gt;"", COUNTIFS(Beans!A:A, A210, Beans!C:C, "Spicy" ), "")</f>
        <v>0</v>
      </c>
    </row>
    <row r="211">
      <c r="A211" s="34">
        <f t="shared" si="2"/>
        <v>45061</v>
      </c>
      <c r="B211" s="35">
        <f>if(A211&lt;&gt;"", COUNTIFS(Beans!A:A, A211), "")</f>
        <v>0</v>
      </c>
      <c r="C211" s="35">
        <f>if(A211&lt;&gt;"", COUNTIFS(Beans!A:A, A211, Beans!C:C, "Good" ), "")</f>
        <v>0</v>
      </c>
      <c r="D211" s="35">
        <f>if(A211&lt;&gt;"", COUNTIFS(Beans!A:A, A211, Beans!C:C, "Bad" ), "")</f>
        <v>0</v>
      </c>
      <c r="E211" s="35">
        <f>if(A211&lt;&gt;"", COUNTIFS(Beans!A:A, A211, Beans!C:C, "Spicy" ), "")</f>
        <v>0</v>
      </c>
    </row>
    <row r="212">
      <c r="A212" s="34">
        <f t="shared" si="2"/>
        <v>45062</v>
      </c>
      <c r="B212" s="35">
        <f>if(A212&lt;&gt;"", COUNTIFS(Beans!A:A, A212), "")</f>
        <v>2</v>
      </c>
      <c r="C212" s="35">
        <f>if(A212&lt;&gt;"", COUNTIFS(Beans!A:A, A212, Beans!C:C, "Good" ), "")</f>
        <v>1</v>
      </c>
      <c r="D212" s="35">
        <f>if(A212&lt;&gt;"", COUNTIFS(Beans!A:A, A212, Beans!C:C, "Bad" ), "")</f>
        <v>1</v>
      </c>
      <c r="E212" s="35">
        <f>if(A212&lt;&gt;"", COUNTIFS(Beans!A:A, A212, Beans!C:C, "Spicy" ), "")</f>
        <v>0</v>
      </c>
    </row>
    <row r="213">
      <c r="A213" s="34">
        <f t="shared" si="2"/>
        <v>45063</v>
      </c>
      <c r="B213" s="35">
        <f>if(A213&lt;&gt;"", COUNTIFS(Beans!A:A, A213), "")</f>
        <v>1</v>
      </c>
      <c r="C213" s="35">
        <f>if(A213&lt;&gt;"", COUNTIFS(Beans!A:A, A213, Beans!C:C, "Good" ), "")</f>
        <v>1</v>
      </c>
      <c r="D213" s="35">
        <f>if(A213&lt;&gt;"", COUNTIFS(Beans!A:A, A213, Beans!C:C, "Bad" ), "")</f>
        <v>0</v>
      </c>
      <c r="E213" s="35">
        <f>if(A213&lt;&gt;"", COUNTIFS(Beans!A:A, A213, Beans!C:C, "Spicy" ), "")</f>
        <v>0</v>
      </c>
    </row>
    <row r="214">
      <c r="A214" s="34">
        <f t="shared" si="2"/>
        <v>45064</v>
      </c>
      <c r="B214" s="35">
        <f>if(A214&lt;&gt;"", COUNTIFS(Beans!A:A, A214), "")</f>
        <v>1</v>
      </c>
      <c r="C214" s="35">
        <f>if(A214&lt;&gt;"", COUNTIFS(Beans!A:A, A214, Beans!C:C, "Good" ), "")</f>
        <v>1</v>
      </c>
      <c r="D214" s="35">
        <f>if(A214&lt;&gt;"", COUNTIFS(Beans!A:A, A214, Beans!C:C, "Bad" ), "")</f>
        <v>0</v>
      </c>
      <c r="E214" s="35">
        <f>if(A214&lt;&gt;"", COUNTIFS(Beans!A:A, A214, Beans!C:C, "Spicy" ), "")</f>
        <v>0</v>
      </c>
    </row>
    <row r="215">
      <c r="A215" s="34">
        <f t="shared" si="2"/>
        <v>45065</v>
      </c>
      <c r="B215" s="35">
        <f>if(A215&lt;&gt;"", COUNTIFS(Beans!A:A, A215), "")</f>
        <v>0</v>
      </c>
      <c r="C215" s="35">
        <f>if(A215&lt;&gt;"", COUNTIFS(Beans!A:A, A215, Beans!C:C, "Good" ), "")</f>
        <v>0</v>
      </c>
      <c r="D215" s="35">
        <f>if(A215&lt;&gt;"", COUNTIFS(Beans!A:A, A215, Beans!C:C, "Bad" ), "")</f>
        <v>0</v>
      </c>
      <c r="E215" s="35">
        <f>if(A215&lt;&gt;"", COUNTIFS(Beans!A:A, A215, Beans!C:C, "Spicy" ), "")</f>
        <v>0</v>
      </c>
    </row>
    <row r="216">
      <c r="A216" s="34">
        <f t="shared" si="2"/>
        <v>45066</v>
      </c>
      <c r="B216" s="35">
        <f>if(A216&lt;&gt;"", COUNTIFS(Beans!A:A, A216), "")</f>
        <v>0</v>
      </c>
      <c r="C216" s="35">
        <f>if(A216&lt;&gt;"", COUNTIFS(Beans!A:A, A216, Beans!C:C, "Good" ), "")</f>
        <v>0</v>
      </c>
      <c r="D216" s="35">
        <f>if(A216&lt;&gt;"", COUNTIFS(Beans!A:A, A216, Beans!C:C, "Bad" ), "")</f>
        <v>0</v>
      </c>
      <c r="E216" s="35">
        <f>if(A216&lt;&gt;"", COUNTIFS(Beans!A:A, A216, Beans!C:C, "Spicy" ), "")</f>
        <v>0</v>
      </c>
    </row>
    <row r="217">
      <c r="A217" s="34">
        <f t="shared" si="2"/>
        <v>45067</v>
      </c>
      <c r="B217" s="35">
        <f>if(A217&lt;&gt;"", COUNTIFS(Beans!A:A, A217), "")</f>
        <v>0</v>
      </c>
      <c r="C217" s="35">
        <f>if(A217&lt;&gt;"", COUNTIFS(Beans!A:A, A217, Beans!C:C, "Good" ), "")</f>
        <v>0</v>
      </c>
      <c r="D217" s="35">
        <f>if(A217&lt;&gt;"", COUNTIFS(Beans!A:A, A217, Beans!C:C, "Bad" ), "")</f>
        <v>0</v>
      </c>
      <c r="E217" s="35">
        <f>if(A217&lt;&gt;"", COUNTIFS(Beans!A:A, A217, Beans!C:C, "Spicy" ), "")</f>
        <v>0</v>
      </c>
    </row>
    <row r="218">
      <c r="A218" s="34">
        <f t="shared" si="2"/>
        <v>45068</v>
      </c>
      <c r="B218" s="35">
        <f>if(A218&lt;&gt;"", COUNTIFS(Beans!A:A, A218), "")</f>
        <v>0</v>
      </c>
      <c r="C218" s="35">
        <f>if(A218&lt;&gt;"", COUNTIFS(Beans!A:A, A218, Beans!C:C, "Good" ), "")</f>
        <v>0</v>
      </c>
      <c r="D218" s="35">
        <f>if(A218&lt;&gt;"", COUNTIFS(Beans!A:A, A218, Beans!C:C, "Bad" ), "")</f>
        <v>0</v>
      </c>
      <c r="E218" s="35">
        <f>if(A218&lt;&gt;"", COUNTIFS(Beans!A:A, A218, Beans!C:C, "Spicy" ), "")</f>
        <v>0</v>
      </c>
    </row>
    <row r="219">
      <c r="A219" s="34">
        <f t="shared" si="2"/>
        <v>45069</v>
      </c>
      <c r="B219" s="35">
        <f>if(A219&lt;&gt;"", COUNTIFS(Beans!A:A, A219), "")</f>
        <v>1</v>
      </c>
      <c r="C219" s="35">
        <f>if(A219&lt;&gt;"", COUNTIFS(Beans!A:A, A219, Beans!C:C, "Good" ), "")</f>
        <v>0</v>
      </c>
      <c r="D219" s="35">
        <f>if(A219&lt;&gt;"", COUNTIFS(Beans!A:A, A219, Beans!C:C, "Bad" ), "")</f>
        <v>1</v>
      </c>
      <c r="E219" s="35">
        <f>if(A219&lt;&gt;"", COUNTIFS(Beans!A:A, A219, Beans!C:C, "Spicy" ), "")</f>
        <v>0</v>
      </c>
    </row>
    <row r="220">
      <c r="A220" s="34">
        <f t="shared" si="2"/>
        <v>45070</v>
      </c>
      <c r="B220" s="35">
        <f>if(A220&lt;&gt;"", COUNTIFS(Beans!A:A, A220), "")</f>
        <v>5</v>
      </c>
      <c r="C220" s="35">
        <f>if(A220&lt;&gt;"", COUNTIFS(Beans!A:A, A220, Beans!C:C, "Good" ), "")</f>
        <v>0</v>
      </c>
      <c r="D220" s="35">
        <f>if(A220&lt;&gt;"", COUNTIFS(Beans!A:A, A220, Beans!C:C, "Bad" ), "")</f>
        <v>5</v>
      </c>
      <c r="E220" s="35">
        <f>if(A220&lt;&gt;"", COUNTIFS(Beans!A:A, A220, Beans!C:C, "Spicy" ), "")</f>
        <v>0</v>
      </c>
    </row>
    <row r="221">
      <c r="A221" s="34">
        <f t="shared" si="2"/>
        <v>45071</v>
      </c>
      <c r="B221" s="35">
        <f>if(A221&lt;&gt;"", COUNTIFS(Beans!A:A, A221), "")</f>
        <v>4</v>
      </c>
      <c r="C221" s="35">
        <f>if(A221&lt;&gt;"", COUNTIFS(Beans!A:A, A221, Beans!C:C, "Good" ), "")</f>
        <v>3</v>
      </c>
      <c r="D221" s="35">
        <f>if(A221&lt;&gt;"", COUNTIFS(Beans!A:A, A221, Beans!C:C, "Bad" ), "")</f>
        <v>1</v>
      </c>
      <c r="E221" s="35">
        <f>if(A221&lt;&gt;"", COUNTIFS(Beans!A:A, A221, Beans!C:C, "Spicy" ), "")</f>
        <v>0</v>
      </c>
    </row>
    <row r="222">
      <c r="A222" s="34">
        <f t="shared" si="2"/>
        <v>45072</v>
      </c>
      <c r="B222" s="35">
        <f>if(A222&lt;&gt;"", COUNTIFS(Beans!A:A, A222), "")</f>
        <v>3</v>
      </c>
      <c r="C222" s="35">
        <f>if(A222&lt;&gt;"", COUNTIFS(Beans!A:A, A222, Beans!C:C, "Good" ), "")</f>
        <v>2</v>
      </c>
      <c r="D222" s="35">
        <f>if(A222&lt;&gt;"", COUNTIFS(Beans!A:A, A222, Beans!C:C, "Bad" ), "")</f>
        <v>1</v>
      </c>
      <c r="E222" s="35">
        <f>if(A222&lt;&gt;"", COUNTIFS(Beans!A:A, A222, Beans!C:C, "Spicy" ), "")</f>
        <v>0</v>
      </c>
    </row>
    <row r="223">
      <c r="A223" s="34">
        <f t="shared" si="2"/>
        <v>45073</v>
      </c>
      <c r="B223" s="35">
        <f>if(A223&lt;&gt;"", COUNTIFS(Beans!A:A, A223), "")</f>
        <v>0</v>
      </c>
      <c r="C223" s="35">
        <f>if(A223&lt;&gt;"", COUNTIFS(Beans!A:A, A223, Beans!C:C, "Good" ), "")</f>
        <v>0</v>
      </c>
      <c r="D223" s="35">
        <f>if(A223&lt;&gt;"", COUNTIFS(Beans!A:A, A223, Beans!C:C, "Bad" ), "")</f>
        <v>0</v>
      </c>
      <c r="E223" s="35">
        <f>if(A223&lt;&gt;"", COUNTIFS(Beans!A:A, A223, Beans!C:C, "Spicy" ), "")</f>
        <v>0</v>
      </c>
    </row>
    <row r="224">
      <c r="A224" s="34">
        <f t="shared" si="2"/>
        <v>45074</v>
      </c>
      <c r="B224" s="35">
        <f>if(A224&lt;&gt;"", COUNTIFS(Beans!A:A, A224), "")</f>
        <v>0</v>
      </c>
      <c r="C224" s="35">
        <f>if(A224&lt;&gt;"", COUNTIFS(Beans!A:A, A224, Beans!C:C, "Good" ), "")</f>
        <v>0</v>
      </c>
      <c r="D224" s="35">
        <f>if(A224&lt;&gt;"", COUNTIFS(Beans!A:A, A224, Beans!C:C, "Bad" ), "")</f>
        <v>0</v>
      </c>
      <c r="E224" s="35">
        <f>if(A224&lt;&gt;"", COUNTIFS(Beans!A:A, A224, Beans!C:C, "Spicy" ), "")</f>
        <v>0</v>
      </c>
    </row>
    <row r="225">
      <c r="A225" s="34">
        <f t="shared" si="2"/>
        <v>45075</v>
      </c>
      <c r="B225" s="35">
        <f>if(A225&lt;&gt;"", COUNTIFS(Beans!A:A, A225), "")</f>
        <v>1</v>
      </c>
      <c r="C225" s="35">
        <f>if(A225&lt;&gt;"", COUNTIFS(Beans!A:A, A225, Beans!C:C, "Good" ), "")</f>
        <v>0</v>
      </c>
      <c r="D225" s="35">
        <f>if(A225&lt;&gt;"", COUNTIFS(Beans!A:A, A225, Beans!C:C, "Bad" ), "")</f>
        <v>1</v>
      </c>
      <c r="E225" s="35">
        <f>if(A225&lt;&gt;"", COUNTIFS(Beans!A:A, A225, Beans!C:C, "Spicy" ), "")</f>
        <v>0</v>
      </c>
    </row>
    <row r="226">
      <c r="A226" s="34">
        <f t="shared" si="2"/>
        <v>45076</v>
      </c>
      <c r="B226" s="35">
        <f>if(A226&lt;&gt;"", COUNTIFS(Beans!A:A, A226), "")</f>
        <v>2</v>
      </c>
      <c r="C226" s="35">
        <f>if(A226&lt;&gt;"", COUNTIFS(Beans!A:A, A226, Beans!C:C, "Good" ), "")</f>
        <v>1</v>
      </c>
      <c r="D226" s="35">
        <f>if(A226&lt;&gt;"", COUNTIFS(Beans!A:A, A226, Beans!C:C, "Bad" ), "")</f>
        <v>1</v>
      </c>
      <c r="E226" s="35">
        <f>if(A226&lt;&gt;"", COUNTIFS(Beans!A:A, A226, Beans!C:C, "Spicy" ), "")</f>
        <v>0</v>
      </c>
    </row>
    <row r="227">
      <c r="A227" s="34">
        <f t="shared" si="2"/>
        <v>45077</v>
      </c>
      <c r="B227" s="35">
        <f>if(A227&lt;&gt;"", COUNTIFS(Beans!A:A, A227), "")</f>
        <v>2</v>
      </c>
      <c r="C227" s="35">
        <f>if(A227&lt;&gt;"", COUNTIFS(Beans!A:A, A227, Beans!C:C, "Good" ), "")</f>
        <v>1</v>
      </c>
      <c r="D227" s="35">
        <f>if(A227&lt;&gt;"", COUNTIFS(Beans!A:A, A227, Beans!C:C, "Bad" ), "")</f>
        <v>1</v>
      </c>
      <c r="E227" s="35">
        <f>if(A227&lt;&gt;"", COUNTIFS(Beans!A:A, A227, Beans!C:C, "Spicy" ), "")</f>
        <v>0</v>
      </c>
    </row>
    <row r="228">
      <c r="A228" s="34">
        <f t="shared" si="2"/>
        <v>45078</v>
      </c>
      <c r="B228" s="35">
        <f>if(A228&lt;&gt;"", COUNTIFS(Beans!A:A, A228), "")</f>
        <v>4</v>
      </c>
      <c r="C228" s="35">
        <f>if(A228&lt;&gt;"", COUNTIFS(Beans!A:A, A228, Beans!C:C, "Good" ), "")</f>
        <v>2</v>
      </c>
      <c r="D228" s="35">
        <f>if(A228&lt;&gt;"", COUNTIFS(Beans!A:A, A228, Beans!C:C, "Bad" ), "")</f>
        <v>2</v>
      </c>
      <c r="E228" s="35">
        <f>if(A228&lt;&gt;"", COUNTIFS(Beans!A:A, A228, Beans!C:C, "Spicy" ), "")</f>
        <v>0</v>
      </c>
    </row>
    <row r="229">
      <c r="A229" s="34">
        <f t="shared" si="2"/>
        <v>45079</v>
      </c>
      <c r="B229" s="35">
        <f>if(A229&lt;&gt;"", COUNTIFS(Beans!A:A, A229), "")</f>
        <v>1</v>
      </c>
      <c r="C229" s="35">
        <f>if(A229&lt;&gt;"", COUNTIFS(Beans!A:A, A229, Beans!C:C, "Good" ), "")</f>
        <v>0</v>
      </c>
      <c r="D229" s="35">
        <f>if(A229&lt;&gt;"", COUNTIFS(Beans!A:A, A229, Beans!C:C, "Bad" ), "")</f>
        <v>1</v>
      </c>
      <c r="E229" s="35">
        <f>if(A229&lt;&gt;"", COUNTIFS(Beans!A:A, A229, Beans!C:C, "Spicy" ), "")</f>
        <v>0</v>
      </c>
    </row>
    <row r="230">
      <c r="A230" s="34">
        <f t="shared" si="2"/>
        <v>45080</v>
      </c>
      <c r="B230" s="35">
        <f>if(A230&lt;&gt;"", COUNTIFS(Beans!A:A, A230), "")</f>
        <v>0</v>
      </c>
      <c r="C230" s="35">
        <f>if(A230&lt;&gt;"", COUNTIFS(Beans!A:A, A230, Beans!C:C, "Good" ), "")</f>
        <v>0</v>
      </c>
      <c r="D230" s="35">
        <f>if(A230&lt;&gt;"", COUNTIFS(Beans!A:A, A230, Beans!C:C, "Bad" ), "")</f>
        <v>0</v>
      </c>
      <c r="E230" s="35">
        <f>if(A230&lt;&gt;"", COUNTIFS(Beans!A:A, A230, Beans!C:C, "Spicy" ), "")</f>
        <v>0</v>
      </c>
    </row>
    <row r="231">
      <c r="A231" s="34">
        <f t="shared" si="2"/>
        <v>45081</v>
      </c>
      <c r="B231" s="35">
        <f>if(A231&lt;&gt;"", COUNTIFS(Beans!A:A, A231), "")</f>
        <v>0</v>
      </c>
      <c r="C231" s="35">
        <f>if(A231&lt;&gt;"", COUNTIFS(Beans!A:A, A231, Beans!C:C, "Good" ), "")</f>
        <v>0</v>
      </c>
      <c r="D231" s="35">
        <f>if(A231&lt;&gt;"", COUNTIFS(Beans!A:A, A231, Beans!C:C, "Bad" ), "")</f>
        <v>0</v>
      </c>
      <c r="E231" s="35">
        <f>if(A231&lt;&gt;"", COUNTIFS(Beans!A:A, A231, Beans!C:C, "Spicy" ), "")</f>
        <v>0</v>
      </c>
    </row>
    <row r="232">
      <c r="A232" s="34">
        <f t="shared" si="2"/>
        <v>45082</v>
      </c>
      <c r="B232" s="35">
        <f>if(A232&lt;&gt;"", COUNTIFS(Beans!A:A, A232), "")</f>
        <v>2</v>
      </c>
      <c r="C232" s="35">
        <f>if(A232&lt;&gt;"", COUNTIFS(Beans!A:A, A232, Beans!C:C, "Good" ), "")</f>
        <v>0</v>
      </c>
      <c r="D232" s="35">
        <f>if(A232&lt;&gt;"", COUNTIFS(Beans!A:A, A232, Beans!C:C, "Bad" ), "")</f>
        <v>2</v>
      </c>
      <c r="E232" s="35">
        <f>if(A232&lt;&gt;"", COUNTIFS(Beans!A:A, A232, Beans!C:C, "Spicy" ), "")</f>
        <v>0</v>
      </c>
    </row>
    <row r="233">
      <c r="A233" s="34">
        <f t="shared" si="2"/>
        <v>45083</v>
      </c>
      <c r="B233" s="35">
        <f>if(A233&lt;&gt;"", COUNTIFS(Beans!A:A, A233), "")</f>
        <v>5</v>
      </c>
      <c r="C233" s="35">
        <f>if(A233&lt;&gt;"", COUNTIFS(Beans!A:A, A233, Beans!C:C, "Good" ), "")</f>
        <v>2</v>
      </c>
      <c r="D233" s="35">
        <f>if(A233&lt;&gt;"", COUNTIFS(Beans!A:A, A233, Beans!C:C, "Bad" ), "")</f>
        <v>3</v>
      </c>
      <c r="E233" s="35">
        <f>if(A233&lt;&gt;"", COUNTIFS(Beans!A:A, A233, Beans!C:C, "Spicy" ), "")</f>
        <v>0</v>
      </c>
    </row>
    <row r="234">
      <c r="A234" s="34">
        <f t="shared" si="2"/>
        <v>45084</v>
      </c>
      <c r="B234" s="35">
        <f>if(A234&lt;&gt;"", COUNTIFS(Beans!A:A, A234), "")</f>
        <v>1</v>
      </c>
      <c r="C234" s="35">
        <f>if(A234&lt;&gt;"", COUNTIFS(Beans!A:A, A234, Beans!C:C, "Good" ), "")</f>
        <v>0</v>
      </c>
      <c r="D234" s="35">
        <f>if(A234&lt;&gt;"", COUNTIFS(Beans!A:A, A234, Beans!C:C, "Bad" ), "")</f>
        <v>1</v>
      </c>
      <c r="E234" s="35">
        <f>if(A234&lt;&gt;"", COUNTIFS(Beans!A:A, A234, Beans!C:C, "Spicy" ), "")</f>
        <v>0</v>
      </c>
    </row>
    <row r="235">
      <c r="A235" s="34">
        <f t="shared" si="2"/>
        <v>45085</v>
      </c>
      <c r="B235" s="35">
        <f>if(A235&lt;&gt;"", COUNTIFS(Beans!A:A, A235), "")</f>
        <v>0</v>
      </c>
      <c r="C235" s="35">
        <f>if(A235&lt;&gt;"", COUNTIFS(Beans!A:A, A235, Beans!C:C, "Good" ), "")</f>
        <v>0</v>
      </c>
      <c r="D235" s="35">
        <f>if(A235&lt;&gt;"", COUNTIFS(Beans!A:A, A235, Beans!C:C, "Bad" ), "")</f>
        <v>0</v>
      </c>
      <c r="E235" s="35">
        <f>if(A235&lt;&gt;"", COUNTIFS(Beans!A:A, A235, Beans!C:C, "Spicy" ), "")</f>
        <v>0</v>
      </c>
    </row>
    <row r="236">
      <c r="A236" s="34">
        <f t="shared" si="2"/>
        <v>45086</v>
      </c>
      <c r="B236" s="35">
        <f>if(A236&lt;&gt;"", COUNTIFS(Beans!A:A, A236), "")</f>
        <v>6</v>
      </c>
      <c r="C236" s="35">
        <f>if(A236&lt;&gt;"", COUNTIFS(Beans!A:A, A236, Beans!C:C, "Good" ), "")</f>
        <v>1</v>
      </c>
      <c r="D236" s="35">
        <f>if(A236&lt;&gt;"", COUNTIFS(Beans!A:A, A236, Beans!C:C, "Bad" ), "")</f>
        <v>5</v>
      </c>
      <c r="E236" s="35">
        <f>if(A236&lt;&gt;"", COUNTIFS(Beans!A:A, A236, Beans!C:C, "Spicy" ), "")</f>
        <v>0</v>
      </c>
    </row>
    <row r="237">
      <c r="A237" s="34">
        <f t="shared" si="2"/>
        <v>45087</v>
      </c>
      <c r="B237" s="35">
        <f>if(A237&lt;&gt;"", COUNTIFS(Beans!A:A, A237), "")</f>
        <v>0</v>
      </c>
      <c r="C237" s="35">
        <f>if(A237&lt;&gt;"", COUNTIFS(Beans!A:A, A237, Beans!C:C, "Good" ), "")</f>
        <v>0</v>
      </c>
      <c r="D237" s="35">
        <f>if(A237&lt;&gt;"", COUNTIFS(Beans!A:A, A237, Beans!C:C, "Bad" ), "")</f>
        <v>0</v>
      </c>
      <c r="E237" s="35">
        <f>if(A237&lt;&gt;"", COUNTIFS(Beans!A:A, A237, Beans!C:C, "Spicy" ), "")</f>
        <v>0</v>
      </c>
    </row>
    <row r="238">
      <c r="A238" s="34">
        <f t="shared" si="2"/>
        <v>45088</v>
      </c>
      <c r="B238" s="35">
        <f>if(A238&lt;&gt;"", COUNTIFS(Beans!A:A, A238), "")</f>
        <v>0</v>
      </c>
      <c r="C238" s="35">
        <f>if(A238&lt;&gt;"", COUNTIFS(Beans!A:A, A238, Beans!C:C, "Good" ), "")</f>
        <v>0</v>
      </c>
      <c r="D238" s="35">
        <f>if(A238&lt;&gt;"", COUNTIFS(Beans!A:A, A238, Beans!C:C, "Bad" ), "")</f>
        <v>0</v>
      </c>
      <c r="E238" s="35">
        <f>if(A238&lt;&gt;"", COUNTIFS(Beans!A:A, A238, Beans!C:C, "Spicy" ), "")</f>
        <v>0</v>
      </c>
    </row>
    <row r="239">
      <c r="A239" s="34">
        <f t="shared" si="2"/>
        <v>45089</v>
      </c>
      <c r="B239" s="35">
        <f>if(A239&lt;&gt;"", COUNTIFS(Beans!A:A, A239), "")</f>
        <v>0</v>
      </c>
      <c r="C239" s="35">
        <f>if(A239&lt;&gt;"", COUNTIFS(Beans!A:A, A239, Beans!C:C, "Good" ), "")</f>
        <v>0</v>
      </c>
      <c r="D239" s="35">
        <f>if(A239&lt;&gt;"", COUNTIFS(Beans!A:A, A239, Beans!C:C, "Bad" ), "")</f>
        <v>0</v>
      </c>
      <c r="E239" s="35">
        <f>if(A239&lt;&gt;"", COUNTIFS(Beans!A:A, A239, Beans!C:C, "Spicy" ), "")</f>
        <v>0</v>
      </c>
    </row>
    <row r="240">
      <c r="A240" s="34">
        <f t="shared" si="2"/>
        <v>45090</v>
      </c>
      <c r="B240" s="35">
        <f>if(A240&lt;&gt;"", COUNTIFS(Beans!A:A, A240), "")</f>
        <v>10</v>
      </c>
      <c r="C240" s="35">
        <f>if(A240&lt;&gt;"", COUNTIFS(Beans!A:A, A240, Beans!C:C, "Good" ), "")</f>
        <v>3</v>
      </c>
      <c r="D240" s="35">
        <f>if(A240&lt;&gt;"", COUNTIFS(Beans!A:A, A240, Beans!C:C, "Bad" ), "")</f>
        <v>7</v>
      </c>
      <c r="E240" s="35">
        <f>if(A240&lt;&gt;"", COUNTIFS(Beans!A:A, A240, Beans!C:C, "Spicy" ), "")</f>
        <v>0</v>
      </c>
    </row>
    <row r="241">
      <c r="A241" s="34">
        <f t="shared" si="2"/>
        <v>45091</v>
      </c>
      <c r="B241" s="35">
        <f>if(A241&lt;&gt;"", COUNTIFS(Beans!A:A, A241), "")</f>
        <v>6</v>
      </c>
      <c r="C241" s="35">
        <f>if(A241&lt;&gt;"", COUNTIFS(Beans!A:A, A241, Beans!C:C, "Good" ), "")</f>
        <v>1</v>
      </c>
      <c r="D241" s="35">
        <f>if(A241&lt;&gt;"", COUNTIFS(Beans!A:A, A241, Beans!C:C, "Bad" ), "")</f>
        <v>5</v>
      </c>
      <c r="E241" s="35">
        <f>if(A241&lt;&gt;"", COUNTIFS(Beans!A:A, A241, Beans!C:C, "Spicy" ), "")</f>
        <v>0</v>
      </c>
    </row>
    <row r="242">
      <c r="A242" s="34">
        <f t="shared" si="2"/>
        <v>45092</v>
      </c>
      <c r="B242" s="35">
        <f>if(A242&lt;&gt;"", COUNTIFS(Beans!A:A, A242), "")</f>
        <v>1</v>
      </c>
      <c r="C242" s="35">
        <f>if(A242&lt;&gt;"", COUNTIFS(Beans!A:A, A242, Beans!C:C, "Good" ), "")</f>
        <v>0</v>
      </c>
      <c r="D242" s="35">
        <f>if(A242&lt;&gt;"", COUNTIFS(Beans!A:A, A242, Beans!C:C, "Bad" ), "")</f>
        <v>1</v>
      </c>
      <c r="E242" s="35">
        <f>if(A242&lt;&gt;"", COUNTIFS(Beans!A:A, A242, Beans!C:C, "Spicy" ), "")</f>
        <v>0</v>
      </c>
    </row>
    <row r="243">
      <c r="A243" s="34">
        <f t="shared" si="2"/>
        <v>45093</v>
      </c>
      <c r="B243" s="35">
        <f>if(A243&lt;&gt;"", COUNTIFS(Beans!A:A, A243), "")</f>
        <v>10</v>
      </c>
      <c r="C243" s="35">
        <f>if(A243&lt;&gt;"", COUNTIFS(Beans!A:A, A243, Beans!C:C, "Good" ), "")</f>
        <v>1</v>
      </c>
      <c r="D243" s="35">
        <f>if(A243&lt;&gt;"", COUNTIFS(Beans!A:A, A243, Beans!C:C, "Bad" ), "")</f>
        <v>9</v>
      </c>
      <c r="E243" s="35">
        <f>if(A243&lt;&gt;"", COUNTIFS(Beans!A:A, A243, Beans!C:C, "Spicy" ), "")</f>
        <v>0</v>
      </c>
    </row>
    <row r="244">
      <c r="A244" s="34">
        <f t="shared" si="2"/>
        <v>45094</v>
      </c>
      <c r="B244" s="35">
        <f>if(A244&lt;&gt;"", COUNTIFS(Beans!A:A, A244), "")</f>
        <v>0</v>
      </c>
      <c r="C244" s="35">
        <f>if(A244&lt;&gt;"", COUNTIFS(Beans!A:A, A244, Beans!C:C, "Good" ), "")</f>
        <v>0</v>
      </c>
      <c r="D244" s="35">
        <f>if(A244&lt;&gt;"", COUNTIFS(Beans!A:A, A244, Beans!C:C, "Bad" ), "")</f>
        <v>0</v>
      </c>
      <c r="E244" s="35">
        <f>if(A244&lt;&gt;"", COUNTIFS(Beans!A:A, A244, Beans!C:C, "Spicy" ), "")</f>
        <v>0</v>
      </c>
    </row>
    <row r="245">
      <c r="A245" s="34">
        <f t="shared" si="2"/>
        <v>45095</v>
      </c>
      <c r="B245" s="35">
        <f>if(A245&lt;&gt;"", COUNTIFS(Beans!A:A, A245), "")</f>
        <v>0</v>
      </c>
      <c r="C245" s="35">
        <f>if(A245&lt;&gt;"", COUNTIFS(Beans!A:A, A245, Beans!C:C, "Good" ), "")</f>
        <v>0</v>
      </c>
      <c r="D245" s="35">
        <f>if(A245&lt;&gt;"", COUNTIFS(Beans!A:A, A245, Beans!C:C, "Bad" ), "")</f>
        <v>0</v>
      </c>
      <c r="E245" s="35">
        <f>if(A245&lt;&gt;"", COUNTIFS(Beans!A:A, A245, Beans!C:C, "Spicy" ), "")</f>
        <v>0</v>
      </c>
    </row>
    <row r="246">
      <c r="A246" s="34">
        <f t="shared" si="2"/>
        <v>45096</v>
      </c>
      <c r="B246" s="35">
        <f>if(A246&lt;&gt;"", COUNTIFS(Beans!A:A, A246), "")</f>
        <v>3</v>
      </c>
      <c r="C246" s="35">
        <f>if(A246&lt;&gt;"", COUNTIFS(Beans!A:A, A246, Beans!C:C, "Good" ), "")</f>
        <v>0</v>
      </c>
      <c r="D246" s="35">
        <f>if(A246&lt;&gt;"", COUNTIFS(Beans!A:A, A246, Beans!C:C, "Bad" ), "")</f>
        <v>3</v>
      </c>
      <c r="E246" s="35">
        <f>if(A246&lt;&gt;"", COUNTIFS(Beans!A:A, A246, Beans!C:C, "Spicy" ), "")</f>
        <v>0</v>
      </c>
    </row>
    <row r="247">
      <c r="A247" s="34">
        <f t="shared" si="2"/>
        <v>45097</v>
      </c>
      <c r="B247" s="35">
        <f>if(A247&lt;&gt;"", COUNTIFS(Beans!A:A, A247), "")</f>
        <v>1</v>
      </c>
      <c r="C247" s="35">
        <f>if(A247&lt;&gt;"", COUNTIFS(Beans!A:A, A247, Beans!C:C, "Good" ), "")</f>
        <v>1</v>
      </c>
      <c r="D247" s="35">
        <f>if(A247&lt;&gt;"", COUNTIFS(Beans!A:A, A247, Beans!C:C, "Bad" ), "")</f>
        <v>0</v>
      </c>
      <c r="E247" s="35">
        <f>if(A247&lt;&gt;"", COUNTIFS(Beans!A:A, A247, Beans!C:C, "Spicy" ), "")</f>
        <v>0</v>
      </c>
    </row>
    <row r="248">
      <c r="A248" s="34">
        <f t="shared" si="2"/>
        <v>45098</v>
      </c>
      <c r="B248" s="35">
        <f>if(A248&lt;&gt;"", COUNTIFS(Beans!A:A, A248), "")</f>
        <v>0</v>
      </c>
      <c r="C248" s="35">
        <f>if(A248&lt;&gt;"", COUNTIFS(Beans!A:A, A248, Beans!C:C, "Good" ), "")</f>
        <v>0</v>
      </c>
      <c r="D248" s="35">
        <f>if(A248&lt;&gt;"", COUNTIFS(Beans!A:A, A248, Beans!C:C, "Bad" ), "")</f>
        <v>0</v>
      </c>
      <c r="E248" s="35">
        <f>if(A248&lt;&gt;"", COUNTIFS(Beans!A:A, A248, Beans!C:C, "Spicy" ), "")</f>
        <v>0</v>
      </c>
    </row>
    <row r="249">
      <c r="A249" s="34">
        <f t="shared" si="2"/>
        <v>45099</v>
      </c>
      <c r="B249" s="35">
        <f>if(A249&lt;&gt;"", COUNTIFS(Beans!A:A, A249), "")</f>
        <v>0</v>
      </c>
      <c r="C249" s="35">
        <f>if(A249&lt;&gt;"", COUNTIFS(Beans!A:A, A249, Beans!C:C, "Good" ), "")</f>
        <v>0</v>
      </c>
      <c r="D249" s="35">
        <f>if(A249&lt;&gt;"", COUNTIFS(Beans!A:A, A249, Beans!C:C, "Bad" ), "")</f>
        <v>0</v>
      </c>
      <c r="E249" s="35">
        <f>if(A249&lt;&gt;"", COUNTIFS(Beans!A:A, A249, Beans!C:C, "Spicy" ), "")</f>
        <v>0</v>
      </c>
    </row>
    <row r="250">
      <c r="A250" s="34">
        <f t="shared" si="2"/>
        <v>45100</v>
      </c>
      <c r="B250" s="35">
        <f>if(A250&lt;&gt;"", COUNTIFS(Beans!A:A, A250), "")</f>
        <v>1</v>
      </c>
      <c r="C250" s="35">
        <f>if(A250&lt;&gt;"", COUNTIFS(Beans!A:A, A250, Beans!C:C, "Good" ), "")</f>
        <v>0</v>
      </c>
      <c r="D250" s="35">
        <f>if(A250&lt;&gt;"", COUNTIFS(Beans!A:A, A250, Beans!C:C, "Bad" ), "")</f>
        <v>1</v>
      </c>
      <c r="E250" s="35">
        <f>if(A250&lt;&gt;"", COUNTIFS(Beans!A:A, A250, Beans!C:C, "Spicy" ), "")</f>
        <v>0</v>
      </c>
    </row>
    <row r="251">
      <c r="A251" s="34">
        <f t="shared" si="2"/>
        <v>45101</v>
      </c>
      <c r="B251" s="35">
        <f>if(A251&lt;&gt;"", COUNTIFS(Beans!A:A, A251), "")</f>
        <v>0</v>
      </c>
      <c r="C251" s="35">
        <f>if(A251&lt;&gt;"", COUNTIFS(Beans!A:A, A251, Beans!C:C, "Good" ), "")</f>
        <v>0</v>
      </c>
      <c r="D251" s="35">
        <f>if(A251&lt;&gt;"", COUNTIFS(Beans!A:A, A251, Beans!C:C, "Bad" ), "")</f>
        <v>0</v>
      </c>
      <c r="E251" s="35">
        <f>if(A251&lt;&gt;"", COUNTIFS(Beans!A:A, A251, Beans!C:C, "Spicy" ), "")</f>
        <v>0</v>
      </c>
    </row>
    <row r="252">
      <c r="A252" s="34">
        <f t="shared" si="2"/>
        <v>45102</v>
      </c>
      <c r="B252" s="35">
        <f>if(A252&lt;&gt;"", COUNTIFS(Beans!A:A, A252), "")</f>
        <v>0</v>
      </c>
      <c r="C252" s="35">
        <f>if(A252&lt;&gt;"", COUNTIFS(Beans!A:A, A252, Beans!C:C, "Good" ), "")</f>
        <v>0</v>
      </c>
      <c r="D252" s="35">
        <f>if(A252&lt;&gt;"", COUNTIFS(Beans!A:A, A252, Beans!C:C, "Bad" ), "")</f>
        <v>0</v>
      </c>
      <c r="E252" s="35">
        <f>if(A252&lt;&gt;"", COUNTIFS(Beans!A:A, A252, Beans!C:C, "Spicy" ), "")</f>
        <v>0</v>
      </c>
    </row>
    <row r="253">
      <c r="A253" s="34">
        <f t="shared" si="2"/>
        <v>45103</v>
      </c>
      <c r="B253" s="35">
        <f>if(A253&lt;&gt;"", COUNTIFS(Beans!A:A, A253), "")</f>
        <v>1</v>
      </c>
      <c r="C253" s="35">
        <f>if(A253&lt;&gt;"", COUNTIFS(Beans!A:A, A253, Beans!C:C, "Good" ), "")</f>
        <v>0</v>
      </c>
      <c r="D253" s="35">
        <f>if(A253&lt;&gt;"", COUNTIFS(Beans!A:A, A253, Beans!C:C, "Bad" ), "")</f>
        <v>1</v>
      </c>
      <c r="E253" s="35">
        <f>if(A253&lt;&gt;"", COUNTIFS(Beans!A:A, A253, Beans!C:C, "Spicy" ), "")</f>
        <v>0</v>
      </c>
    </row>
    <row r="254">
      <c r="A254" s="34">
        <f t="shared" si="2"/>
        <v>45104</v>
      </c>
      <c r="B254" s="35">
        <f>if(A254&lt;&gt;"", COUNTIFS(Beans!A:A, A254), "")</f>
        <v>0</v>
      </c>
      <c r="C254" s="35">
        <f>if(A254&lt;&gt;"", COUNTIFS(Beans!A:A, A254, Beans!C:C, "Good" ), "")</f>
        <v>0</v>
      </c>
      <c r="D254" s="35">
        <f>if(A254&lt;&gt;"", COUNTIFS(Beans!A:A, A254, Beans!C:C, "Bad" ), "")</f>
        <v>0</v>
      </c>
      <c r="E254" s="35">
        <f>if(A254&lt;&gt;"", COUNTIFS(Beans!A:A, A254, Beans!C:C, "Spicy" ), "")</f>
        <v>0</v>
      </c>
    </row>
    <row r="255">
      <c r="A255" s="34">
        <f t="shared" si="2"/>
        <v>45105</v>
      </c>
      <c r="B255" s="35">
        <f>if(A255&lt;&gt;"", COUNTIFS(Beans!A:A, A255), "")</f>
        <v>2</v>
      </c>
      <c r="C255" s="35">
        <f>if(A255&lt;&gt;"", COUNTIFS(Beans!A:A, A255, Beans!C:C, "Good" ), "")</f>
        <v>0</v>
      </c>
      <c r="D255" s="35">
        <f>if(A255&lt;&gt;"", COUNTIFS(Beans!A:A, A255, Beans!C:C, "Bad" ), "")</f>
        <v>2</v>
      </c>
      <c r="E255" s="35">
        <f>if(A255&lt;&gt;"", COUNTIFS(Beans!A:A, A255, Beans!C:C, "Spicy" ), "")</f>
        <v>0</v>
      </c>
    </row>
    <row r="256">
      <c r="A256" s="34">
        <f t="shared" si="2"/>
        <v>45106</v>
      </c>
      <c r="B256" s="35">
        <f>if(A256&lt;&gt;"", COUNTIFS(Beans!A:A, A256), "")</f>
        <v>0</v>
      </c>
      <c r="C256" s="35">
        <f>if(A256&lt;&gt;"", COUNTIFS(Beans!A:A, A256, Beans!C:C, "Good" ), "")</f>
        <v>0</v>
      </c>
      <c r="D256" s="35">
        <f>if(A256&lt;&gt;"", COUNTIFS(Beans!A:A, A256, Beans!C:C, "Bad" ), "")</f>
        <v>0</v>
      </c>
      <c r="E256" s="35">
        <f>if(A256&lt;&gt;"", COUNTIFS(Beans!A:A, A256, Beans!C:C, "Spicy" ), "")</f>
        <v>0</v>
      </c>
    </row>
    <row r="257">
      <c r="A257" s="34">
        <f t="shared" si="2"/>
        <v>45107</v>
      </c>
      <c r="B257" s="35">
        <f>if(A257&lt;&gt;"", COUNTIFS(Beans!A:A, A257), "")</f>
        <v>6</v>
      </c>
      <c r="C257" s="35">
        <f>if(A257&lt;&gt;"", COUNTIFS(Beans!A:A, A257, Beans!C:C, "Good" ), "")</f>
        <v>1</v>
      </c>
      <c r="D257" s="35">
        <f>if(A257&lt;&gt;"", COUNTIFS(Beans!A:A, A257, Beans!C:C, "Bad" ), "")</f>
        <v>5</v>
      </c>
      <c r="E257" s="35">
        <f>if(A257&lt;&gt;"", COUNTIFS(Beans!A:A, A257, Beans!C:C, "Spicy" ), "")</f>
        <v>0</v>
      </c>
    </row>
    <row r="258">
      <c r="A258" s="34">
        <f t="shared" si="2"/>
        <v>45108</v>
      </c>
      <c r="B258" s="35">
        <f>if(A258&lt;&gt;"", COUNTIFS(Beans!A:A, A258), "")</f>
        <v>0</v>
      </c>
      <c r="C258" s="35">
        <f>if(A258&lt;&gt;"", COUNTIFS(Beans!A:A, A258, Beans!C:C, "Good" ), "")</f>
        <v>0</v>
      </c>
      <c r="D258" s="35">
        <f>if(A258&lt;&gt;"", COUNTIFS(Beans!A:A, A258, Beans!C:C, "Bad" ), "")</f>
        <v>0</v>
      </c>
      <c r="E258" s="35">
        <f>if(A258&lt;&gt;"", COUNTIFS(Beans!A:A, A258, Beans!C:C, "Spicy" ), "")</f>
        <v>0</v>
      </c>
    </row>
    <row r="259">
      <c r="A259" s="34">
        <f t="shared" si="2"/>
        <v>45109</v>
      </c>
      <c r="B259" s="35">
        <f>if(A259&lt;&gt;"", COUNTIFS(Beans!A:A, A259), "")</f>
        <v>0</v>
      </c>
      <c r="C259" s="35">
        <f>if(A259&lt;&gt;"", COUNTIFS(Beans!A:A, A259, Beans!C:C, "Good" ), "")</f>
        <v>0</v>
      </c>
      <c r="D259" s="35">
        <f>if(A259&lt;&gt;"", COUNTIFS(Beans!A:A, A259, Beans!C:C, "Bad" ), "")</f>
        <v>0</v>
      </c>
      <c r="E259" s="35">
        <f>if(A259&lt;&gt;"", COUNTIFS(Beans!A:A, A259, Beans!C:C, "Spicy" ), "")</f>
        <v>0</v>
      </c>
    </row>
    <row r="260">
      <c r="A260" s="34">
        <f t="shared" si="2"/>
        <v>45110</v>
      </c>
      <c r="B260" s="35">
        <f>if(A260&lt;&gt;"", COUNTIFS(Beans!A:A, A260), "")</f>
        <v>0</v>
      </c>
      <c r="C260" s="35">
        <f>if(A260&lt;&gt;"", COUNTIFS(Beans!A:A, A260, Beans!C:C, "Good" ), "")</f>
        <v>0</v>
      </c>
      <c r="D260" s="35">
        <f>if(A260&lt;&gt;"", COUNTIFS(Beans!A:A, A260, Beans!C:C, "Bad" ), "")</f>
        <v>0</v>
      </c>
      <c r="E260" s="35">
        <f>if(A260&lt;&gt;"", COUNTIFS(Beans!A:A, A260, Beans!C:C, "Spicy" ), "")</f>
        <v>0</v>
      </c>
    </row>
    <row r="261">
      <c r="A261" s="34">
        <f t="shared" si="2"/>
        <v>45111</v>
      </c>
      <c r="B261" s="35">
        <f>if(A261&lt;&gt;"", COUNTIFS(Beans!A:A, A261), "")</f>
        <v>1</v>
      </c>
      <c r="C261" s="35">
        <f>if(A261&lt;&gt;"", COUNTIFS(Beans!A:A, A261, Beans!C:C, "Good" ), "")</f>
        <v>1</v>
      </c>
      <c r="D261" s="35">
        <f>if(A261&lt;&gt;"", COUNTIFS(Beans!A:A, A261, Beans!C:C, "Bad" ), "")</f>
        <v>0</v>
      </c>
      <c r="E261" s="35">
        <f>if(A261&lt;&gt;"", COUNTIFS(Beans!A:A, A261, Beans!C:C, "Spicy" ), "")</f>
        <v>0</v>
      </c>
    </row>
    <row r="262">
      <c r="A262" s="34">
        <f t="shared" si="2"/>
        <v>45112</v>
      </c>
      <c r="B262" s="35">
        <f>if(A262&lt;&gt;"", COUNTIFS(Beans!A:A, A262), "")</f>
        <v>2</v>
      </c>
      <c r="C262" s="35">
        <f>if(A262&lt;&gt;"", COUNTIFS(Beans!A:A, A262, Beans!C:C, "Good" ), "")</f>
        <v>0</v>
      </c>
      <c r="D262" s="35">
        <f>if(A262&lt;&gt;"", COUNTIFS(Beans!A:A, A262, Beans!C:C, "Bad" ), "")</f>
        <v>2</v>
      </c>
      <c r="E262" s="35">
        <f>if(A262&lt;&gt;"", COUNTIFS(Beans!A:A, A262, Beans!C:C, "Spicy" ), "")</f>
        <v>0</v>
      </c>
    </row>
    <row r="263">
      <c r="A263" s="34">
        <f t="shared" si="2"/>
        <v>45113</v>
      </c>
      <c r="B263" s="35">
        <f>if(A263&lt;&gt;"", COUNTIFS(Beans!A:A, A263), "")</f>
        <v>1</v>
      </c>
      <c r="C263" s="35">
        <f>if(A263&lt;&gt;"", COUNTIFS(Beans!A:A, A263, Beans!C:C, "Good" ), "")</f>
        <v>0</v>
      </c>
      <c r="D263" s="35">
        <f>if(A263&lt;&gt;"", COUNTIFS(Beans!A:A, A263, Beans!C:C, "Bad" ), "")</f>
        <v>1</v>
      </c>
      <c r="E263" s="35">
        <f>if(A263&lt;&gt;"", COUNTIFS(Beans!A:A, A263, Beans!C:C, "Spicy" ), "")</f>
        <v>0</v>
      </c>
    </row>
    <row r="264">
      <c r="A264" s="34">
        <f t="shared" si="2"/>
        <v>45114</v>
      </c>
      <c r="B264" s="35">
        <f>if(A264&lt;&gt;"", COUNTIFS(Beans!A:A, A264), "")</f>
        <v>4</v>
      </c>
      <c r="C264" s="35">
        <f>if(A264&lt;&gt;"", COUNTIFS(Beans!A:A, A264, Beans!C:C, "Good" ), "")</f>
        <v>1</v>
      </c>
      <c r="D264" s="35">
        <f>if(A264&lt;&gt;"", COUNTIFS(Beans!A:A, A264, Beans!C:C, "Bad" ), "")</f>
        <v>1</v>
      </c>
      <c r="E264" s="35">
        <f>if(A264&lt;&gt;"", COUNTIFS(Beans!A:A, A264, Beans!C:C, "Spicy" ), "")</f>
        <v>2</v>
      </c>
    </row>
    <row r="265">
      <c r="A265" s="34">
        <f t="shared" si="2"/>
        <v>45115</v>
      </c>
      <c r="B265" s="35">
        <f>if(A265&lt;&gt;"", COUNTIFS(Beans!A:A, A265), "")</f>
        <v>0</v>
      </c>
      <c r="C265" s="35">
        <f>if(A265&lt;&gt;"", COUNTIFS(Beans!A:A, A265, Beans!C:C, "Good" ), "")</f>
        <v>0</v>
      </c>
      <c r="D265" s="35">
        <f>if(A265&lt;&gt;"", COUNTIFS(Beans!A:A, A265, Beans!C:C, "Bad" ), "")</f>
        <v>0</v>
      </c>
      <c r="E265" s="35">
        <f>if(A265&lt;&gt;"", COUNTIFS(Beans!A:A, A265, Beans!C:C, "Spicy" ), "")</f>
        <v>0</v>
      </c>
    </row>
    <row r="266">
      <c r="A266" s="34">
        <f t="shared" si="2"/>
        <v>45116</v>
      </c>
      <c r="B266" s="35">
        <f>if(A266&lt;&gt;"", COUNTIFS(Beans!A:A, A266), "")</f>
        <v>0</v>
      </c>
      <c r="C266" s="35">
        <f>if(A266&lt;&gt;"", COUNTIFS(Beans!A:A, A266, Beans!C:C, "Good" ), "")</f>
        <v>0</v>
      </c>
      <c r="D266" s="35">
        <f>if(A266&lt;&gt;"", COUNTIFS(Beans!A:A, A266, Beans!C:C, "Bad" ), "")</f>
        <v>0</v>
      </c>
      <c r="E266" s="35">
        <f>if(A266&lt;&gt;"", COUNTIFS(Beans!A:A, A266, Beans!C:C, "Spicy" ), "")</f>
        <v>0</v>
      </c>
    </row>
    <row r="267">
      <c r="A267" s="34">
        <f t="shared" si="2"/>
        <v>45117</v>
      </c>
      <c r="B267" s="35">
        <f>if(A267&lt;&gt;"", COUNTIFS(Beans!A:A, A267), "")</f>
        <v>3</v>
      </c>
      <c r="C267" s="35">
        <f>if(A267&lt;&gt;"", COUNTIFS(Beans!A:A, A267, Beans!C:C, "Good" ), "")</f>
        <v>0</v>
      </c>
      <c r="D267" s="35">
        <f>if(A267&lt;&gt;"", COUNTIFS(Beans!A:A, A267, Beans!C:C, "Bad" ), "")</f>
        <v>3</v>
      </c>
      <c r="E267" s="35">
        <f>if(A267&lt;&gt;"", COUNTIFS(Beans!A:A, A267, Beans!C:C, "Spicy" ), "")</f>
        <v>0</v>
      </c>
    </row>
    <row r="268">
      <c r="A268" s="34">
        <f t="shared" si="2"/>
        <v>45118</v>
      </c>
      <c r="B268" s="35">
        <f>if(A268&lt;&gt;"", COUNTIFS(Beans!A:A, A268), "")</f>
        <v>1</v>
      </c>
      <c r="C268" s="35">
        <f>if(A268&lt;&gt;"", COUNTIFS(Beans!A:A, A268, Beans!C:C, "Good" ), "")</f>
        <v>0</v>
      </c>
      <c r="D268" s="35">
        <f>if(A268&lt;&gt;"", COUNTIFS(Beans!A:A, A268, Beans!C:C, "Bad" ), "")</f>
        <v>1</v>
      </c>
      <c r="E268" s="35">
        <f>if(A268&lt;&gt;"", COUNTIFS(Beans!A:A, A268, Beans!C:C, "Spicy" ), "")</f>
        <v>0</v>
      </c>
    </row>
    <row r="269">
      <c r="A269" s="34">
        <f t="shared" si="2"/>
        <v>45119</v>
      </c>
      <c r="B269" s="35">
        <f>if(A269&lt;&gt;"", COUNTIFS(Beans!A:A, A269), "")</f>
        <v>0</v>
      </c>
      <c r="C269" s="35">
        <f>if(A269&lt;&gt;"", COUNTIFS(Beans!A:A, A269, Beans!C:C, "Good" ), "")</f>
        <v>0</v>
      </c>
      <c r="D269" s="35">
        <f>if(A269&lt;&gt;"", COUNTIFS(Beans!A:A, A269, Beans!C:C, "Bad" ), "")</f>
        <v>0</v>
      </c>
      <c r="E269" s="35">
        <f>if(A269&lt;&gt;"", COUNTIFS(Beans!A:A, A269, Beans!C:C, "Spicy" ), "")</f>
        <v>0</v>
      </c>
    </row>
    <row r="270">
      <c r="A270" s="34">
        <f t="shared" si="2"/>
        <v>45120</v>
      </c>
      <c r="B270" s="35">
        <f>if(A270&lt;&gt;"", COUNTIFS(Beans!A:A, A270), "")</f>
        <v>1</v>
      </c>
      <c r="C270" s="35">
        <f>if(A270&lt;&gt;"", COUNTIFS(Beans!A:A, A270, Beans!C:C, "Good" ), "")</f>
        <v>0</v>
      </c>
      <c r="D270" s="35">
        <f>if(A270&lt;&gt;"", COUNTIFS(Beans!A:A, A270, Beans!C:C, "Bad" ), "")</f>
        <v>1</v>
      </c>
      <c r="E270" s="35">
        <f>if(A270&lt;&gt;"", COUNTIFS(Beans!A:A, A270, Beans!C:C, "Spicy" ), "")</f>
        <v>0</v>
      </c>
    </row>
    <row r="271">
      <c r="A271" s="34">
        <f t="shared" si="2"/>
        <v>45121</v>
      </c>
      <c r="B271" s="35">
        <f>if(A271&lt;&gt;"", COUNTIFS(Beans!A:A, A271), "")</f>
        <v>1</v>
      </c>
      <c r="C271" s="35">
        <f>if(A271&lt;&gt;"", COUNTIFS(Beans!A:A, A271, Beans!C:C, "Good" ), "")</f>
        <v>0</v>
      </c>
      <c r="D271" s="35">
        <f>if(A271&lt;&gt;"", COUNTIFS(Beans!A:A, A271, Beans!C:C, "Bad" ), "")</f>
        <v>1</v>
      </c>
      <c r="E271" s="35">
        <f>if(A271&lt;&gt;"", COUNTIFS(Beans!A:A, A271, Beans!C:C, "Spicy" ), "")</f>
        <v>0</v>
      </c>
    </row>
    <row r="272">
      <c r="A272" s="34">
        <f t="shared" si="2"/>
        <v>45122</v>
      </c>
      <c r="B272" s="35">
        <f>if(A272&lt;&gt;"", COUNTIFS(Beans!A:A, A272), "")</f>
        <v>0</v>
      </c>
      <c r="C272" s="35">
        <f>if(A272&lt;&gt;"", COUNTIFS(Beans!A:A, A272, Beans!C:C, "Good" ), "")</f>
        <v>0</v>
      </c>
      <c r="D272" s="35">
        <f>if(A272&lt;&gt;"", COUNTIFS(Beans!A:A, A272, Beans!C:C, "Bad" ), "")</f>
        <v>0</v>
      </c>
      <c r="E272" s="35">
        <f>if(A272&lt;&gt;"", COUNTIFS(Beans!A:A, A272, Beans!C:C, "Spicy" ), "")</f>
        <v>0</v>
      </c>
    </row>
    <row r="273">
      <c r="A273" s="34">
        <f t="shared" si="2"/>
        <v>45123</v>
      </c>
      <c r="B273" s="35">
        <f>if(A273&lt;&gt;"", COUNTIFS(Beans!A:A, A273), "")</f>
        <v>0</v>
      </c>
      <c r="C273" s="35">
        <f>if(A273&lt;&gt;"", COUNTIFS(Beans!A:A, A273, Beans!C:C, "Good" ), "")</f>
        <v>0</v>
      </c>
      <c r="D273" s="35">
        <f>if(A273&lt;&gt;"", COUNTIFS(Beans!A:A, A273, Beans!C:C, "Bad" ), "")</f>
        <v>0</v>
      </c>
      <c r="E273" s="35">
        <f>if(A273&lt;&gt;"", COUNTIFS(Beans!A:A, A273, Beans!C:C, "Spicy" ), "")</f>
        <v>0</v>
      </c>
    </row>
    <row r="274">
      <c r="A274" s="34">
        <f t="shared" si="2"/>
        <v>45124</v>
      </c>
      <c r="B274" s="35">
        <f>if(A274&lt;&gt;"", COUNTIFS(Beans!A:A, A274), "")</f>
        <v>3</v>
      </c>
      <c r="C274" s="35">
        <f>if(A274&lt;&gt;"", COUNTIFS(Beans!A:A, A274, Beans!C:C, "Good" ), "")</f>
        <v>1</v>
      </c>
      <c r="D274" s="35">
        <f>if(A274&lt;&gt;"", COUNTIFS(Beans!A:A, A274, Beans!C:C, "Bad" ), "")</f>
        <v>2</v>
      </c>
      <c r="E274" s="35">
        <f>if(A274&lt;&gt;"", COUNTIFS(Beans!A:A, A274, Beans!C:C, "Spicy" ), "")</f>
        <v>0</v>
      </c>
    </row>
    <row r="275">
      <c r="A275" s="34">
        <f t="shared" si="2"/>
        <v>45125</v>
      </c>
      <c r="B275" s="35">
        <f>if(A275&lt;&gt;"", COUNTIFS(Beans!A:A, A275), "")</f>
        <v>4</v>
      </c>
      <c r="C275" s="35">
        <f>if(A275&lt;&gt;"", COUNTIFS(Beans!A:A, A275, Beans!C:C, "Good" ), "")</f>
        <v>0</v>
      </c>
      <c r="D275" s="35">
        <f>if(A275&lt;&gt;"", COUNTIFS(Beans!A:A, A275, Beans!C:C, "Bad" ), "")</f>
        <v>4</v>
      </c>
      <c r="E275" s="35">
        <f>if(A275&lt;&gt;"", COUNTIFS(Beans!A:A, A275, Beans!C:C, "Spicy" ), "")</f>
        <v>0</v>
      </c>
    </row>
    <row r="276">
      <c r="A276" s="34">
        <f t="shared" si="2"/>
        <v>45126</v>
      </c>
      <c r="B276" s="35">
        <f>if(A276&lt;&gt;"", COUNTIFS(Beans!A:A, A276), "")</f>
        <v>3</v>
      </c>
      <c r="C276" s="35">
        <f>if(A276&lt;&gt;"", COUNTIFS(Beans!A:A, A276, Beans!C:C, "Good" ), "")</f>
        <v>1</v>
      </c>
      <c r="D276" s="35">
        <f>if(A276&lt;&gt;"", COUNTIFS(Beans!A:A, A276, Beans!C:C, "Bad" ), "")</f>
        <v>2</v>
      </c>
      <c r="E276" s="35">
        <f>if(A276&lt;&gt;"", COUNTIFS(Beans!A:A, A276, Beans!C:C, "Spicy" ), "")</f>
        <v>0</v>
      </c>
    </row>
    <row r="277">
      <c r="A277" s="34">
        <f t="shared" si="2"/>
        <v>45127</v>
      </c>
      <c r="B277" s="35">
        <f>if(A277&lt;&gt;"", COUNTIFS(Beans!A:A, A277), "")</f>
        <v>2</v>
      </c>
      <c r="C277" s="35">
        <f>if(A277&lt;&gt;"", COUNTIFS(Beans!A:A, A277, Beans!C:C, "Good" ), "")</f>
        <v>0</v>
      </c>
      <c r="D277" s="35">
        <f>if(A277&lt;&gt;"", COUNTIFS(Beans!A:A, A277, Beans!C:C, "Bad" ), "")</f>
        <v>0</v>
      </c>
      <c r="E277" s="35">
        <f>if(A277&lt;&gt;"", COUNTIFS(Beans!A:A, A277, Beans!C:C, "Spicy" ), "")</f>
        <v>2</v>
      </c>
    </row>
    <row r="278">
      <c r="A278" s="34">
        <f t="shared" si="2"/>
        <v>45128</v>
      </c>
      <c r="B278" s="35">
        <f>if(A278&lt;&gt;"", COUNTIFS(Beans!A:A, A278), "")</f>
        <v>5</v>
      </c>
      <c r="C278" s="35">
        <f>if(A278&lt;&gt;"", COUNTIFS(Beans!A:A, A278, Beans!C:C, "Good" ), "")</f>
        <v>1</v>
      </c>
      <c r="D278" s="35">
        <f>if(A278&lt;&gt;"", COUNTIFS(Beans!A:A, A278, Beans!C:C, "Bad" ), "")</f>
        <v>4</v>
      </c>
      <c r="E278" s="35">
        <f>if(A278&lt;&gt;"", COUNTIFS(Beans!A:A, A278, Beans!C:C, "Spicy" ), "")</f>
        <v>0</v>
      </c>
    </row>
    <row r="279">
      <c r="A279" s="34">
        <f t="shared" si="2"/>
        <v>45129</v>
      </c>
      <c r="B279" s="35">
        <f>if(A279&lt;&gt;"", COUNTIFS(Beans!A:A, A279), "")</f>
        <v>0</v>
      </c>
      <c r="C279" s="35">
        <f>if(A279&lt;&gt;"", COUNTIFS(Beans!A:A, A279, Beans!C:C, "Good" ), "")</f>
        <v>0</v>
      </c>
      <c r="D279" s="35">
        <f>if(A279&lt;&gt;"", COUNTIFS(Beans!A:A, A279, Beans!C:C, "Bad" ), "")</f>
        <v>0</v>
      </c>
      <c r="E279" s="35">
        <f>if(A279&lt;&gt;"", COUNTIFS(Beans!A:A, A279, Beans!C:C, "Spicy" ), "")</f>
        <v>0</v>
      </c>
    </row>
    <row r="280">
      <c r="A280" s="34">
        <f t="shared" si="2"/>
        <v>45130</v>
      </c>
      <c r="B280" s="35">
        <f>if(A280&lt;&gt;"", COUNTIFS(Beans!A:A, A280), "")</f>
        <v>0</v>
      </c>
      <c r="C280" s="35">
        <f>if(A280&lt;&gt;"", COUNTIFS(Beans!A:A, A280, Beans!C:C, "Good" ), "")</f>
        <v>0</v>
      </c>
      <c r="D280" s="35">
        <f>if(A280&lt;&gt;"", COUNTIFS(Beans!A:A, A280, Beans!C:C, "Bad" ), "")</f>
        <v>0</v>
      </c>
      <c r="E280" s="35">
        <f>if(A280&lt;&gt;"", COUNTIFS(Beans!A:A, A280, Beans!C:C, "Spicy" ), "")</f>
        <v>0</v>
      </c>
    </row>
    <row r="281">
      <c r="A281" s="34">
        <f t="shared" si="2"/>
        <v>45131</v>
      </c>
      <c r="B281" s="35">
        <f>if(A281&lt;&gt;"", COUNTIFS(Beans!A:A, A281), "")</f>
        <v>0</v>
      </c>
      <c r="C281" s="35">
        <f>if(A281&lt;&gt;"", COUNTIFS(Beans!A:A, A281, Beans!C:C, "Good" ), "")</f>
        <v>0</v>
      </c>
      <c r="D281" s="35">
        <f>if(A281&lt;&gt;"", COUNTIFS(Beans!A:A, A281, Beans!C:C, "Bad" ), "")</f>
        <v>0</v>
      </c>
      <c r="E281" s="35">
        <f>if(A281&lt;&gt;"", COUNTIFS(Beans!A:A, A281, Beans!C:C, "Spicy" ), "")</f>
        <v>0</v>
      </c>
    </row>
    <row r="282">
      <c r="A282" s="34">
        <f t="shared" si="2"/>
        <v>45132</v>
      </c>
      <c r="B282" s="35">
        <f>if(A282&lt;&gt;"", COUNTIFS(Beans!A:A, A282), "")</f>
        <v>1</v>
      </c>
      <c r="C282" s="35">
        <f>if(A282&lt;&gt;"", COUNTIFS(Beans!A:A, A282, Beans!C:C, "Good" ), "")</f>
        <v>0</v>
      </c>
      <c r="D282" s="35">
        <f>if(A282&lt;&gt;"", COUNTIFS(Beans!A:A, A282, Beans!C:C, "Bad" ), "")</f>
        <v>1</v>
      </c>
      <c r="E282" s="35">
        <f>if(A282&lt;&gt;"", COUNTIFS(Beans!A:A, A282, Beans!C:C, "Spicy" ), "")</f>
        <v>0</v>
      </c>
    </row>
    <row r="283">
      <c r="A283" s="34">
        <f t="shared" si="2"/>
        <v>45133</v>
      </c>
      <c r="B283" s="35">
        <f>if(A283&lt;&gt;"", COUNTIFS(Beans!A:A, A283), "")</f>
        <v>1</v>
      </c>
      <c r="C283" s="35">
        <f>if(A283&lt;&gt;"", COUNTIFS(Beans!A:A, A283, Beans!C:C, "Good" ), "")</f>
        <v>0</v>
      </c>
      <c r="D283" s="35">
        <f>if(A283&lt;&gt;"", COUNTIFS(Beans!A:A, A283, Beans!C:C, "Bad" ), "")</f>
        <v>1</v>
      </c>
      <c r="E283" s="35">
        <f>if(A283&lt;&gt;"", COUNTIFS(Beans!A:A, A283, Beans!C:C, "Spicy" ), "")</f>
        <v>0</v>
      </c>
    </row>
    <row r="284">
      <c r="A284" s="34">
        <f t="shared" si="2"/>
        <v>45134</v>
      </c>
      <c r="B284" s="35">
        <f>if(A284&lt;&gt;"", COUNTIFS(Beans!A:A, A284), "")</f>
        <v>2</v>
      </c>
      <c r="C284" s="35">
        <f>if(A284&lt;&gt;"", COUNTIFS(Beans!A:A, A284, Beans!C:C, "Good" ), "")</f>
        <v>0</v>
      </c>
      <c r="D284" s="35">
        <f>if(A284&lt;&gt;"", COUNTIFS(Beans!A:A, A284, Beans!C:C, "Bad" ), "")</f>
        <v>2</v>
      </c>
      <c r="E284" s="35">
        <f>if(A284&lt;&gt;"", COUNTIFS(Beans!A:A, A284, Beans!C:C, "Spicy" ), "")</f>
        <v>0</v>
      </c>
    </row>
    <row r="285">
      <c r="A285" s="34">
        <f t="shared" si="2"/>
        <v>45135</v>
      </c>
      <c r="B285" s="35">
        <f>if(A285&lt;&gt;"", COUNTIFS(Beans!A:A, A285), "")</f>
        <v>1</v>
      </c>
      <c r="C285" s="35">
        <f>if(A285&lt;&gt;"", COUNTIFS(Beans!A:A, A285, Beans!C:C, "Good" ), "")</f>
        <v>0</v>
      </c>
      <c r="D285" s="35">
        <f>if(A285&lt;&gt;"", COUNTIFS(Beans!A:A, A285, Beans!C:C, "Bad" ), "")</f>
        <v>1</v>
      </c>
      <c r="E285" s="35">
        <f>if(A285&lt;&gt;"", COUNTIFS(Beans!A:A, A285, Beans!C:C, "Spicy" ), "")</f>
        <v>0</v>
      </c>
    </row>
    <row r="286">
      <c r="A286" s="34">
        <f t="shared" si="2"/>
        <v>45136</v>
      </c>
      <c r="B286" s="35">
        <f>if(A286&lt;&gt;"", COUNTIFS(Beans!A:A, A286), "")</f>
        <v>0</v>
      </c>
      <c r="C286" s="35">
        <f>if(A286&lt;&gt;"", COUNTIFS(Beans!A:A, A286, Beans!C:C, "Good" ), "")</f>
        <v>0</v>
      </c>
      <c r="D286" s="35">
        <f>if(A286&lt;&gt;"", COUNTIFS(Beans!A:A, A286, Beans!C:C, "Bad" ), "")</f>
        <v>0</v>
      </c>
      <c r="E286" s="35">
        <f>if(A286&lt;&gt;"", COUNTIFS(Beans!A:A, A286, Beans!C:C, "Spicy" ), "")</f>
        <v>0</v>
      </c>
    </row>
    <row r="287">
      <c r="A287" s="34">
        <f t="shared" si="2"/>
        <v>45137</v>
      </c>
      <c r="B287" s="35">
        <f>if(A287&lt;&gt;"", COUNTIFS(Beans!A:A, A287), "")</f>
        <v>0</v>
      </c>
      <c r="C287" s="35">
        <f>if(A287&lt;&gt;"", COUNTIFS(Beans!A:A, A287, Beans!C:C, "Good" ), "")</f>
        <v>0</v>
      </c>
      <c r="D287" s="35">
        <f>if(A287&lt;&gt;"", COUNTIFS(Beans!A:A, A287, Beans!C:C, "Bad" ), "")</f>
        <v>0</v>
      </c>
      <c r="E287" s="35">
        <f>if(A287&lt;&gt;"", COUNTIFS(Beans!A:A, A287, Beans!C:C, "Spicy" ), "")</f>
        <v>0</v>
      </c>
    </row>
    <row r="288">
      <c r="A288" s="34">
        <f t="shared" si="2"/>
        <v>45138</v>
      </c>
      <c r="B288" s="35">
        <f>if(A288&lt;&gt;"", COUNTIFS(Beans!A:A, A288), "")</f>
        <v>1</v>
      </c>
      <c r="C288" s="35">
        <f>if(A288&lt;&gt;"", COUNTIFS(Beans!A:A, A288, Beans!C:C, "Good" ), "")</f>
        <v>0</v>
      </c>
      <c r="D288" s="35">
        <f>if(A288&lt;&gt;"", COUNTIFS(Beans!A:A, A288, Beans!C:C, "Bad" ), "")</f>
        <v>1</v>
      </c>
      <c r="E288" s="35">
        <f>if(A288&lt;&gt;"", COUNTIFS(Beans!A:A, A288, Beans!C:C, "Spicy" ), "")</f>
        <v>0</v>
      </c>
    </row>
    <row r="289">
      <c r="A289" s="34">
        <f t="shared" si="2"/>
        <v>45139</v>
      </c>
      <c r="B289" s="35">
        <f>if(A289&lt;&gt;"", COUNTIFS(Beans!A:A, A289), "")</f>
        <v>6</v>
      </c>
      <c r="C289" s="35">
        <f>if(A289&lt;&gt;"", COUNTIFS(Beans!A:A, A289, Beans!C:C, "Good" ), "")</f>
        <v>2</v>
      </c>
      <c r="D289" s="35">
        <f>if(A289&lt;&gt;"", COUNTIFS(Beans!A:A, A289, Beans!C:C, "Bad" ), "")</f>
        <v>4</v>
      </c>
      <c r="E289" s="35">
        <f>if(A289&lt;&gt;"", COUNTIFS(Beans!A:A, A289, Beans!C:C, "Spicy" ), "")</f>
        <v>0</v>
      </c>
    </row>
    <row r="290">
      <c r="A290" s="34">
        <f t="shared" si="2"/>
        <v>45140</v>
      </c>
      <c r="B290" s="35">
        <f>if(A290&lt;&gt;"", COUNTIFS(Beans!A:A, A290), "")</f>
        <v>2</v>
      </c>
      <c r="C290" s="35">
        <f>if(A290&lt;&gt;"", COUNTIFS(Beans!A:A, A290, Beans!C:C, "Good" ), "")</f>
        <v>0</v>
      </c>
      <c r="D290" s="35">
        <f>if(A290&lt;&gt;"", COUNTIFS(Beans!A:A, A290, Beans!C:C, "Bad" ), "")</f>
        <v>2</v>
      </c>
      <c r="E290" s="35">
        <f>if(A290&lt;&gt;"", COUNTIFS(Beans!A:A, A290, Beans!C:C, "Spicy" ), "")</f>
        <v>0</v>
      </c>
    </row>
    <row r="291">
      <c r="A291" s="34">
        <f t="shared" si="2"/>
        <v>45141</v>
      </c>
      <c r="B291" s="35">
        <f>if(A291&lt;&gt;"", COUNTIFS(Beans!A:A, A291), "")</f>
        <v>3</v>
      </c>
      <c r="C291" s="35">
        <f>if(A291&lt;&gt;"", COUNTIFS(Beans!A:A, A291, Beans!C:C, "Good" ), "")</f>
        <v>1</v>
      </c>
      <c r="D291" s="35">
        <f>if(A291&lt;&gt;"", COUNTIFS(Beans!A:A, A291, Beans!C:C, "Bad" ), "")</f>
        <v>2</v>
      </c>
      <c r="E291" s="35">
        <f>if(A291&lt;&gt;"", COUNTIFS(Beans!A:A, A291, Beans!C:C, "Spicy" ), "")</f>
        <v>0</v>
      </c>
    </row>
    <row r="292">
      <c r="A292" s="34">
        <f t="shared" si="2"/>
        <v>45142</v>
      </c>
      <c r="B292" s="35">
        <f>if(A292&lt;&gt;"", COUNTIFS(Beans!A:A, A292), "")</f>
        <v>4</v>
      </c>
      <c r="C292" s="35">
        <f>if(A292&lt;&gt;"", COUNTIFS(Beans!A:A, A292, Beans!C:C, "Good" ), "")</f>
        <v>2</v>
      </c>
      <c r="D292" s="35">
        <f>if(A292&lt;&gt;"", COUNTIFS(Beans!A:A, A292, Beans!C:C, "Bad" ), "")</f>
        <v>2</v>
      </c>
      <c r="E292" s="35">
        <f>if(A292&lt;&gt;"", COUNTIFS(Beans!A:A, A292, Beans!C:C, "Spicy" ), "")</f>
        <v>0</v>
      </c>
    </row>
    <row r="293">
      <c r="A293" s="34">
        <f t="shared" si="2"/>
        <v>45143</v>
      </c>
      <c r="B293" s="35">
        <f>if(A293&lt;&gt;"", COUNTIFS(Beans!A:A, A293), "")</f>
        <v>0</v>
      </c>
      <c r="C293" s="35">
        <f>if(A293&lt;&gt;"", COUNTIFS(Beans!A:A, A293, Beans!C:C, "Good" ), "")</f>
        <v>0</v>
      </c>
      <c r="D293" s="35">
        <f>if(A293&lt;&gt;"", COUNTIFS(Beans!A:A, A293, Beans!C:C, "Bad" ), "")</f>
        <v>0</v>
      </c>
      <c r="E293" s="35">
        <f>if(A293&lt;&gt;"", COUNTIFS(Beans!A:A, A293, Beans!C:C, "Spicy" ), "")</f>
        <v>0</v>
      </c>
    </row>
    <row r="294">
      <c r="A294" s="34">
        <f t="shared" si="2"/>
        <v>45144</v>
      </c>
      <c r="B294" s="35">
        <f>if(A294&lt;&gt;"", COUNTIFS(Beans!A:A, A294), "")</f>
        <v>0</v>
      </c>
      <c r="C294" s="35">
        <f>if(A294&lt;&gt;"", COUNTIFS(Beans!A:A, A294, Beans!C:C, "Good" ), "")</f>
        <v>0</v>
      </c>
      <c r="D294" s="35">
        <f>if(A294&lt;&gt;"", COUNTIFS(Beans!A:A, A294, Beans!C:C, "Bad" ), "")</f>
        <v>0</v>
      </c>
      <c r="E294" s="35">
        <f>if(A294&lt;&gt;"", COUNTIFS(Beans!A:A, A294, Beans!C:C, "Spicy" ), "")</f>
        <v>0</v>
      </c>
    </row>
    <row r="295">
      <c r="A295" s="34">
        <f t="shared" si="2"/>
        <v>45145</v>
      </c>
      <c r="B295" s="35">
        <f>if(A295&lt;&gt;"", COUNTIFS(Beans!A:A, A295), "")</f>
        <v>0</v>
      </c>
      <c r="C295" s="35">
        <f>if(A295&lt;&gt;"", COUNTIFS(Beans!A:A, A295, Beans!C:C, "Good" ), "")</f>
        <v>0</v>
      </c>
      <c r="D295" s="35">
        <f>if(A295&lt;&gt;"", COUNTIFS(Beans!A:A, A295, Beans!C:C, "Bad" ), "")</f>
        <v>0</v>
      </c>
      <c r="E295" s="35">
        <f>if(A295&lt;&gt;"", COUNTIFS(Beans!A:A, A295, Beans!C:C, "Spicy" ), "")</f>
        <v>0</v>
      </c>
    </row>
    <row r="296">
      <c r="A296" s="34">
        <f t="shared" si="2"/>
        <v>45146</v>
      </c>
      <c r="B296" s="35">
        <f>if(A296&lt;&gt;"", COUNTIFS(Beans!A:A, A296), "")</f>
        <v>2</v>
      </c>
      <c r="C296" s="35">
        <f>if(A296&lt;&gt;"", COUNTIFS(Beans!A:A, A296, Beans!C:C, "Good" ), "")</f>
        <v>1</v>
      </c>
      <c r="D296" s="35">
        <f>if(A296&lt;&gt;"", COUNTIFS(Beans!A:A, A296, Beans!C:C, "Bad" ), "")</f>
        <v>1</v>
      </c>
      <c r="E296" s="35">
        <f>if(A296&lt;&gt;"", COUNTIFS(Beans!A:A, A296, Beans!C:C, "Spicy" ), "")</f>
        <v>0</v>
      </c>
    </row>
    <row r="297">
      <c r="A297" s="34">
        <f t="shared" si="2"/>
        <v>45147</v>
      </c>
      <c r="B297" s="35">
        <f>if(A297&lt;&gt;"", COUNTIFS(Beans!A:A, A297), "")</f>
        <v>1</v>
      </c>
      <c r="C297" s="35">
        <f>if(A297&lt;&gt;"", COUNTIFS(Beans!A:A, A297, Beans!C:C, "Good" ), "")</f>
        <v>0</v>
      </c>
      <c r="D297" s="35">
        <f>if(A297&lt;&gt;"", COUNTIFS(Beans!A:A, A297, Beans!C:C, "Bad" ), "")</f>
        <v>1</v>
      </c>
      <c r="E297" s="35">
        <f>if(A297&lt;&gt;"", COUNTIFS(Beans!A:A, A297, Beans!C:C, "Spicy" ), "")</f>
        <v>0</v>
      </c>
    </row>
    <row r="298">
      <c r="A298" s="34">
        <f t="shared" si="2"/>
        <v>45148</v>
      </c>
      <c r="B298" s="35">
        <f>if(A298&lt;&gt;"", COUNTIFS(Beans!A:A, A298), "")</f>
        <v>4</v>
      </c>
      <c r="C298" s="35">
        <f>if(A298&lt;&gt;"", COUNTIFS(Beans!A:A, A298, Beans!C:C, "Good" ), "")</f>
        <v>2</v>
      </c>
      <c r="D298" s="35">
        <f>if(A298&lt;&gt;"", COUNTIFS(Beans!A:A, A298, Beans!C:C, "Bad" ), "")</f>
        <v>2</v>
      </c>
      <c r="E298" s="35">
        <f>if(A298&lt;&gt;"", COUNTIFS(Beans!A:A, A298, Beans!C:C, "Spicy" ), "")</f>
        <v>0</v>
      </c>
    </row>
    <row r="299">
      <c r="A299" s="34">
        <f t="shared" si="2"/>
        <v>45149</v>
      </c>
      <c r="B299" s="35">
        <f>if(A299&lt;&gt;"", COUNTIFS(Beans!A:A, A299), "")</f>
        <v>0</v>
      </c>
      <c r="C299" s="35">
        <f>if(A299&lt;&gt;"", COUNTIFS(Beans!A:A, A299, Beans!C:C, "Good" ), "")</f>
        <v>0</v>
      </c>
      <c r="D299" s="35">
        <f>if(A299&lt;&gt;"", COUNTIFS(Beans!A:A, A299, Beans!C:C, "Bad" ), "")</f>
        <v>0</v>
      </c>
      <c r="E299" s="35">
        <f>if(A299&lt;&gt;"", COUNTIFS(Beans!A:A, A299, Beans!C:C, "Spicy" ), "")</f>
        <v>0</v>
      </c>
    </row>
    <row r="300">
      <c r="A300" s="34">
        <f t="shared" si="2"/>
        <v>45150</v>
      </c>
      <c r="B300" s="35">
        <f>if(A300&lt;&gt;"", COUNTIFS(Beans!A:A, A300), "")</f>
        <v>0</v>
      </c>
      <c r="C300" s="35">
        <f>if(A300&lt;&gt;"", COUNTIFS(Beans!A:A, A300, Beans!C:C, "Good" ), "")</f>
        <v>0</v>
      </c>
      <c r="D300" s="35">
        <f>if(A300&lt;&gt;"", COUNTIFS(Beans!A:A, A300, Beans!C:C, "Bad" ), "")</f>
        <v>0</v>
      </c>
      <c r="E300" s="35">
        <f>if(A300&lt;&gt;"", COUNTIFS(Beans!A:A, A300, Beans!C:C, "Spicy" ), "")</f>
        <v>0</v>
      </c>
    </row>
    <row r="301">
      <c r="A301" s="34">
        <f t="shared" si="2"/>
        <v>45151</v>
      </c>
      <c r="B301" s="35">
        <f>if(A301&lt;&gt;"", COUNTIFS(Beans!A:A, A301), "")</f>
        <v>0</v>
      </c>
      <c r="C301" s="35">
        <f>if(A301&lt;&gt;"", COUNTIFS(Beans!A:A, A301, Beans!C:C, "Good" ), "")</f>
        <v>0</v>
      </c>
      <c r="D301" s="35">
        <f>if(A301&lt;&gt;"", COUNTIFS(Beans!A:A, A301, Beans!C:C, "Bad" ), "")</f>
        <v>0</v>
      </c>
      <c r="E301" s="35">
        <f>if(A301&lt;&gt;"", COUNTIFS(Beans!A:A, A301, Beans!C:C, "Spicy" ), "")</f>
        <v>0</v>
      </c>
    </row>
    <row r="302">
      <c r="A302" s="34">
        <f t="shared" si="2"/>
        <v>45152</v>
      </c>
      <c r="B302" s="35">
        <f>if(A302&lt;&gt;"", COUNTIFS(Beans!A:A, A302), "")</f>
        <v>2</v>
      </c>
      <c r="C302" s="35">
        <f>if(A302&lt;&gt;"", COUNTIFS(Beans!A:A, A302, Beans!C:C, "Good" ), "")</f>
        <v>0</v>
      </c>
      <c r="D302" s="35">
        <f>if(A302&lt;&gt;"", COUNTIFS(Beans!A:A, A302, Beans!C:C, "Bad" ), "")</f>
        <v>2</v>
      </c>
      <c r="E302" s="35">
        <f>if(A302&lt;&gt;"", COUNTIFS(Beans!A:A, A302, Beans!C:C, "Spicy" ), "")</f>
        <v>0</v>
      </c>
    </row>
    <row r="303">
      <c r="A303" s="34">
        <f t="shared" si="2"/>
        <v>45153</v>
      </c>
      <c r="B303" s="35">
        <f>if(A303&lt;&gt;"", COUNTIFS(Beans!A:A, A303), "")</f>
        <v>1</v>
      </c>
      <c r="C303" s="35">
        <f>if(A303&lt;&gt;"", COUNTIFS(Beans!A:A, A303, Beans!C:C, "Good" ), "")</f>
        <v>0</v>
      </c>
      <c r="D303" s="35">
        <f>if(A303&lt;&gt;"", COUNTIFS(Beans!A:A, A303, Beans!C:C, "Bad" ), "")</f>
        <v>1</v>
      </c>
      <c r="E303" s="35">
        <f>if(A303&lt;&gt;"", COUNTIFS(Beans!A:A, A303, Beans!C:C, "Spicy" ), "")</f>
        <v>0</v>
      </c>
    </row>
    <row r="304">
      <c r="A304" s="34">
        <f t="shared" si="2"/>
        <v>45154</v>
      </c>
      <c r="B304" s="35">
        <f>if(A304&lt;&gt;"", COUNTIFS(Beans!A:A, A304), "")</f>
        <v>2</v>
      </c>
      <c r="C304" s="35">
        <f>if(A304&lt;&gt;"", COUNTIFS(Beans!A:A, A304, Beans!C:C, "Good" ), "")</f>
        <v>0</v>
      </c>
      <c r="D304" s="35">
        <f>if(A304&lt;&gt;"", COUNTIFS(Beans!A:A, A304, Beans!C:C, "Bad" ), "")</f>
        <v>2</v>
      </c>
      <c r="E304" s="35">
        <f>if(A304&lt;&gt;"", COUNTIFS(Beans!A:A, A304, Beans!C:C, "Spicy" ), "")</f>
        <v>0</v>
      </c>
    </row>
    <row r="305">
      <c r="A305" s="34">
        <f t="shared" si="2"/>
        <v>45155</v>
      </c>
      <c r="B305" s="35">
        <f>if(A305&lt;&gt;"", COUNTIFS(Beans!A:A, A305), "")</f>
        <v>0</v>
      </c>
      <c r="C305" s="35">
        <f>if(A305&lt;&gt;"", COUNTIFS(Beans!A:A, A305, Beans!C:C, "Good" ), "")</f>
        <v>0</v>
      </c>
      <c r="D305" s="35">
        <f>if(A305&lt;&gt;"", COUNTIFS(Beans!A:A, A305, Beans!C:C, "Bad" ), "")</f>
        <v>0</v>
      </c>
      <c r="E305" s="35">
        <f>if(A305&lt;&gt;"", COUNTIFS(Beans!A:A, A305, Beans!C:C, "Spicy" ), "")</f>
        <v>0</v>
      </c>
    </row>
    <row r="306">
      <c r="A306" s="34">
        <f t="shared" si="2"/>
        <v>45156</v>
      </c>
      <c r="B306" s="35">
        <f>if(A306&lt;&gt;"", COUNTIFS(Beans!A:A, A306), "")</f>
        <v>1</v>
      </c>
      <c r="C306" s="35">
        <f>if(A306&lt;&gt;"", COUNTIFS(Beans!A:A, A306, Beans!C:C, "Good" ), "")</f>
        <v>0</v>
      </c>
      <c r="D306" s="35">
        <f>if(A306&lt;&gt;"", COUNTIFS(Beans!A:A, A306, Beans!C:C, "Bad" ), "")</f>
        <v>1</v>
      </c>
      <c r="E306" s="35">
        <f>if(A306&lt;&gt;"", COUNTIFS(Beans!A:A, A306, Beans!C:C, "Spicy" ), "")</f>
        <v>0</v>
      </c>
    </row>
    <row r="307">
      <c r="A307" s="34">
        <f t="shared" si="2"/>
        <v>45157</v>
      </c>
      <c r="B307" s="35">
        <f>if(A307&lt;&gt;"", COUNTIFS(Beans!A:A, A307), "")</f>
        <v>0</v>
      </c>
      <c r="C307" s="35">
        <f>if(A307&lt;&gt;"", COUNTIFS(Beans!A:A, A307, Beans!C:C, "Good" ), "")</f>
        <v>0</v>
      </c>
      <c r="D307" s="35">
        <f>if(A307&lt;&gt;"", COUNTIFS(Beans!A:A, A307, Beans!C:C, "Bad" ), "")</f>
        <v>0</v>
      </c>
      <c r="E307" s="35">
        <f>if(A307&lt;&gt;"", COUNTIFS(Beans!A:A, A307, Beans!C:C, "Spicy" ), "")</f>
        <v>0</v>
      </c>
    </row>
    <row r="308">
      <c r="A308" s="34">
        <f t="shared" si="2"/>
        <v>45158</v>
      </c>
      <c r="B308" s="35">
        <f>if(A308&lt;&gt;"", COUNTIFS(Beans!A:A, A308), "")</f>
        <v>0</v>
      </c>
      <c r="C308" s="35">
        <f>if(A308&lt;&gt;"", COUNTIFS(Beans!A:A, A308, Beans!C:C, "Good" ), "")</f>
        <v>0</v>
      </c>
      <c r="D308" s="35">
        <f>if(A308&lt;&gt;"", COUNTIFS(Beans!A:A, A308, Beans!C:C, "Bad" ), "")</f>
        <v>0</v>
      </c>
      <c r="E308" s="35">
        <f>if(A308&lt;&gt;"", COUNTIFS(Beans!A:A, A308, Beans!C:C, "Spicy" ), "")</f>
        <v>0</v>
      </c>
    </row>
    <row r="309">
      <c r="A309" s="34">
        <f t="shared" si="2"/>
        <v>45159</v>
      </c>
      <c r="B309" s="35">
        <f>if(A309&lt;&gt;"", COUNTIFS(Beans!A:A, A309), "")</f>
        <v>1</v>
      </c>
      <c r="C309" s="35">
        <f>if(A309&lt;&gt;"", COUNTIFS(Beans!A:A, A309, Beans!C:C, "Good" ), "")</f>
        <v>0</v>
      </c>
      <c r="D309" s="35">
        <f>if(A309&lt;&gt;"", COUNTIFS(Beans!A:A, A309, Beans!C:C, "Bad" ), "")</f>
        <v>1</v>
      </c>
      <c r="E309" s="35">
        <f>if(A309&lt;&gt;"", COUNTIFS(Beans!A:A, A309, Beans!C:C, "Spicy" ), "")</f>
        <v>0</v>
      </c>
    </row>
    <row r="310">
      <c r="A310" s="34">
        <f t="shared" si="2"/>
        <v>45160</v>
      </c>
      <c r="B310" s="35">
        <f>if(A310&lt;&gt;"", COUNTIFS(Beans!A:A, A310), "")</f>
        <v>1</v>
      </c>
      <c r="C310" s="35">
        <f>if(A310&lt;&gt;"", COUNTIFS(Beans!A:A, A310, Beans!C:C, "Good" ), "")</f>
        <v>1</v>
      </c>
      <c r="D310" s="35">
        <f>if(A310&lt;&gt;"", COUNTIFS(Beans!A:A, A310, Beans!C:C, "Bad" ), "")</f>
        <v>0</v>
      </c>
      <c r="E310" s="35">
        <f>if(A310&lt;&gt;"", COUNTIFS(Beans!A:A, A310, Beans!C:C, "Spicy" ), "")</f>
        <v>0</v>
      </c>
    </row>
    <row r="311">
      <c r="A311" s="34">
        <f t="shared" si="2"/>
        <v>45161</v>
      </c>
      <c r="B311" s="35">
        <f>if(A311&lt;&gt;"", COUNTIFS(Beans!A:A, A311), "")</f>
        <v>1</v>
      </c>
      <c r="C311" s="35">
        <f>if(A311&lt;&gt;"", COUNTIFS(Beans!A:A, A311, Beans!C:C, "Good" ), "")</f>
        <v>0</v>
      </c>
      <c r="D311" s="35">
        <f>if(A311&lt;&gt;"", COUNTIFS(Beans!A:A, A311, Beans!C:C, "Bad" ), "")</f>
        <v>1</v>
      </c>
      <c r="E311" s="35">
        <f>if(A311&lt;&gt;"", COUNTIFS(Beans!A:A, A311, Beans!C:C, "Spicy" ), "")</f>
        <v>0</v>
      </c>
    </row>
    <row r="312">
      <c r="A312" s="34">
        <f t="shared" si="2"/>
        <v>45162</v>
      </c>
      <c r="B312" s="35">
        <f>if(A312&lt;&gt;"", COUNTIFS(Beans!A:A, A312), "")</f>
        <v>2</v>
      </c>
      <c r="C312" s="35">
        <f>if(A312&lt;&gt;"", COUNTIFS(Beans!A:A, A312, Beans!C:C, "Good" ), "")</f>
        <v>0</v>
      </c>
      <c r="D312" s="35">
        <f>if(A312&lt;&gt;"", COUNTIFS(Beans!A:A, A312, Beans!C:C, "Bad" ), "")</f>
        <v>2</v>
      </c>
      <c r="E312" s="35">
        <f>if(A312&lt;&gt;"", COUNTIFS(Beans!A:A, A312, Beans!C:C, "Spicy" ), "")</f>
        <v>0</v>
      </c>
    </row>
    <row r="313">
      <c r="A313" s="34">
        <f t="shared" si="2"/>
        <v>45163</v>
      </c>
      <c r="B313" s="35">
        <f>if(A313&lt;&gt;"", COUNTIFS(Beans!A:A, A313), "")</f>
        <v>3</v>
      </c>
      <c r="C313" s="35">
        <f>if(A313&lt;&gt;"", COUNTIFS(Beans!A:A, A313, Beans!C:C, "Good" ), "")</f>
        <v>1</v>
      </c>
      <c r="D313" s="35">
        <f>if(A313&lt;&gt;"", COUNTIFS(Beans!A:A, A313, Beans!C:C, "Bad" ), "")</f>
        <v>2</v>
      </c>
      <c r="E313" s="35">
        <f>if(A313&lt;&gt;"", COUNTIFS(Beans!A:A, A313, Beans!C:C, "Spicy" ), "")</f>
        <v>0</v>
      </c>
    </row>
    <row r="314">
      <c r="A314" s="34">
        <f t="shared" si="2"/>
        <v>45164</v>
      </c>
      <c r="B314" s="35">
        <f>if(A314&lt;&gt;"", COUNTIFS(Beans!A:A, A314), "")</f>
        <v>0</v>
      </c>
      <c r="C314" s="35">
        <f>if(A314&lt;&gt;"", COUNTIFS(Beans!A:A, A314, Beans!C:C, "Good" ), "")</f>
        <v>0</v>
      </c>
      <c r="D314" s="35">
        <f>if(A314&lt;&gt;"", COUNTIFS(Beans!A:A, A314, Beans!C:C, "Bad" ), "")</f>
        <v>0</v>
      </c>
      <c r="E314" s="35">
        <f>if(A314&lt;&gt;"", COUNTIFS(Beans!A:A, A314, Beans!C:C, "Spicy" ), "")</f>
        <v>0</v>
      </c>
    </row>
    <row r="315">
      <c r="A315" s="34">
        <f t="shared" si="2"/>
        <v>45165</v>
      </c>
      <c r="B315" s="35">
        <f>if(A315&lt;&gt;"", COUNTIFS(Beans!A:A, A315), "")</f>
        <v>0</v>
      </c>
      <c r="C315" s="35">
        <f>if(A315&lt;&gt;"", COUNTIFS(Beans!A:A, A315, Beans!C:C, "Good" ), "")</f>
        <v>0</v>
      </c>
      <c r="D315" s="35">
        <f>if(A315&lt;&gt;"", COUNTIFS(Beans!A:A, A315, Beans!C:C, "Bad" ), "")</f>
        <v>0</v>
      </c>
      <c r="E315" s="35">
        <f>if(A315&lt;&gt;"", COUNTIFS(Beans!A:A, A315, Beans!C:C, "Spicy" ), "")</f>
        <v>0</v>
      </c>
    </row>
    <row r="316">
      <c r="A316" s="34">
        <f t="shared" si="2"/>
        <v>45166</v>
      </c>
      <c r="B316" s="35">
        <f>if(A316&lt;&gt;"", COUNTIFS(Beans!A:A, A316), "")</f>
        <v>1</v>
      </c>
      <c r="C316" s="35">
        <f>if(A316&lt;&gt;"", COUNTIFS(Beans!A:A, A316, Beans!C:C, "Good" ), "")</f>
        <v>0</v>
      </c>
      <c r="D316" s="35">
        <f>if(A316&lt;&gt;"", COUNTIFS(Beans!A:A, A316, Beans!C:C, "Bad" ), "")</f>
        <v>1</v>
      </c>
      <c r="E316" s="35">
        <f>if(A316&lt;&gt;"", COUNTIFS(Beans!A:A, A316, Beans!C:C, "Spicy" ), "")</f>
        <v>0</v>
      </c>
    </row>
    <row r="317">
      <c r="A317" s="34">
        <f t="shared" si="2"/>
        <v>45167</v>
      </c>
      <c r="B317" s="35">
        <f>if(A317&lt;&gt;"", COUNTIFS(Beans!A:A, A317), "")</f>
        <v>2</v>
      </c>
      <c r="C317" s="35">
        <f>if(A317&lt;&gt;"", COUNTIFS(Beans!A:A, A317, Beans!C:C, "Good" ), "")</f>
        <v>0</v>
      </c>
      <c r="D317" s="35">
        <f>if(A317&lt;&gt;"", COUNTIFS(Beans!A:A, A317, Beans!C:C, "Bad" ), "")</f>
        <v>2</v>
      </c>
      <c r="E317" s="35">
        <f>if(A317&lt;&gt;"", COUNTIFS(Beans!A:A, A317, Beans!C:C, "Spicy" ), "")</f>
        <v>0</v>
      </c>
    </row>
    <row r="318">
      <c r="A318" s="34">
        <f t="shared" si="2"/>
        <v>45168</v>
      </c>
      <c r="B318" s="35">
        <f>if(A318&lt;&gt;"", COUNTIFS(Beans!A:A, A318), "")</f>
        <v>2</v>
      </c>
      <c r="C318" s="35">
        <f>if(A318&lt;&gt;"", COUNTIFS(Beans!A:A, A318, Beans!C:C, "Good" ), "")</f>
        <v>1</v>
      </c>
      <c r="D318" s="35">
        <f>if(A318&lt;&gt;"", COUNTIFS(Beans!A:A, A318, Beans!C:C, "Bad" ), "")</f>
        <v>1</v>
      </c>
      <c r="E318" s="35">
        <f>if(A318&lt;&gt;"", COUNTIFS(Beans!A:A, A318, Beans!C:C, "Spicy" ), "")</f>
        <v>0</v>
      </c>
    </row>
    <row r="319">
      <c r="A319" s="34">
        <f t="shared" si="2"/>
        <v>45169</v>
      </c>
      <c r="B319" s="35">
        <f>if(A319&lt;&gt;"", COUNTIFS(Beans!A:A, A319), "")</f>
        <v>4</v>
      </c>
      <c r="C319" s="35">
        <f>if(A319&lt;&gt;"", COUNTIFS(Beans!A:A, A319, Beans!C:C, "Good" ), "")</f>
        <v>2</v>
      </c>
      <c r="D319" s="35">
        <f>if(A319&lt;&gt;"", COUNTIFS(Beans!A:A, A319, Beans!C:C, "Bad" ), "")</f>
        <v>2</v>
      </c>
      <c r="E319" s="35">
        <f>if(A319&lt;&gt;"", COUNTIFS(Beans!A:A, A319, Beans!C:C, "Spicy" ), "")</f>
        <v>0</v>
      </c>
    </row>
    <row r="320">
      <c r="A320" s="34">
        <f t="shared" si="2"/>
        <v>45170</v>
      </c>
      <c r="B320" s="35">
        <f>if(A320&lt;&gt;"", COUNTIFS(Beans!A:A, A320), "")</f>
        <v>1</v>
      </c>
      <c r="C320" s="35">
        <f>if(A320&lt;&gt;"", COUNTIFS(Beans!A:A, A320, Beans!C:C, "Good" ), "")</f>
        <v>0</v>
      </c>
      <c r="D320" s="35">
        <f>if(A320&lt;&gt;"", COUNTIFS(Beans!A:A, A320, Beans!C:C, "Bad" ), "")</f>
        <v>1</v>
      </c>
      <c r="E320" s="35">
        <f>if(A320&lt;&gt;"", COUNTIFS(Beans!A:A, A320, Beans!C:C, "Spicy" ), "")</f>
        <v>0</v>
      </c>
    </row>
    <row r="321">
      <c r="A321" s="34">
        <f t="shared" si="2"/>
        <v>45171</v>
      </c>
      <c r="B321" s="35">
        <f>if(A321&lt;&gt;"", COUNTIFS(Beans!A:A, A321), "")</f>
        <v>0</v>
      </c>
      <c r="C321" s="35">
        <f>if(A321&lt;&gt;"", COUNTIFS(Beans!A:A, A321, Beans!C:C, "Good" ), "")</f>
        <v>0</v>
      </c>
      <c r="D321" s="35">
        <f>if(A321&lt;&gt;"", COUNTIFS(Beans!A:A, A321, Beans!C:C, "Bad" ), "")</f>
        <v>0</v>
      </c>
      <c r="E321" s="35">
        <f>if(A321&lt;&gt;"", COUNTIFS(Beans!A:A, A321, Beans!C:C, "Spicy" ), "")</f>
        <v>0</v>
      </c>
    </row>
    <row r="322">
      <c r="A322" s="34">
        <f t="shared" si="2"/>
        <v>45172</v>
      </c>
      <c r="B322" s="35">
        <f>if(A322&lt;&gt;"", COUNTIFS(Beans!A:A, A322), "")</f>
        <v>0</v>
      </c>
      <c r="C322" s="35">
        <f>if(A322&lt;&gt;"", COUNTIFS(Beans!A:A, A322, Beans!C:C, "Good" ), "")</f>
        <v>0</v>
      </c>
      <c r="D322" s="35">
        <f>if(A322&lt;&gt;"", COUNTIFS(Beans!A:A, A322, Beans!C:C, "Bad" ), "")</f>
        <v>0</v>
      </c>
      <c r="E322" s="35">
        <f>if(A322&lt;&gt;"", COUNTIFS(Beans!A:A, A322, Beans!C:C, "Spicy" ), "")</f>
        <v>0</v>
      </c>
    </row>
    <row r="323">
      <c r="A323" s="34">
        <f t="shared" si="2"/>
        <v>45173</v>
      </c>
      <c r="B323" s="35">
        <f>if(A323&lt;&gt;"", COUNTIFS(Beans!A:A, A323), "")</f>
        <v>0</v>
      </c>
      <c r="C323" s="35">
        <f>if(A323&lt;&gt;"", COUNTIFS(Beans!A:A, A323, Beans!C:C, "Good" ), "")</f>
        <v>0</v>
      </c>
      <c r="D323" s="35">
        <f>if(A323&lt;&gt;"", COUNTIFS(Beans!A:A, A323, Beans!C:C, "Bad" ), "")</f>
        <v>0</v>
      </c>
      <c r="E323" s="35">
        <f>if(A323&lt;&gt;"", COUNTIFS(Beans!A:A, A323, Beans!C:C, "Spicy" ), "")</f>
        <v>0</v>
      </c>
    </row>
    <row r="324">
      <c r="A324" s="34">
        <f t="shared" si="2"/>
        <v>45174</v>
      </c>
      <c r="B324" s="35">
        <f>if(A324&lt;&gt;"", COUNTIFS(Beans!A:A, A324), "")</f>
        <v>1</v>
      </c>
      <c r="C324" s="35">
        <f>if(A324&lt;&gt;"", COUNTIFS(Beans!A:A, A324, Beans!C:C, "Good" ), "")</f>
        <v>0</v>
      </c>
      <c r="D324" s="35">
        <f>if(A324&lt;&gt;"", COUNTIFS(Beans!A:A, A324, Beans!C:C, "Bad" ), "")</f>
        <v>1</v>
      </c>
      <c r="E324" s="35">
        <f>if(A324&lt;&gt;"", COUNTIFS(Beans!A:A, A324, Beans!C:C, "Spicy" ), "")</f>
        <v>0</v>
      </c>
    </row>
    <row r="325">
      <c r="A325" s="34">
        <f t="shared" si="2"/>
        <v>45175</v>
      </c>
      <c r="B325" s="35">
        <f>if(A325&lt;&gt;"", COUNTIFS(Beans!A:A, A325), "")</f>
        <v>1</v>
      </c>
      <c r="C325" s="35">
        <f>if(A325&lt;&gt;"", COUNTIFS(Beans!A:A, A325, Beans!C:C, "Good" ), "")</f>
        <v>0</v>
      </c>
      <c r="D325" s="35">
        <f>if(A325&lt;&gt;"", COUNTIFS(Beans!A:A, A325, Beans!C:C, "Bad" ), "")</f>
        <v>1</v>
      </c>
      <c r="E325" s="35">
        <f>if(A325&lt;&gt;"", COUNTIFS(Beans!A:A, A325, Beans!C:C, "Spicy" ), "")</f>
        <v>0</v>
      </c>
    </row>
    <row r="326">
      <c r="A326" s="34">
        <f t="shared" si="2"/>
        <v>45176</v>
      </c>
      <c r="B326" s="35">
        <f>if(A326&lt;&gt;"", COUNTIFS(Beans!A:A, A326), "")</f>
        <v>1</v>
      </c>
      <c r="C326" s="35">
        <f>if(A326&lt;&gt;"", COUNTIFS(Beans!A:A, A326, Beans!C:C, "Good" ), "")</f>
        <v>1</v>
      </c>
      <c r="D326" s="35">
        <f>if(A326&lt;&gt;"", COUNTIFS(Beans!A:A, A326, Beans!C:C, "Bad" ), "")</f>
        <v>0</v>
      </c>
      <c r="E326" s="35">
        <f>if(A326&lt;&gt;"", COUNTIFS(Beans!A:A, A326, Beans!C:C, "Spicy" ), "")</f>
        <v>0</v>
      </c>
    </row>
    <row r="327">
      <c r="A327" s="34">
        <f t="shared" si="2"/>
        <v>45177</v>
      </c>
      <c r="B327" s="35">
        <f>if(A327&lt;&gt;"", COUNTIFS(Beans!A:A, A327), "")</f>
        <v>1</v>
      </c>
      <c r="C327" s="35">
        <f>if(A327&lt;&gt;"", COUNTIFS(Beans!A:A, A327, Beans!C:C, "Good" ), "")</f>
        <v>0</v>
      </c>
      <c r="D327" s="35">
        <f>if(A327&lt;&gt;"", COUNTIFS(Beans!A:A, A327, Beans!C:C, "Bad" ), "")</f>
        <v>1</v>
      </c>
      <c r="E327" s="35">
        <f>if(A327&lt;&gt;"", COUNTIFS(Beans!A:A, A327, Beans!C:C, "Spicy" ), "")</f>
        <v>0</v>
      </c>
    </row>
    <row r="328">
      <c r="A328" s="34">
        <f t="shared" si="2"/>
        <v>45178</v>
      </c>
      <c r="B328" s="35">
        <f>if(A328&lt;&gt;"", COUNTIFS(Beans!A:A, A328), "")</f>
        <v>1</v>
      </c>
      <c r="C328" s="35">
        <f>if(A328&lt;&gt;"", COUNTIFS(Beans!A:A, A328, Beans!C:C, "Good" ), "")</f>
        <v>0</v>
      </c>
      <c r="D328" s="35">
        <f>if(A328&lt;&gt;"", COUNTIFS(Beans!A:A, A328, Beans!C:C, "Bad" ), "")</f>
        <v>1</v>
      </c>
      <c r="E328" s="35">
        <f>if(A328&lt;&gt;"", COUNTIFS(Beans!A:A, A328, Beans!C:C, "Spicy" ), "")</f>
        <v>0</v>
      </c>
    </row>
    <row r="329">
      <c r="A329" s="34">
        <f t="shared" si="2"/>
        <v>45179</v>
      </c>
      <c r="B329" s="35">
        <f>if(A329&lt;&gt;"", COUNTIFS(Beans!A:A, A329), "")</f>
        <v>0</v>
      </c>
      <c r="C329" s="35">
        <f>if(A329&lt;&gt;"", COUNTIFS(Beans!A:A, A329, Beans!C:C, "Good" ), "")</f>
        <v>0</v>
      </c>
      <c r="D329" s="35">
        <f>if(A329&lt;&gt;"", COUNTIFS(Beans!A:A, A329, Beans!C:C, "Bad" ), "")</f>
        <v>0</v>
      </c>
      <c r="E329" s="35">
        <f>if(A329&lt;&gt;"", COUNTIFS(Beans!A:A, A329, Beans!C:C, "Spicy" ), "")</f>
        <v>0</v>
      </c>
    </row>
    <row r="330">
      <c r="A330" s="34">
        <f t="shared" si="2"/>
        <v>45180</v>
      </c>
      <c r="B330" s="35">
        <f>if(A330&lt;&gt;"", COUNTIFS(Beans!A:A, A330), "")</f>
        <v>0</v>
      </c>
      <c r="C330" s="35">
        <f>if(A330&lt;&gt;"", COUNTIFS(Beans!A:A, A330, Beans!C:C, "Good" ), "")</f>
        <v>0</v>
      </c>
      <c r="D330" s="35">
        <f>if(A330&lt;&gt;"", COUNTIFS(Beans!A:A, A330, Beans!C:C, "Bad" ), "")</f>
        <v>0</v>
      </c>
      <c r="E330" s="35">
        <f>if(A330&lt;&gt;"", COUNTIFS(Beans!A:A, A330, Beans!C:C, "Spicy" ), "")</f>
        <v>0</v>
      </c>
    </row>
    <row r="331">
      <c r="A331" s="34">
        <f t="shared" si="2"/>
        <v>45181</v>
      </c>
      <c r="B331" s="35">
        <f>if(A331&lt;&gt;"", COUNTIFS(Beans!A:A, A331), "")</f>
        <v>1</v>
      </c>
      <c r="C331" s="35">
        <f>if(A331&lt;&gt;"", COUNTIFS(Beans!A:A, A331, Beans!C:C, "Good" ), "")</f>
        <v>1</v>
      </c>
      <c r="D331" s="35">
        <f>if(A331&lt;&gt;"", COUNTIFS(Beans!A:A, A331, Beans!C:C, "Bad" ), "")</f>
        <v>0</v>
      </c>
      <c r="E331" s="35">
        <f>if(A331&lt;&gt;"", COUNTIFS(Beans!A:A, A331, Beans!C:C, "Spicy" ), "")</f>
        <v>0</v>
      </c>
    </row>
    <row r="332">
      <c r="A332" s="34">
        <f t="shared" si="2"/>
        <v>45182</v>
      </c>
      <c r="B332" s="35">
        <f>if(A332&lt;&gt;"", COUNTIFS(Beans!A:A, A332), "")</f>
        <v>1</v>
      </c>
      <c r="C332" s="35">
        <f>if(A332&lt;&gt;"", COUNTIFS(Beans!A:A, A332, Beans!C:C, "Good" ), "")</f>
        <v>0</v>
      </c>
      <c r="D332" s="35">
        <f>if(A332&lt;&gt;"", COUNTIFS(Beans!A:A, A332, Beans!C:C, "Bad" ), "")</f>
        <v>1</v>
      </c>
      <c r="E332" s="35">
        <f>if(A332&lt;&gt;"", COUNTIFS(Beans!A:A, A332, Beans!C:C, "Spicy" ), "")</f>
        <v>0</v>
      </c>
    </row>
    <row r="333">
      <c r="A333" s="34">
        <f t="shared" si="2"/>
        <v>45183</v>
      </c>
      <c r="B333" s="35">
        <f>if(A333&lt;&gt;"", COUNTIFS(Beans!A:A, A333), "")</f>
        <v>1</v>
      </c>
      <c r="C333" s="35">
        <f>if(A333&lt;&gt;"", COUNTIFS(Beans!A:A, A333, Beans!C:C, "Good" ), "")</f>
        <v>0</v>
      </c>
      <c r="D333" s="35">
        <f>if(A333&lt;&gt;"", COUNTIFS(Beans!A:A, A333, Beans!C:C, "Bad" ), "")</f>
        <v>1</v>
      </c>
      <c r="E333" s="35">
        <f>if(A333&lt;&gt;"", COUNTIFS(Beans!A:A, A333, Beans!C:C, "Spicy" ), "")</f>
        <v>0</v>
      </c>
    </row>
    <row r="334">
      <c r="A334" s="34">
        <f t="shared" si="2"/>
        <v>45184</v>
      </c>
      <c r="B334" s="35">
        <f>if(A334&lt;&gt;"", COUNTIFS(Beans!A:A, A334), "")</f>
        <v>4</v>
      </c>
      <c r="C334" s="35">
        <f>if(A334&lt;&gt;"", COUNTIFS(Beans!A:A, A334, Beans!C:C, "Good" ), "")</f>
        <v>2</v>
      </c>
      <c r="D334" s="35">
        <f>if(A334&lt;&gt;"", COUNTIFS(Beans!A:A, A334, Beans!C:C, "Bad" ), "")</f>
        <v>2</v>
      </c>
      <c r="E334" s="35">
        <f>if(A334&lt;&gt;"", COUNTIFS(Beans!A:A, A334, Beans!C:C, "Spicy" ), "")</f>
        <v>0</v>
      </c>
    </row>
    <row r="335">
      <c r="A335" s="34">
        <f t="shared" si="2"/>
        <v>45185</v>
      </c>
      <c r="B335" s="35">
        <f>if(A335&lt;&gt;"", COUNTIFS(Beans!A:A, A335), "")</f>
        <v>0</v>
      </c>
      <c r="C335" s="35">
        <f>if(A335&lt;&gt;"", COUNTIFS(Beans!A:A, A335, Beans!C:C, "Good" ), "")</f>
        <v>0</v>
      </c>
      <c r="D335" s="35">
        <f>if(A335&lt;&gt;"", COUNTIFS(Beans!A:A, A335, Beans!C:C, "Bad" ), "")</f>
        <v>0</v>
      </c>
      <c r="E335" s="35">
        <f>if(A335&lt;&gt;"", COUNTIFS(Beans!A:A, A335, Beans!C:C, "Spicy" ), "")</f>
        <v>0</v>
      </c>
    </row>
    <row r="336">
      <c r="A336" s="34">
        <f t="shared" si="2"/>
        <v>45186</v>
      </c>
      <c r="B336" s="35">
        <f>if(A336&lt;&gt;"", COUNTIFS(Beans!A:A, A336), "")</f>
        <v>0</v>
      </c>
      <c r="C336" s="35">
        <f>if(A336&lt;&gt;"", COUNTIFS(Beans!A:A, A336, Beans!C:C, "Good" ), "")</f>
        <v>0</v>
      </c>
      <c r="D336" s="35">
        <f>if(A336&lt;&gt;"", COUNTIFS(Beans!A:A, A336, Beans!C:C, "Bad" ), "")</f>
        <v>0</v>
      </c>
      <c r="E336" s="35">
        <f>if(A336&lt;&gt;"", COUNTIFS(Beans!A:A, A336, Beans!C:C, "Spicy" ), "")</f>
        <v>0</v>
      </c>
    </row>
    <row r="337">
      <c r="A337" s="34">
        <f t="shared" si="2"/>
        <v>45187</v>
      </c>
      <c r="B337" s="35">
        <f>if(A337&lt;&gt;"", COUNTIFS(Beans!A:A, A337), "")</f>
        <v>2</v>
      </c>
      <c r="C337" s="35">
        <f>if(A337&lt;&gt;"", COUNTIFS(Beans!A:A, A337, Beans!C:C, "Good" ), "")</f>
        <v>1</v>
      </c>
      <c r="D337" s="35">
        <f>if(A337&lt;&gt;"", COUNTIFS(Beans!A:A, A337, Beans!C:C, "Bad" ), "")</f>
        <v>1</v>
      </c>
      <c r="E337" s="35">
        <f>if(A337&lt;&gt;"", COUNTIFS(Beans!A:A, A337, Beans!C:C, "Spicy" ), "")</f>
        <v>0</v>
      </c>
    </row>
    <row r="338">
      <c r="A338" s="34">
        <f t="shared" si="2"/>
        <v>45188</v>
      </c>
      <c r="B338" s="35">
        <f>if(A338&lt;&gt;"", COUNTIFS(Beans!A:A, A338), "")</f>
        <v>1</v>
      </c>
      <c r="C338" s="35">
        <f>if(A338&lt;&gt;"", COUNTIFS(Beans!A:A, A338, Beans!C:C, "Good" ), "")</f>
        <v>0</v>
      </c>
      <c r="D338" s="35">
        <f>if(A338&lt;&gt;"", COUNTIFS(Beans!A:A, A338, Beans!C:C, "Bad" ), "")</f>
        <v>1</v>
      </c>
      <c r="E338" s="35">
        <f>if(A338&lt;&gt;"", COUNTIFS(Beans!A:A, A338, Beans!C:C, "Spicy" ), "")</f>
        <v>0</v>
      </c>
    </row>
    <row r="339">
      <c r="A339" s="34">
        <f t="shared" si="2"/>
        <v>45189</v>
      </c>
      <c r="B339" s="35">
        <f>if(A339&lt;&gt;"", COUNTIFS(Beans!A:A, A339), "")</f>
        <v>2</v>
      </c>
      <c r="C339" s="35">
        <f>if(A339&lt;&gt;"", COUNTIFS(Beans!A:A, A339, Beans!C:C, "Good" ), "")</f>
        <v>0</v>
      </c>
      <c r="D339" s="35">
        <f>if(A339&lt;&gt;"", COUNTIFS(Beans!A:A, A339, Beans!C:C, "Bad" ), "")</f>
        <v>2</v>
      </c>
      <c r="E339" s="35">
        <f>if(A339&lt;&gt;"", COUNTIFS(Beans!A:A, A339, Beans!C:C, "Spicy" ), "")</f>
        <v>0</v>
      </c>
    </row>
    <row r="340">
      <c r="A340" s="34">
        <f t="shared" si="2"/>
        <v>45190</v>
      </c>
      <c r="B340" s="35">
        <f>if(A340&lt;&gt;"", COUNTIFS(Beans!A:A, A340), "")</f>
        <v>3</v>
      </c>
      <c r="C340" s="35">
        <f>if(A340&lt;&gt;"", COUNTIFS(Beans!A:A, A340, Beans!C:C, "Good" ), "")</f>
        <v>2</v>
      </c>
      <c r="D340" s="35">
        <f>if(A340&lt;&gt;"", COUNTIFS(Beans!A:A, A340, Beans!C:C, "Bad" ), "")</f>
        <v>1</v>
      </c>
      <c r="E340" s="35">
        <f>if(A340&lt;&gt;"", COUNTIFS(Beans!A:A, A340, Beans!C:C, "Spicy" ), "")</f>
        <v>0</v>
      </c>
    </row>
    <row r="341">
      <c r="A341" s="34">
        <f t="shared" si="2"/>
        <v>45191</v>
      </c>
      <c r="B341" s="35">
        <f>if(A341&lt;&gt;"", COUNTIFS(Beans!A:A, A341), "")</f>
        <v>2</v>
      </c>
      <c r="C341" s="35">
        <f>if(A341&lt;&gt;"", COUNTIFS(Beans!A:A, A341, Beans!C:C, "Good" ), "")</f>
        <v>1</v>
      </c>
      <c r="D341" s="35">
        <f>if(A341&lt;&gt;"", COUNTIFS(Beans!A:A, A341, Beans!C:C, "Bad" ), "")</f>
        <v>1</v>
      </c>
      <c r="E341" s="35">
        <f>if(A341&lt;&gt;"", COUNTIFS(Beans!A:A, A341, Beans!C:C, "Spicy" ), "")</f>
        <v>0</v>
      </c>
    </row>
    <row r="342">
      <c r="A342" s="34">
        <f t="shared" si="2"/>
        <v>45192</v>
      </c>
      <c r="B342" s="35">
        <f>if(A342&lt;&gt;"", COUNTIFS(Beans!A:A, A342), "")</f>
        <v>0</v>
      </c>
      <c r="C342" s="35">
        <f>if(A342&lt;&gt;"", COUNTIFS(Beans!A:A, A342, Beans!C:C, "Good" ), "")</f>
        <v>0</v>
      </c>
      <c r="D342" s="35">
        <f>if(A342&lt;&gt;"", COUNTIFS(Beans!A:A, A342, Beans!C:C, "Bad" ), "")</f>
        <v>0</v>
      </c>
      <c r="E342" s="35">
        <f>if(A342&lt;&gt;"", COUNTIFS(Beans!A:A, A342, Beans!C:C, "Spicy" ), "")</f>
        <v>0</v>
      </c>
    </row>
    <row r="343">
      <c r="A343" s="34">
        <f t="shared" si="2"/>
        <v>45193</v>
      </c>
      <c r="B343" s="35">
        <f>if(A343&lt;&gt;"", COUNTIFS(Beans!A:A, A343), "")</f>
        <v>0</v>
      </c>
      <c r="C343" s="35">
        <f>if(A343&lt;&gt;"", COUNTIFS(Beans!A:A, A343, Beans!C:C, "Good" ), "")</f>
        <v>0</v>
      </c>
      <c r="D343" s="35">
        <f>if(A343&lt;&gt;"", COUNTIFS(Beans!A:A, A343, Beans!C:C, "Bad" ), "")</f>
        <v>0</v>
      </c>
      <c r="E343" s="35">
        <f>if(A343&lt;&gt;"", COUNTIFS(Beans!A:A, A343, Beans!C:C, "Spicy" ), "")</f>
        <v>0</v>
      </c>
    </row>
    <row r="344">
      <c r="A344" s="34">
        <f t="shared" si="2"/>
        <v>45194</v>
      </c>
      <c r="B344" s="35">
        <f>if(A344&lt;&gt;"", COUNTIFS(Beans!A:A, A344), "")</f>
        <v>1</v>
      </c>
      <c r="C344" s="35">
        <f>if(A344&lt;&gt;"", COUNTIFS(Beans!A:A, A344, Beans!C:C, "Good" ), "")</f>
        <v>1</v>
      </c>
      <c r="D344" s="35">
        <f>if(A344&lt;&gt;"", COUNTIFS(Beans!A:A, A344, Beans!C:C, "Bad" ), "")</f>
        <v>0</v>
      </c>
      <c r="E344" s="35">
        <f>if(A344&lt;&gt;"", COUNTIFS(Beans!A:A, A344, Beans!C:C, "Spicy" ), "")</f>
        <v>0</v>
      </c>
    </row>
    <row r="345">
      <c r="A345" s="34">
        <f t="shared" si="2"/>
        <v>45195</v>
      </c>
      <c r="B345" s="35">
        <f>if(A345&lt;&gt;"", COUNTIFS(Beans!A:A, A345), "")</f>
        <v>6</v>
      </c>
      <c r="C345" s="35">
        <f>if(A345&lt;&gt;"", COUNTIFS(Beans!A:A, A345, Beans!C:C, "Good" ), "")</f>
        <v>1</v>
      </c>
      <c r="D345" s="35">
        <f>if(A345&lt;&gt;"", COUNTIFS(Beans!A:A, A345, Beans!C:C, "Bad" ), "")</f>
        <v>5</v>
      </c>
      <c r="E345" s="35">
        <f>if(A345&lt;&gt;"", COUNTIFS(Beans!A:A, A345, Beans!C:C, "Spicy" ), "")</f>
        <v>0</v>
      </c>
    </row>
    <row r="346">
      <c r="A346" s="34">
        <f t="shared" si="2"/>
        <v>45196</v>
      </c>
      <c r="B346" s="35">
        <f>if(A346&lt;&gt;"", COUNTIFS(Beans!A:A, A346), "")</f>
        <v>1</v>
      </c>
      <c r="C346" s="35">
        <f>if(A346&lt;&gt;"", COUNTIFS(Beans!A:A, A346, Beans!C:C, "Good" ), "")</f>
        <v>0</v>
      </c>
      <c r="D346" s="35">
        <f>if(A346&lt;&gt;"", COUNTIFS(Beans!A:A, A346, Beans!C:C, "Bad" ), "")</f>
        <v>1</v>
      </c>
      <c r="E346" s="35">
        <f>if(A346&lt;&gt;"", COUNTIFS(Beans!A:A, A346, Beans!C:C, "Spicy" ), "")</f>
        <v>0</v>
      </c>
    </row>
    <row r="347">
      <c r="A347" s="34">
        <f t="shared" si="2"/>
        <v>45197</v>
      </c>
      <c r="B347" s="35">
        <f>if(A347&lt;&gt;"", COUNTIFS(Beans!A:A, A347), "")</f>
        <v>1</v>
      </c>
      <c r="C347" s="35">
        <f>if(A347&lt;&gt;"", COUNTIFS(Beans!A:A, A347, Beans!C:C, "Good" ), "")</f>
        <v>1</v>
      </c>
      <c r="D347" s="35">
        <f>if(A347&lt;&gt;"", COUNTIFS(Beans!A:A, A347, Beans!C:C, "Bad" ), "")</f>
        <v>0</v>
      </c>
      <c r="E347" s="35">
        <f>if(A347&lt;&gt;"", COUNTIFS(Beans!A:A, A347, Beans!C:C, "Spicy" ), "")</f>
        <v>0</v>
      </c>
    </row>
    <row r="348">
      <c r="A348" s="34">
        <f t="shared" si="2"/>
        <v>45198</v>
      </c>
      <c r="B348" s="35">
        <f>if(A348&lt;&gt;"", COUNTIFS(Beans!A:A, A348), "")</f>
        <v>0</v>
      </c>
      <c r="C348" s="35">
        <f>if(A348&lt;&gt;"", COUNTIFS(Beans!A:A, A348, Beans!C:C, "Good" ), "")</f>
        <v>0</v>
      </c>
      <c r="D348" s="35">
        <f>if(A348&lt;&gt;"", COUNTIFS(Beans!A:A, A348, Beans!C:C, "Bad" ), "")</f>
        <v>0</v>
      </c>
      <c r="E348" s="35">
        <f>if(A348&lt;&gt;"", COUNTIFS(Beans!A:A, A348, Beans!C:C, "Spicy" ), "")</f>
        <v>0</v>
      </c>
    </row>
    <row r="349">
      <c r="A349" s="34">
        <f t="shared" si="2"/>
        <v>45199</v>
      </c>
      <c r="B349" s="35">
        <f>if(A349&lt;&gt;"", COUNTIFS(Beans!A:A, A349), "")</f>
        <v>0</v>
      </c>
      <c r="C349" s="35">
        <f>if(A349&lt;&gt;"", COUNTIFS(Beans!A:A, A349, Beans!C:C, "Good" ), "")</f>
        <v>0</v>
      </c>
      <c r="D349" s="35">
        <f>if(A349&lt;&gt;"", COUNTIFS(Beans!A:A, A349, Beans!C:C, "Bad" ), "")</f>
        <v>0</v>
      </c>
      <c r="E349" s="35">
        <f>if(A349&lt;&gt;"", COUNTIFS(Beans!A:A, A349, Beans!C:C, "Spicy" ), "")</f>
        <v>0</v>
      </c>
    </row>
    <row r="350">
      <c r="A350" s="34">
        <f t="shared" si="2"/>
        <v>45200</v>
      </c>
      <c r="B350" s="35">
        <f>if(A350&lt;&gt;"", COUNTIFS(Beans!A:A, A350), "")</f>
        <v>0</v>
      </c>
      <c r="C350" s="35">
        <f>if(A350&lt;&gt;"", COUNTIFS(Beans!A:A, A350, Beans!C:C, "Good" ), "")</f>
        <v>0</v>
      </c>
      <c r="D350" s="35">
        <f>if(A350&lt;&gt;"", COUNTIFS(Beans!A:A, A350, Beans!C:C, "Bad" ), "")</f>
        <v>0</v>
      </c>
      <c r="E350" s="35">
        <f>if(A350&lt;&gt;"", COUNTIFS(Beans!A:A, A350, Beans!C:C, "Spicy" ), "")</f>
        <v>0</v>
      </c>
    </row>
    <row r="351">
      <c r="A351" s="34">
        <f t="shared" si="2"/>
        <v>45201</v>
      </c>
      <c r="B351" s="35">
        <f>if(A351&lt;&gt;"", COUNTIFS(Beans!A:A, A351), "")</f>
        <v>8</v>
      </c>
      <c r="C351" s="35">
        <f>if(A351&lt;&gt;"", COUNTIFS(Beans!A:A, A351, Beans!C:C, "Good" ), "")</f>
        <v>5</v>
      </c>
      <c r="D351" s="35">
        <f>if(A351&lt;&gt;"", COUNTIFS(Beans!A:A, A351, Beans!C:C, "Bad" ), "")</f>
        <v>3</v>
      </c>
      <c r="E351" s="35">
        <f>if(A351&lt;&gt;"", COUNTIFS(Beans!A:A, A351, Beans!C:C, "Spicy" ), "")</f>
        <v>0</v>
      </c>
    </row>
    <row r="352">
      <c r="A352" s="34">
        <f t="shared" si="2"/>
        <v>45202</v>
      </c>
      <c r="B352" s="35">
        <f>if(A352&lt;&gt;"", COUNTIFS(Beans!A:A, A352), "")</f>
        <v>1</v>
      </c>
      <c r="C352" s="35">
        <f>if(A352&lt;&gt;"", COUNTIFS(Beans!A:A, A352, Beans!C:C, "Good" ), "")</f>
        <v>0</v>
      </c>
      <c r="D352" s="35">
        <f>if(A352&lt;&gt;"", COUNTIFS(Beans!A:A, A352, Beans!C:C, "Bad" ), "")</f>
        <v>1</v>
      </c>
      <c r="E352" s="35">
        <f>if(A352&lt;&gt;"", COUNTIFS(Beans!A:A, A352, Beans!C:C, "Spicy" ), "")</f>
        <v>0</v>
      </c>
    </row>
    <row r="353">
      <c r="A353" s="34">
        <f t="shared" si="2"/>
        <v>45203</v>
      </c>
      <c r="B353" s="35">
        <f>if(A353&lt;&gt;"", COUNTIFS(Beans!A:A, A353), "")</f>
        <v>0</v>
      </c>
      <c r="C353" s="35">
        <f>if(A353&lt;&gt;"", COUNTIFS(Beans!A:A, A353, Beans!C:C, "Good" ), "")</f>
        <v>0</v>
      </c>
      <c r="D353" s="35">
        <f>if(A353&lt;&gt;"", COUNTIFS(Beans!A:A, A353, Beans!C:C, "Bad" ), "")</f>
        <v>0</v>
      </c>
      <c r="E353" s="35">
        <f>if(A353&lt;&gt;"", COUNTIFS(Beans!A:A, A353, Beans!C:C, "Spicy" ), "")</f>
        <v>0</v>
      </c>
    </row>
    <row r="354">
      <c r="A354" s="34">
        <f t="shared" si="2"/>
        <v>45204</v>
      </c>
      <c r="B354" s="35">
        <f>if(A354&lt;&gt;"", COUNTIFS(Beans!A:A, A354), "")</f>
        <v>1</v>
      </c>
      <c r="C354" s="35">
        <f>if(A354&lt;&gt;"", COUNTIFS(Beans!A:A, A354, Beans!C:C, "Good" ), "")</f>
        <v>0</v>
      </c>
      <c r="D354" s="35">
        <f>if(A354&lt;&gt;"", COUNTIFS(Beans!A:A, A354, Beans!C:C, "Bad" ), "")</f>
        <v>1</v>
      </c>
      <c r="E354" s="35">
        <f>if(A354&lt;&gt;"", COUNTIFS(Beans!A:A, A354, Beans!C:C, "Spicy" ), "")</f>
        <v>0</v>
      </c>
    </row>
    <row r="355">
      <c r="A355" s="34">
        <f t="shared" si="2"/>
        <v>45205</v>
      </c>
      <c r="B355" s="35">
        <f>if(A355&lt;&gt;"", COUNTIFS(Beans!A:A, A355), "")</f>
        <v>2</v>
      </c>
      <c r="C355" s="35">
        <f>if(A355&lt;&gt;"", COUNTIFS(Beans!A:A, A355, Beans!C:C, "Good" ), "")</f>
        <v>1</v>
      </c>
      <c r="D355" s="35">
        <f>if(A355&lt;&gt;"", COUNTIFS(Beans!A:A, A355, Beans!C:C, "Bad" ), "")</f>
        <v>1</v>
      </c>
      <c r="E355" s="35">
        <f>if(A355&lt;&gt;"", COUNTIFS(Beans!A:A, A355, Beans!C:C, "Spicy" ), "")</f>
        <v>0</v>
      </c>
    </row>
    <row r="356">
      <c r="A356" s="34">
        <f t="shared" si="2"/>
        <v>45206</v>
      </c>
      <c r="B356" s="35">
        <f>if(A356&lt;&gt;"", COUNTIFS(Beans!A:A, A356), "")</f>
        <v>0</v>
      </c>
      <c r="C356" s="35">
        <f>if(A356&lt;&gt;"", COUNTIFS(Beans!A:A, A356, Beans!C:C, "Good" ), "")</f>
        <v>0</v>
      </c>
      <c r="D356" s="35">
        <f>if(A356&lt;&gt;"", COUNTIFS(Beans!A:A, A356, Beans!C:C, "Bad" ), "")</f>
        <v>0</v>
      </c>
      <c r="E356" s="35">
        <f>if(A356&lt;&gt;"", COUNTIFS(Beans!A:A, A356, Beans!C:C, "Spicy" ), "")</f>
        <v>0</v>
      </c>
    </row>
    <row r="357">
      <c r="A357" s="34">
        <f t="shared" si="2"/>
        <v>45207</v>
      </c>
      <c r="B357" s="35">
        <f>if(A357&lt;&gt;"", COUNTIFS(Beans!A:A, A357), "")</f>
        <v>0</v>
      </c>
      <c r="C357" s="35">
        <f>if(A357&lt;&gt;"", COUNTIFS(Beans!A:A, A357, Beans!C:C, "Good" ), "")</f>
        <v>0</v>
      </c>
      <c r="D357" s="35">
        <f>if(A357&lt;&gt;"", COUNTIFS(Beans!A:A, A357, Beans!C:C, "Bad" ), "")</f>
        <v>0</v>
      </c>
      <c r="E357" s="35">
        <f>if(A357&lt;&gt;"", COUNTIFS(Beans!A:A, A357, Beans!C:C, "Spicy" ), "")</f>
        <v>0</v>
      </c>
    </row>
    <row r="358">
      <c r="A358" s="34">
        <f t="shared" si="2"/>
        <v>45208</v>
      </c>
      <c r="B358" s="35">
        <f>if(A358&lt;&gt;"", COUNTIFS(Beans!A:A, A358), "")</f>
        <v>0</v>
      </c>
      <c r="C358" s="35">
        <f>if(A358&lt;&gt;"", COUNTIFS(Beans!A:A, A358, Beans!C:C, "Good" ), "")</f>
        <v>0</v>
      </c>
      <c r="D358" s="35">
        <f>if(A358&lt;&gt;"", COUNTIFS(Beans!A:A, A358, Beans!C:C, "Bad" ), "")</f>
        <v>0</v>
      </c>
      <c r="E358" s="35">
        <f>if(A358&lt;&gt;"", COUNTIFS(Beans!A:A, A358, Beans!C:C, "Spicy" ), "")</f>
        <v>0</v>
      </c>
    </row>
    <row r="359">
      <c r="A359" s="34">
        <f t="shared" si="2"/>
        <v>45209</v>
      </c>
      <c r="B359" s="35">
        <f>if(A359&lt;&gt;"", COUNTIFS(Beans!A:A, A359), "")</f>
        <v>3</v>
      </c>
      <c r="C359" s="35">
        <f>if(A359&lt;&gt;"", COUNTIFS(Beans!A:A, A359, Beans!C:C, "Good" ), "")</f>
        <v>1</v>
      </c>
      <c r="D359" s="35">
        <f>if(A359&lt;&gt;"", COUNTIFS(Beans!A:A, A359, Beans!C:C, "Bad" ), "")</f>
        <v>2</v>
      </c>
      <c r="E359" s="35">
        <f>if(A359&lt;&gt;"", COUNTIFS(Beans!A:A, A359, Beans!C:C, "Spicy" ), "")</f>
        <v>0</v>
      </c>
    </row>
    <row r="360">
      <c r="A360" s="34">
        <f t="shared" si="2"/>
        <v>45210</v>
      </c>
      <c r="B360" s="35">
        <f>if(A360&lt;&gt;"", COUNTIFS(Beans!A:A, A360), "")</f>
        <v>1</v>
      </c>
      <c r="C360" s="35">
        <f>if(A360&lt;&gt;"", COUNTIFS(Beans!A:A, A360, Beans!C:C, "Good" ), "")</f>
        <v>0</v>
      </c>
      <c r="D360" s="35">
        <f>if(A360&lt;&gt;"", COUNTIFS(Beans!A:A, A360, Beans!C:C, "Bad" ), "")</f>
        <v>1</v>
      </c>
      <c r="E360" s="35">
        <f>if(A360&lt;&gt;"", COUNTIFS(Beans!A:A, A360, Beans!C:C, "Spicy" ), "")</f>
        <v>0</v>
      </c>
    </row>
    <row r="361">
      <c r="A361" s="34">
        <f t="shared" si="2"/>
        <v>45211</v>
      </c>
      <c r="B361" s="35">
        <f>if(A361&lt;&gt;"", COUNTIFS(Beans!A:A, A361), "")</f>
        <v>0</v>
      </c>
      <c r="C361" s="35">
        <f>if(A361&lt;&gt;"", COUNTIFS(Beans!A:A, A361, Beans!C:C, "Good" ), "")</f>
        <v>0</v>
      </c>
      <c r="D361" s="35">
        <f>if(A361&lt;&gt;"", COUNTIFS(Beans!A:A, A361, Beans!C:C, "Bad" ), "")</f>
        <v>0</v>
      </c>
      <c r="E361" s="35">
        <f>if(A361&lt;&gt;"", COUNTIFS(Beans!A:A, A361, Beans!C:C, "Spicy" ), "")</f>
        <v>0</v>
      </c>
    </row>
    <row r="362">
      <c r="A362" s="34">
        <f t="shared" si="2"/>
        <v>45212</v>
      </c>
      <c r="B362" s="35">
        <f>if(A362&lt;&gt;"", COUNTIFS(Beans!A:A, A362), "")</f>
        <v>0</v>
      </c>
      <c r="C362" s="35">
        <f>if(A362&lt;&gt;"", COUNTIFS(Beans!A:A, A362, Beans!C:C, "Good" ), "")</f>
        <v>0</v>
      </c>
      <c r="D362" s="35">
        <f>if(A362&lt;&gt;"", COUNTIFS(Beans!A:A, A362, Beans!C:C, "Bad" ), "")</f>
        <v>0</v>
      </c>
      <c r="E362" s="35">
        <f>if(A362&lt;&gt;"", COUNTIFS(Beans!A:A, A362, Beans!C:C, "Spicy" ), "")</f>
        <v>0</v>
      </c>
    </row>
    <row r="363">
      <c r="A363" s="34">
        <f t="shared" si="2"/>
        <v>45213</v>
      </c>
      <c r="B363" s="35">
        <f>if(A363&lt;&gt;"", COUNTIFS(Beans!A:A, A363), "")</f>
        <v>0</v>
      </c>
      <c r="C363" s="35">
        <f>if(A363&lt;&gt;"", COUNTIFS(Beans!A:A, A363, Beans!C:C, "Good" ), "")</f>
        <v>0</v>
      </c>
      <c r="D363" s="35">
        <f>if(A363&lt;&gt;"", COUNTIFS(Beans!A:A, A363, Beans!C:C, "Bad" ), "")</f>
        <v>0</v>
      </c>
      <c r="E363" s="35">
        <f>if(A363&lt;&gt;"", COUNTIFS(Beans!A:A, A363, Beans!C:C, "Spicy" ), "")</f>
        <v>0</v>
      </c>
    </row>
    <row r="364">
      <c r="A364" s="34">
        <f t="shared" si="2"/>
        <v>45214</v>
      </c>
      <c r="B364" s="35">
        <f>if(A364&lt;&gt;"", COUNTIFS(Beans!A:A, A364), "")</f>
        <v>0</v>
      </c>
      <c r="C364" s="35">
        <f>if(A364&lt;&gt;"", COUNTIFS(Beans!A:A, A364, Beans!C:C, "Good" ), "")</f>
        <v>0</v>
      </c>
      <c r="D364" s="35">
        <f>if(A364&lt;&gt;"", COUNTIFS(Beans!A:A, A364, Beans!C:C, "Bad" ), "")</f>
        <v>0</v>
      </c>
      <c r="E364" s="35">
        <f>if(A364&lt;&gt;"", COUNTIFS(Beans!A:A, A364, Beans!C:C, "Spicy" ), "")</f>
        <v>0</v>
      </c>
    </row>
    <row r="365">
      <c r="A365" s="34">
        <f t="shared" si="2"/>
        <v>45215</v>
      </c>
      <c r="B365" s="35">
        <f>if(A365&lt;&gt;"", COUNTIFS(Beans!A:A, A365), "")</f>
        <v>2</v>
      </c>
      <c r="C365" s="35">
        <f>if(A365&lt;&gt;"", COUNTIFS(Beans!A:A, A365, Beans!C:C, "Good" ), "")</f>
        <v>1</v>
      </c>
      <c r="D365" s="35">
        <f>if(A365&lt;&gt;"", COUNTIFS(Beans!A:A, A365, Beans!C:C, "Bad" ), "")</f>
        <v>1</v>
      </c>
      <c r="E365" s="35">
        <f>if(A365&lt;&gt;"", COUNTIFS(Beans!A:A, A365, Beans!C:C, "Spicy" ), "")</f>
        <v>0</v>
      </c>
    </row>
    <row r="366">
      <c r="A366" s="34">
        <f t="shared" si="2"/>
        <v>45216</v>
      </c>
      <c r="B366" s="35">
        <f>if(A366&lt;&gt;"", COUNTIFS(Beans!A:A, A366), "")</f>
        <v>5</v>
      </c>
      <c r="C366" s="35">
        <f>if(A366&lt;&gt;"", COUNTIFS(Beans!A:A, A366, Beans!C:C, "Good" ), "")</f>
        <v>4</v>
      </c>
      <c r="D366" s="35">
        <f>if(A366&lt;&gt;"", COUNTIFS(Beans!A:A, A366, Beans!C:C, "Bad" ), "")</f>
        <v>1</v>
      </c>
      <c r="E366" s="35">
        <f>if(A366&lt;&gt;"", COUNTIFS(Beans!A:A, A366, Beans!C:C, "Spicy" ), "")</f>
        <v>0</v>
      </c>
    </row>
    <row r="367">
      <c r="A367" s="34">
        <f t="shared" si="2"/>
        <v>45217</v>
      </c>
      <c r="B367" s="35">
        <f>if(A367&lt;&gt;"", COUNTIFS(Beans!A:A, A367), "")</f>
        <v>2</v>
      </c>
      <c r="C367" s="35">
        <f>if(A367&lt;&gt;"", COUNTIFS(Beans!A:A, A367, Beans!C:C, "Good" ), "")</f>
        <v>1</v>
      </c>
      <c r="D367" s="35">
        <f>if(A367&lt;&gt;"", COUNTIFS(Beans!A:A, A367, Beans!C:C, "Bad" ), "")</f>
        <v>1</v>
      </c>
      <c r="E367" s="35">
        <f>if(A367&lt;&gt;"", COUNTIFS(Beans!A:A, A367, Beans!C:C, "Spicy" ), "")</f>
        <v>0</v>
      </c>
    </row>
    <row r="368">
      <c r="A368" s="34">
        <f t="shared" si="2"/>
        <v>45218</v>
      </c>
      <c r="B368" s="35">
        <f>if(A368&lt;&gt;"", COUNTIFS(Beans!A:A, A368), "")</f>
        <v>3</v>
      </c>
      <c r="C368" s="35">
        <f>if(A368&lt;&gt;"", COUNTIFS(Beans!A:A, A368, Beans!C:C, "Good" ), "")</f>
        <v>1</v>
      </c>
      <c r="D368" s="35">
        <f>if(A368&lt;&gt;"", COUNTIFS(Beans!A:A, A368, Beans!C:C, "Bad" ), "")</f>
        <v>2</v>
      </c>
      <c r="E368" s="35">
        <f>if(A368&lt;&gt;"", COUNTIFS(Beans!A:A, A368, Beans!C:C, "Spicy" ), "")</f>
        <v>0</v>
      </c>
    </row>
    <row r="369">
      <c r="A369" s="34">
        <f t="shared" si="2"/>
        <v>45219</v>
      </c>
      <c r="B369" s="35">
        <f>if(A369&lt;&gt;"", COUNTIFS(Beans!A:A, A369), "")</f>
        <v>6</v>
      </c>
      <c r="C369" s="35">
        <f>if(A369&lt;&gt;"", COUNTIFS(Beans!A:A, A369, Beans!C:C, "Good" ), "")</f>
        <v>2</v>
      </c>
      <c r="D369" s="35">
        <f>if(A369&lt;&gt;"", COUNTIFS(Beans!A:A, A369, Beans!C:C, "Bad" ), "")</f>
        <v>4</v>
      </c>
      <c r="E369" s="35">
        <f>if(A369&lt;&gt;"", COUNTIFS(Beans!A:A, A369, Beans!C:C, "Spicy" ), "")</f>
        <v>0</v>
      </c>
    </row>
    <row r="370">
      <c r="A370" s="34">
        <f t="shared" si="2"/>
        <v>45220</v>
      </c>
      <c r="B370" s="35">
        <f>if(A370&lt;&gt;"", COUNTIFS(Beans!A:A, A370), "")</f>
        <v>0</v>
      </c>
      <c r="C370" s="35">
        <f>if(A370&lt;&gt;"", COUNTIFS(Beans!A:A, A370, Beans!C:C, "Good" ), "")</f>
        <v>0</v>
      </c>
      <c r="D370" s="35">
        <f>if(A370&lt;&gt;"", COUNTIFS(Beans!A:A, A370, Beans!C:C, "Bad" ), "")</f>
        <v>0</v>
      </c>
      <c r="E370" s="35">
        <f>if(A370&lt;&gt;"", COUNTIFS(Beans!A:A, A370, Beans!C:C, "Spicy" ), "")</f>
        <v>0</v>
      </c>
    </row>
    <row r="371">
      <c r="A371" s="34">
        <f t="shared" si="2"/>
        <v>45221</v>
      </c>
      <c r="B371" s="35">
        <f>if(A371&lt;&gt;"", COUNTIFS(Beans!A:A, A371), "")</f>
        <v>0</v>
      </c>
      <c r="C371" s="35">
        <f>if(A371&lt;&gt;"", COUNTIFS(Beans!A:A, A371, Beans!C:C, "Good" ), "")</f>
        <v>0</v>
      </c>
      <c r="D371" s="35">
        <f>if(A371&lt;&gt;"", COUNTIFS(Beans!A:A, A371, Beans!C:C, "Bad" ), "")</f>
        <v>0</v>
      </c>
      <c r="E371" s="35">
        <f>if(A371&lt;&gt;"", COUNTIFS(Beans!A:A, A371, Beans!C:C, "Spicy" ), "")</f>
        <v>0</v>
      </c>
    </row>
    <row r="372">
      <c r="A372" s="34">
        <f t="shared" si="2"/>
        <v>45222</v>
      </c>
      <c r="B372" s="35">
        <f>if(A372&lt;&gt;"", COUNTIFS(Beans!A:A, A372), "")</f>
        <v>1</v>
      </c>
      <c r="C372" s="35">
        <f>if(A372&lt;&gt;"", COUNTIFS(Beans!A:A, A372, Beans!C:C, "Good" ), "")</f>
        <v>0</v>
      </c>
      <c r="D372" s="35">
        <f>if(A372&lt;&gt;"", COUNTIFS(Beans!A:A, A372, Beans!C:C, "Bad" ), "")</f>
        <v>1</v>
      </c>
      <c r="E372" s="35">
        <f>if(A372&lt;&gt;"", COUNTIFS(Beans!A:A, A372, Beans!C:C, "Spicy" ), "")</f>
        <v>0</v>
      </c>
    </row>
    <row r="373">
      <c r="A373" s="34">
        <f t="shared" si="2"/>
        <v>45223</v>
      </c>
      <c r="B373" s="35">
        <f>if(A373&lt;&gt;"", COUNTIFS(Beans!A:A, A373), "")</f>
        <v>2</v>
      </c>
      <c r="C373" s="35">
        <f>if(A373&lt;&gt;"", COUNTIFS(Beans!A:A, A373, Beans!C:C, "Good" ), "")</f>
        <v>1</v>
      </c>
      <c r="D373" s="35">
        <f>if(A373&lt;&gt;"", COUNTIFS(Beans!A:A, A373, Beans!C:C, "Bad" ), "")</f>
        <v>1</v>
      </c>
      <c r="E373" s="35">
        <f>if(A373&lt;&gt;"", COUNTIFS(Beans!A:A, A373, Beans!C:C, "Spicy" ), "")</f>
        <v>0</v>
      </c>
    </row>
    <row r="374">
      <c r="A374" s="34">
        <f t="shared" si="2"/>
        <v>45224</v>
      </c>
      <c r="B374" s="35">
        <f>if(A374&lt;&gt;"", COUNTIFS(Beans!A:A, A374), "")</f>
        <v>2</v>
      </c>
      <c r="C374" s="35">
        <f>if(A374&lt;&gt;"", COUNTIFS(Beans!A:A, A374, Beans!C:C, "Good" ), "")</f>
        <v>1</v>
      </c>
      <c r="D374" s="35">
        <f>if(A374&lt;&gt;"", COUNTIFS(Beans!A:A, A374, Beans!C:C, "Bad" ), "")</f>
        <v>1</v>
      </c>
      <c r="E374" s="35">
        <f>if(A374&lt;&gt;"", COUNTIFS(Beans!A:A, A374, Beans!C:C, "Spicy" ), "")</f>
        <v>0</v>
      </c>
    </row>
    <row r="375">
      <c r="A375" s="34">
        <f t="shared" si="2"/>
        <v>45225</v>
      </c>
      <c r="B375" s="35">
        <f>if(A375&lt;&gt;"", COUNTIFS(Beans!A:A, A375), "")</f>
        <v>4</v>
      </c>
      <c r="C375" s="35">
        <f>if(A375&lt;&gt;"", COUNTIFS(Beans!A:A, A375, Beans!C:C, "Good" ), "")</f>
        <v>2</v>
      </c>
      <c r="D375" s="35">
        <f>if(A375&lt;&gt;"", COUNTIFS(Beans!A:A, A375, Beans!C:C, "Bad" ), "")</f>
        <v>2</v>
      </c>
      <c r="E375" s="35">
        <f>if(A375&lt;&gt;"", COUNTIFS(Beans!A:A, A375, Beans!C:C, "Spicy" ), "")</f>
        <v>0</v>
      </c>
    </row>
    <row r="376">
      <c r="A376" s="34">
        <f t="shared" si="2"/>
        <v>45226</v>
      </c>
      <c r="B376" s="35">
        <f>if(A376&lt;&gt;"", COUNTIFS(Beans!A:A, A376), "")</f>
        <v>1</v>
      </c>
      <c r="C376" s="35">
        <f>if(A376&lt;&gt;"", COUNTIFS(Beans!A:A, A376, Beans!C:C, "Good" ), "")</f>
        <v>0</v>
      </c>
      <c r="D376" s="35">
        <f>if(A376&lt;&gt;"", COUNTIFS(Beans!A:A, A376, Beans!C:C, "Bad" ), "")</f>
        <v>1</v>
      </c>
      <c r="E376" s="35">
        <f>if(A376&lt;&gt;"", COUNTIFS(Beans!A:A, A376, Beans!C:C, "Spicy" ), "")</f>
        <v>0</v>
      </c>
    </row>
    <row r="377">
      <c r="A377" s="34">
        <f t="shared" si="2"/>
        <v>45227</v>
      </c>
      <c r="B377" s="35">
        <f>if(A377&lt;&gt;"", COUNTIFS(Beans!A:A, A377), "")</f>
        <v>0</v>
      </c>
      <c r="C377" s="35">
        <f>if(A377&lt;&gt;"", COUNTIFS(Beans!A:A, A377, Beans!C:C, "Good" ), "")</f>
        <v>0</v>
      </c>
      <c r="D377" s="35">
        <f>if(A377&lt;&gt;"", COUNTIFS(Beans!A:A, A377, Beans!C:C, "Bad" ), "")</f>
        <v>0</v>
      </c>
      <c r="E377" s="35">
        <f>if(A377&lt;&gt;"", COUNTIFS(Beans!A:A, A377, Beans!C:C, "Spicy" ), "")</f>
        <v>0</v>
      </c>
    </row>
    <row r="378">
      <c r="A378" s="34">
        <f t="shared" si="2"/>
        <v>45228</v>
      </c>
      <c r="B378" s="35">
        <f>if(A378&lt;&gt;"", COUNTIFS(Beans!A:A, A378), "")</f>
        <v>0</v>
      </c>
      <c r="C378" s="35">
        <f>if(A378&lt;&gt;"", COUNTIFS(Beans!A:A, A378, Beans!C:C, "Good" ), "")</f>
        <v>0</v>
      </c>
      <c r="D378" s="35">
        <f>if(A378&lt;&gt;"", COUNTIFS(Beans!A:A, A378, Beans!C:C, "Bad" ), "")</f>
        <v>0</v>
      </c>
      <c r="E378" s="35">
        <f>if(A378&lt;&gt;"", COUNTIFS(Beans!A:A, A378, Beans!C:C, "Spicy" ), "")</f>
        <v>0</v>
      </c>
    </row>
    <row r="379">
      <c r="A379" s="34">
        <f t="shared" si="2"/>
        <v>45229</v>
      </c>
      <c r="B379" s="35">
        <f>if(A379&lt;&gt;"", COUNTIFS(Beans!A:A, A379), "")</f>
        <v>4</v>
      </c>
      <c r="C379" s="35">
        <f>if(A379&lt;&gt;"", COUNTIFS(Beans!A:A, A379, Beans!C:C, "Good" ), "")</f>
        <v>2</v>
      </c>
      <c r="D379" s="35">
        <f>if(A379&lt;&gt;"", COUNTIFS(Beans!A:A, A379, Beans!C:C, "Bad" ), "")</f>
        <v>2</v>
      </c>
      <c r="E379" s="35">
        <f>if(A379&lt;&gt;"", COUNTIFS(Beans!A:A, A379, Beans!C:C, "Spicy" ), "")</f>
        <v>0</v>
      </c>
    </row>
    <row r="380">
      <c r="A380" s="34">
        <f t="shared" si="2"/>
        <v>45230</v>
      </c>
      <c r="B380" s="35">
        <f>if(A380&lt;&gt;"", COUNTIFS(Beans!A:A, A380), "")</f>
        <v>7</v>
      </c>
      <c r="C380" s="35">
        <f>if(A380&lt;&gt;"", COUNTIFS(Beans!A:A, A380, Beans!C:C, "Good" ), "")</f>
        <v>1</v>
      </c>
      <c r="D380" s="35">
        <f>if(A380&lt;&gt;"", COUNTIFS(Beans!A:A, A380, Beans!C:C, "Bad" ), "")</f>
        <v>6</v>
      </c>
      <c r="E380" s="35">
        <f>if(A380&lt;&gt;"", COUNTIFS(Beans!A:A, A380, Beans!C:C, "Spicy" ), "")</f>
        <v>0</v>
      </c>
    </row>
    <row r="381">
      <c r="A381" s="34">
        <f t="shared" si="2"/>
        <v>45231</v>
      </c>
      <c r="B381" s="35">
        <f>if(A381&lt;&gt;"", COUNTIFS(Beans!A:A, A381), "")</f>
        <v>2</v>
      </c>
      <c r="C381" s="35">
        <f>if(A381&lt;&gt;"", COUNTIFS(Beans!A:A, A381, Beans!C:C, "Good" ), "")</f>
        <v>0</v>
      </c>
      <c r="D381" s="35">
        <f>if(A381&lt;&gt;"", COUNTIFS(Beans!A:A, A381, Beans!C:C, "Bad" ), "")</f>
        <v>2</v>
      </c>
      <c r="E381" s="35">
        <f>if(A381&lt;&gt;"", COUNTIFS(Beans!A:A, A381, Beans!C:C, "Spicy" ), "")</f>
        <v>0</v>
      </c>
    </row>
    <row r="382">
      <c r="A382" s="34">
        <f t="shared" si="2"/>
        <v>45232</v>
      </c>
      <c r="B382" s="35">
        <f>if(A382&lt;&gt;"", COUNTIFS(Beans!A:A, A382), "")</f>
        <v>2</v>
      </c>
      <c r="C382" s="35">
        <f>if(A382&lt;&gt;"", COUNTIFS(Beans!A:A, A382, Beans!C:C, "Good" ), "")</f>
        <v>0</v>
      </c>
      <c r="D382" s="35">
        <f>if(A382&lt;&gt;"", COUNTIFS(Beans!A:A, A382, Beans!C:C, "Bad" ), "")</f>
        <v>2</v>
      </c>
      <c r="E382" s="35">
        <f>if(A382&lt;&gt;"", COUNTIFS(Beans!A:A, A382, Beans!C:C, "Spicy" ), "")</f>
        <v>0</v>
      </c>
    </row>
    <row r="383">
      <c r="A383" s="34">
        <f t="shared" si="2"/>
        <v>45233</v>
      </c>
      <c r="B383" s="35">
        <f>if(A383&lt;&gt;"", COUNTIFS(Beans!A:A, A383), "")</f>
        <v>9</v>
      </c>
      <c r="C383" s="35">
        <f>if(A383&lt;&gt;"", COUNTIFS(Beans!A:A, A383, Beans!C:C, "Good" ), "")</f>
        <v>2</v>
      </c>
      <c r="D383" s="35">
        <f>if(A383&lt;&gt;"", COUNTIFS(Beans!A:A, A383, Beans!C:C, "Bad" ), "")</f>
        <v>7</v>
      </c>
      <c r="E383" s="35">
        <f>if(A383&lt;&gt;"", COUNTIFS(Beans!A:A, A383, Beans!C:C, "Spicy" ), "")</f>
        <v>0</v>
      </c>
    </row>
    <row r="384">
      <c r="A384" s="34">
        <f t="shared" si="2"/>
        <v>45234</v>
      </c>
      <c r="B384" s="35">
        <f>if(A384&lt;&gt;"", COUNTIFS(Beans!A:A, A384), "")</f>
        <v>0</v>
      </c>
      <c r="C384" s="35">
        <f>if(A384&lt;&gt;"", COUNTIFS(Beans!A:A, A384, Beans!C:C, "Good" ), "")</f>
        <v>0</v>
      </c>
      <c r="D384" s="35">
        <f>if(A384&lt;&gt;"", COUNTIFS(Beans!A:A, A384, Beans!C:C, "Bad" ), "")</f>
        <v>0</v>
      </c>
      <c r="E384" s="35">
        <f>if(A384&lt;&gt;"", COUNTIFS(Beans!A:A, A384, Beans!C:C, "Spicy" ), "")</f>
        <v>0</v>
      </c>
    </row>
    <row r="385">
      <c r="A385" s="34">
        <f t="shared" si="2"/>
        <v>45235</v>
      </c>
      <c r="B385" s="35">
        <f>if(A385&lt;&gt;"", COUNTIFS(Beans!A:A, A385), "")</f>
        <v>0</v>
      </c>
      <c r="C385" s="35">
        <f>if(A385&lt;&gt;"", COUNTIFS(Beans!A:A, A385, Beans!C:C, "Good" ), "")</f>
        <v>0</v>
      </c>
      <c r="D385" s="35">
        <f>if(A385&lt;&gt;"", COUNTIFS(Beans!A:A, A385, Beans!C:C, "Bad" ), "")</f>
        <v>0</v>
      </c>
      <c r="E385" s="35">
        <f>if(A385&lt;&gt;"", COUNTIFS(Beans!A:A, A385, Beans!C:C, "Spicy" ), "")</f>
        <v>0</v>
      </c>
    </row>
    <row r="386">
      <c r="A386" s="34">
        <f t="shared" si="2"/>
        <v>45236</v>
      </c>
      <c r="B386" s="35">
        <f>if(A386&lt;&gt;"", COUNTIFS(Beans!A:A, A386), "")</f>
        <v>3</v>
      </c>
      <c r="C386" s="35">
        <f>if(A386&lt;&gt;"", COUNTIFS(Beans!A:A, A386, Beans!C:C, "Good" ), "")</f>
        <v>1</v>
      </c>
      <c r="D386" s="35">
        <f>if(A386&lt;&gt;"", COUNTIFS(Beans!A:A, A386, Beans!C:C, "Bad" ), "")</f>
        <v>2</v>
      </c>
      <c r="E386" s="35">
        <f>if(A386&lt;&gt;"", COUNTIFS(Beans!A:A, A386, Beans!C:C, "Spicy" ), "")</f>
        <v>0</v>
      </c>
    </row>
    <row r="387">
      <c r="A387" s="34">
        <f t="shared" si="2"/>
        <v>45237</v>
      </c>
      <c r="B387" s="35">
        <f>if(A387&lt;&gt;"", COUNTIFS(Beans!A:A, A387), "")</f>
        <v>0</v>
      </c>
      <c r="C387" s="35">
        <f>if(A387&lt;&gt;"", COUNTIFS(Beans!A:A, A387, Beans!C:C, "Good" ), "")</f>
        <v>0</v>
      </c>
      <c r="D387" s="35">
        <f>if(A387&lt;&gt;"", COUNTIFS(Beans!A:A, A387, Beans!C:C, "Bad" ), "")</f>
        <v>0</v>
      </c>
      <c r="E387" s="35">
        <f>if(A387&lt;&gt;"", COUNTIFS(Beans!A:A, A387, Beans!C:C, "Spicy" ), "")</f>
        <v>0</v>
      </c>
    </row>
    <row r="388">
      <c r="A388" s="34">
        <f t="shared" si="2"/>
        <v>45238</v>
      </c>
      <c r="B388" s="35">
        <f>if(A388&lt;&gt;"", COUNTIFS(Beans!A:A, A388), "")</f>
        <v>0</v>
      </c>
      <c r="C388" s="35">
        <f>if(A388&lt;&gt;"", COUNTIFS(Beans!A:A, A388, Beans!C:C, "Good" ), "")</f>
        <v>0</v>
      </c>
      <c r="D388" s="35">
        <f>if(A388&lt;&gt;"", COUNTIFS(Beans!A:A, A388, Beans!C:C, "Bad" ), "")</f>
        <v>0</v>
      </c>
      <c r="E388" s="35">
        <f>if(A388&lt;&gt;"", COUNTIFS(Beans!A:A, A388, Beans!C:C, "Spicy" ), "")</f>
        <v>0</v>
      </c>
    </row>
    <row r="389">
      <c r="A389" s="34">
        <f t="shared" si="2"/>
        <v>45239</v>
      </c>
      <c r="B389" s="35">
        <f>if(A389&lt;&gt;"", COUNTIFS(Beans!A:A, A389), "")</f>
        <v>0</v>
      </c>
      <c r="C389" s="35">
        <f>if(A389&lt;&gt;"", COUNTIFS(Beans!A:A, A389, Beans!C:C, "Good" ), "")</f>
        <v>0</v>
      </c>
      <c r="D389" s="35">
        <f>if(A389&lt;&gt;"", COUNTIFS(Beans!A:A, A389, Beans!C:C, "Bad" ), "")</f>
        <v>0</v>
      </c>
      <c r="E389" s="35">
        <f>if(A389&lt;&gt;"", COUNTIFS(Beans!A:A, A389, Beans!C:C, "Spicy" ), "")</f>
        <v>0</v>
      </c>
    </row>
    <row r="390">
      <c r="A390" s="34">
        <f t="shared" si="2"/>
        <v>45240</v>
      </c>
      <c r="B390" s="35">
        <f>if(A390&lt;&gt;"", COUNTIFS(Beans!A:A, A390), "")</f>
        <v>0</v>
      </c>
      <c r="C390" s="35">
        <f>if(A390&lt;&gt;"", COUNTIFS(Beans!A:A, A390, Beans!C:C, "Good" ), "")</f>
        <v>0</v>
      </c>
      <c r="D390" s="35">
        <f>if(A390&lt;&gt;"", COUNTIFS(Beans!A:A, A390, Beans!C:C, "Bad" ), "")</f>
        <v>0</v>
      </c>
      <c r="E390" s="35">
        <f>if(A390&lt;&gt;"", COUNTIFS(Beans!A:A, A390, Beans!C:C, "Spicy" ), "")</f>
        <v>0</v>
      </c>
    </row>
    <row r="391">
      <c r="A391" s="34">
        <f t="shared" si="2"/>
        <v>45241</v>
      </c>
      <c r="B391" s="35">
        <f>if(A391&lt;&gt;"", COUNTIFS(Beans!A:A, A391), "")</f>
        <v>0</v>
      </c>
      <c r="C391" s="35">
        <f>if(A391&lt;&gt;"", COUNTIFS(Beans!A:A, A391, Beans!C:C, "Good" ), "")</f>
        <v>0</v>
      </c>
      <c r="D391" s="35">
        <f>if(A391&lt;&gt;"", COUNTIFS(Beans!A:A, A391, Beans!C:C, "Bad" ), "")</f>
        <v>0</v>
      </c>
      <c r="E391" s="35">
        <f>if(A391&lt;&gt;"", COUNTIFS(Beans!A:A, A391, Beans!C:C, "Spicy" ), "")</f>
        <v>0</v>
      </c>
    </row>
    <row r="392">
      <c r="A392" s="34">
        <f t="shared" si="2"/>
        <v>45242</v>
      </c>
      <c r="B392" s="35">
        <f>if(A392&lt;&gt;"", COUNTIFS(Beans!A:A, A392), "")</f>
        <v>0</v>
      </c>
      <c r="C392" s="35">
        <f>if(A392&lt;&gt;"", COUNTIFS(Beans!A:A, A392, Beans!C:C, "Good" ), "")</f>
        <v>0</v>
      </c>
      <c r="D392" s="35">
        <f>if(A392&lt;&gt;"", COUNTIFS(Beans!A:A, A392, Beans!C:C, "Bad" ), "")</f>
        <v>0</v>
      </c>
      <c r="E392" s="35">
        <f>if(A392&lt;&gt;"", COUNTIFS(Beans!A:A, A392, Beans!C:C, "Spicy" ), "")</f>
        <v>0</v>
      </c>
    </row>
    <row r="393">
      <c r="A393" s="34">
        <f t="shared" si="2"/>
        <v>45243</v>
      </c>
      <c r="B393" s="35">
        <f>if(A393&lt;&gt;"", COUNTIFS(Beans!A:A, A393), "")</f>
        <v>22</v>
      </c>
      <c r="C393" s="35">
        <f>if(A393&lt;&gt;"", COUNTIFS(Beans!A:A, A393, Beans!C:C, "Good" ), "")</f>
        <v>6</v>
      </c>
      <c r="D393" s="35">
        <f>if(A393&lt;&gt;"", COUNTIFS(Beans!A:A, A393, Beans!C:C, "Bad" ), "")</f>
        <v>16</v>
      </c>
      <c r="E393" s="35">
        <f>if(A393&lt;&gt;"", COUNTIFS(Beans!A:A, A393, Beans!C:C, "Spicy" ), "")</f>
        <v>0</v>
      </c>
    </row>
    <row r="394">
      <c r="A394" s="34">
        <f t="shared" si="2"/>
        <v>45244</v>
      </c>
      <c r="B394" s="35">
        <f>if(A394&lt;&gt;"", COUNTIFS(Beans!A:A, A394), "")</f>
        <v>4</v>
      </c>
      <c r="C394" s="35">
        <f>if(A394&lt;&gt;"", COUNTIFS(Beans!A:A, A394, Beans!C:C, "Good" ), "")</f>
        <v>1</v>
      </c>
      <c r="D394" s="35">
        <f>if(A394&lt;&gt;"", COUNTIFS(Beans!A:A, A394, Beans!C:C, "Bad" ), "")</f>
        <v>3</v>
      </c>
      <c r="E394" s="35">
        <f>if(A394&lt;&gt;"", COUNTIFS(Beans!A:A, A394, Beans!C:C, "Spicy" ), "")</f>
        <v>0</v>
      </c>
    </row>
    <row r="395">
      <c r="A395" s="34">
        <f t="shared" si="2"/>
        <v>45245</v>
      </c>
      <c r="B395" s="35">
        <f>if(A395&lt;&gt;"", COUNTIFS(Beans!A:A, A395), "")</f>
        <v>1</v>
      </c>
      <c r="C395" s="35">
        <f>if(A395&lt;&gt;"", COUNTIFS(Beans!A:A, A395, Beans!C:C, "Good" ), "")</f>
        <v>0</v>
      </c>
      <c r="D395" s="35">
        <f>if(A395&lt;&gt;"", COUNTIFS(Beans!A:A, A395, Beans!C:C, "Bad" ), "")</f>
        <v>1</v>
      </c>
      <c r="E395" s="35">
        <f>if(A395&lt;&gt;"", COUNTIFS(Beans!A:A, A395, Beans!C:C, "Spicy" ), "")</f>
        <v>0</v>
      </c>
    </row>
    <row r="396">
      <c r="A396" s="34">
        <f t="shared" si="2"/>
        <v>45246</v>
      </c>
      <c r="B396" s="35">
        <f>if(A396&lt;&gt;"", COUNTIFS(Beans!A:A, A396), "")</f>
        <v>0</v>
      </c>
      <c r="C396" s="35">
        <f>if(A396&lt;&gt;"", COUNTIFS(Beans!A:A, A396, Beans!C:C, "Good" ), "")</f>
        <v>0</v>
      </c>
      <c r="D396" s="35">
        <f>if(A396&lt;&gt;"", COUNTIFS(Beans!A:A, A396, Beans!C:C, "Bad" ), "")</f>
        <v>0</v>
      </c>
      <c r="E396" s="35">
        <f>if(A396&lt;&gt;"", COUNTIFS(Beans!A:A, A396, Beans!C:C, "Spicy" ), "")</f>
        <v>0</v>
      </c>
    </row>
    <row r="397">
      <c r="A397" s="34">
        <f t="shared" si="2"/>
        <v>45247</v>
      </c>
      <c r="B397" s="35">
        <f>if(A397&lt;&gt;"", COUNTIFS(Beans!A:A, A397), "")</f>
        <v>1</v>
      </c>
      <c r="C397" s="35">
        <f>if(A397&lt;&gt;"", COUNTIFS(Beans!A:A, A397, Beans!C:C, "Good" ), "")</f>
        <v>0</v>
      </c>
      <c r="D397" s="35">
        <f>if(A397&lt;&gt;"", COUNTIFS(Beans!A:A, A397, Beans!C:C, "Bad" ), "")</f>
        <v>1</v>
      </c>
      <c r="E397" s="35">
        <f>if(A397&lt;&gt;"", COUNTIFS(Beans!A:A, A397, Beans!C:C, "Spicy" ), "")</f>
        <v>0</v>
      </c>
    </row>
    <row r="398">
      <c r="A398" s="34">
        <f t="shared" si="2"/>
        <v>45248</v>
      </c>
      <c r="B398" s="35">
        <f>if(A398&lt;&gt;"", COUNTIFS(Beans!A:A, A398), "")</f>
        <v>0</v>
      </c>
      <c r="C398" s="35">
        <f>if(A398&lt;&gt;"", COUNTIFS(Beans!A:A, A398, Beans!C:C, "Good" ), "")</f>
        <v>0</v>
      </c>
      <c r="D398" s="35">
        <f>if(A398&lt;&gt;"", COUNTIFS(Beans!A:A, A398, Beans!C:C, "Bad" ), "")</f>
        <v>0</v>
      </c>
      <c r="E398" s="35">
        <f>if(A398&lt;&gt;"", COUNTIFS(Beans!A:A, A398, Beans!C:C, "Spicy" ), "")</f>
        <v>0</v>
      </c>
    </row>
    <row r="399">
      <c r="A399" s="34">
        <f t="shared" si="2"/>
        <v>45249</v>
      </c>
      <c r="B399" s="35">
        <f>if(A399&lt;&gt;"", COUNTIFS(Beans!A:A, A399), "")</f>
        <v>0</v>
      </c>
      <c r="C399" s="35">
        <f>if(A399&lt;&gt;"", COUNTIFS(Beans!A:A, A399, Beans!C:C, "Good" ), "")</f>
        <v>0</v>
      </c>
      <c r="D399" s="35">
        <f>if(A399&lt;&gt;"", COUNTIFS(Beans!A:A, A399, Beans!C:C, "Bad" ), "")</f>
        <v>0</v>
      </c>
      <c r="E399" s="35">
        <f>if(A399&lt;&gt;"", COUNTIFS(Beans!A:A, A399, Beans!C:C, "Spicy" ), "")</f>
        <v>0</v>
      </c>
    </row>
    <row r="400">
      <c r="A400" s="34">
        <f t="shared" si="2"/>
        <v>45250</v>
      </c>
      <c r="B400" s="35">
        <f>if(A400&lt;&gt;"", COUNTIFS(Beans!A:A, A400), "")</f>
        <v>2</v>
      </c>
      <c r="C400" s="35">
        <f>if(A400&lt;&gt;"", COUNTIFS(Beans!A:A, A400, Beans!C:C, "Good" ), "")</f>
        <v>1</v>
      </c>
      <c r="D400" s="35">
        <f>if(A400&lt;&gt;"", COUNTIFS(Beans!A:A, A400, Beans!C:C, "Bad" ), "")</f>
        <v>1</v>
      </c>
      <c r="E400" s="35">
        <f>if(A400&lt;&gt;"", COUNTIFS(Beans!A:A, A400, Beans!C:C, "Spicy" ), "")</f>
        <v>0</v>
      </c>
    </row>
    <row r="401">
      <c r="A401" s="34">
        <f t="shared" si="2"/>
        <v>45251</v>
      </c>
      <c r="B401" s="35">
        <f>if(A401&lt;&gt;"", COUNTIFS(Beans!A:A, A401), "")</f>
        <v>1</v>
      </c>
      <c r="C401" s="35">
        <f>if(A401&lt;&gt;"", COUNTIFS(Beans!A:A, A401, Beans!C:C, "Good" ), "")</f>
        <v>0</v>
      </c>
      <c r="D401" s="35">
        <f>if(A401&lt;&gt;"", COUNTIFS(Beans!A:A, A401, Beans!C:C, "Bad" ), "")</f>
        <v>1</v>
      </c>
      <c r="E401" s="35">
        <f>if(A401&lt;&gt;"", COUNTIFS(Beans!A:A, A401, Beans!C:C, "Spicy" ), "")</f>
        <v>0</v>
      </c>
    </row>
    <row r="402">
      <c r="A402" s="34">
        <f t="shared" si="2"/>
        <v>45252</v>
      </c>
      <c r="B402" s="35">
        <f>if(A402&lt;&gt;"", COUNTIFS(Beans!A:A, A402), "")</f>
        <v>3</v>
      </c>
      <c r="C402" s="35">
        <f>if(A402&lt;&gt;"", COUNTIFS(Beans!A:A, A402, Beans!C:C, "Good" ), "")</f>
        <v>1</v>
      </c>
      <c r="D402" s="35">
        <f>if(A402&lt;&gt;"", COUNTIFS(Beans!A:A, A402, Beans!C:C, "Bad" ), "")</f>
        <v>2</v>
      </c>
      <c r="E402" s="35">
        <f>if(A402&lt;&gt;"", COUNTIFS(Beans!A:A, A402, Beans!C:C, "Spicy" ), "")</f>
        <v>0</v>
      </c>
    </row>
    <row r="403">
      <c r="A403" s="34">
        <f t="shared" si="2"/>
        <v>45253</v>
      </c>
      <c r="B403" s="35">
        <f>if(A403&lt;&gt;"", COUNTIFS(Beans!A:A, A403), "")</f>
        <v>2</v>
      </c>
      <c r="C403" s="35">
        <f>if(A403&lt;&gt;"", COUNTIFS(Beans!A:A, A403, Beans!C:C, "Good" ), "")</f>
        <v>0</v>
      </c>
      <c r="D403" s="35">
        <f>if(A403&lt;&gt;"", COUNTIFS(Beans!A:A, A403, Beans!C:C, "Bad" ), "")</f>
        <v>2</v>
      </c>
      <c r="E403" s="35">
        <f>if(A403&lt;&gt;"", COUNTIFS(Beans!A:A, A403, Beans!C:C, "Spicy" ), "")</f>
        <v>0</v>
      </c>
    </row>
    <row r="404">
      <c r="A404" s="34">
        <f t="shared" si="2"/>
        <v>45254</v>
      </c>
      <c r="B404" s="35">
        <f>if(A404&lt;&gt;"", COUNTIFS(Beans!A:A, A404), "")</f>
        <v>3</v>
      </c>
      <c r="C404" s="35">
        <f>if(A404&lt;&gt;"", COUNTIFS(Beans!A:A, A404, Beans!C:C, "Good" ), "")</f>
        <v>1</v>
      </c>
      <c r="D404" s="35">
        <f>if(A404&lt;&gt;"", COUNTIFS(Beans!A:A, A404, Beans!C:C, "Bad" ), "")</f>
        <v>2</v>
      </c>
      <c r="E404" s="35">
        <f>if(A404&lt;&gt;"", COUNTIFS(Beans!A:A, A404, Beans!C:C, "Spicy" ), "")</f>
        <v>0</v>
      </c>
    </row>
    <row r="405">
      <c r="A405" s="34">
        <f t="shared" si="2"/>
        <v>45255</v>
      </c>
      <c r="B405" s="35">
        <f>if(A405&lt;&gt;"", COUNTIFS(Beans!A:A, A405), "")</f>
        <v>0</v>
      </c>
      <c r="C405" s="35">
        <f>if(A405&lt;&gt;"", COUNTIFS(Beans!A:A, A405, Beans!C:C, "Good" ), "")</f>
        <v>0</v>
      </c>
      <c r="D405" s="35">
        <f>if(A405&lt;&gt;"", COUNTIFS(Beans!A:A, A405, Beans!C:C, "Bad" ), "")</f>
        <v>0</v>
      </c>
      <c r="E405" s="35">
        <f>if(A405&lt;&gt;"", COUNTIFS(Beans!A:A, A405, Beans!C:C, "Spicy" ), "")</f>
        <v>0</v>
      </c>
    </row>
    <row r="406">
      <c r="A406" s="34">
        <f t="shared" si="2"/>
        <v>45256</v>
      </c>
      <c r="B406" s="35">
        <f>if(A406&lt;&gt;"", COUNTIFS(Beans!A:A, A406), "")</f>
        <v>0</v>
      </c>
      <c r="C406" s="35">
        <f>if(A406&lt;&gt;"", COUNTIFS(Beans!A:A, A406, Beans!C:C, "Good" ), "")</f>
        <v>0</v>
      </c>
      <c r="D406" s="35">
        <f>if(A406&lt;&gt;"", COUNTIFS(Beans!A:A, A406, Beans!C:C, "Bad" ), "")</f>
        <v>0</v>
      </c>
      <c r="E406" s="35">
        <f>if(A406&lt;&gt;"", COUNTIFS(Beans!A:A, A406, Beans!C:C, "Spicy" ), "")</f>
        <v>0</v>
      </c>
    </row>
    <row r="407">
      <c r="A407" s="34">
        <f t="shared" si="2"/>
        <v>45257</v>
      </c>
      <c r="B407" s="35">
        <f>if(A407&lt;&gt;"", COUNTIFS(Beans!A:A, A407), "")</f>
        <v>3</v>
      </c>
      <c r="C407" s="35">
        <f>if(A407&lt;&gt;"", COUNTIFS(Beans!A:A, A407, Beans!C:C, "Good" ), "")</f>
        <v>0</v>
      </c>
      <c r="D407" s="35">
        <f>if(A407&lt;&gt;"", COUNTIFS(Beans!A:A, A407, Beans!C:C, "Bad" ), "")</f>
        <v>3</v>
      </c>
      <c r="E407" s="35">
        <f>if(A407&lt;&gt;"", COUNTIFS(Beans!A:A, A407, Beans!C:C, "Spicy" ), "")</f>
        <v>0</v>
      </c>
    </row>
    <row r="408">
      <c r="A408" s="34">
        <f t="shared" si="2"/>
        <v>45258</v>
      </c>
      <c r="B408" s="35">
        <f>if(A408&lt;&gt;"", COUNTIFS(Beans!A:A, A408), "")</f>
        <v>4</v>
      </c>
      <c r="C408" s="35">
        <f>if(A408&lt;&gt;"", COUNTIFS(Beans!A:A, A408, Beans!C:C, "Good" ), "")</f>
        <v>2</v>
      </c>
      <c r="D408" s="35">
        <f>if(A408&lt;&gt;"", COUNTIFS(Beans!A:A, A408, Beans!C:C, "Bad" ), "")</f>
        <v>2</v>
      </c>
      <c r="E408" s="35">
        <f>if(A408&lt;&gt;"", COUNTIFS(Beans!A:A, A408, Beans!C:C, "Spicy" ), "")</f>
        <v>0</v>
      </c>
    </row>
    <row r="409">
      <c r="A409" s="34">
        <f t="shared" si="2"/>
        <v>45259</v>
      </c>
      <c r="B409" s="35">
        <f>if(A409&lt;&gt;"", COUNTIFS(Beans!A:A, A409), "")</f>
        <v>3</v>
      </c>
      <c r="C409" s="35">
        <f>if(A409&lt;&gt;"", COUNTIFS(Beans!A:A, A409, Beans!C:C, "Good" ), "")</f>
        <v>1</v>
      </c>
      <c r="D409" s="35">
        <f>if(A409&lt;&gt;"", COUNTIFS(Beans!A:A, A409, Beans!C:C, "Bad" ), "")</f>
        <v>2</v>
      </c>
      <c r="E409" s="35">
        <f>if(A409&lt;&gt;"", COUNTIFS(Beans!A:A, A409, Beans!C:C, "Spicy" ), "")</f>
        <v>0</v>
      </c>
    </row>
    <row r="410">
      <c r="A410" s="34">
        <f t="shared" si="2"/>
        <v>45260</v>
      </c>
      <c r="B410" s="35">
        <f>if(A410&lt;&gt;"", COUNTIFS(Beans!A:A, A410), "")</f>
        <v>9</v>
      </c>
      <c r="C410" s="35">
        <f>if(A410&lt;&gt;"", COUNTIFS(Beans!A:A, A410, Beans!C:C, "Good" ), "")</f>
        <v>5</v>
      </c>
      <c r="D410" s="35">
        <f>if(A410&lt;&gt;"", COUNTIFS(Beans!A:A, A410, Beans!C:C, "Bad" ), "")</f>
        <v>4</v>
      </c>
      <c r="E410" s="35">
        <f>if(A410&lt;&gt;"", COUNTIFS(Beans!A:A, A410, Beans!C:C, "Spicy" ), "")</f>
        <v>0</v>
      </c>
    </row>
    <row r="411">
      <c r="A411" s="34">
        <f t="shared" si="2"/>
        <v>45261</v>
      </c>
      <c r="B411" s="35">
        <f>if(A411&lt;&gt;"", COUNTIFS(Beans!A:A, A411), "")</f>
        <v>1</v>
      </c>
      <c r="C411" s="35">
        <f>if(A411&lt;&gt;"", COUNTIFS(Beans!A:A, A411, Beans!C:C, "Good" ), "")</f>
        <v>0</v>
      </c>
      <c r="D411" s="35">
        <f>if(A411&lt;&gt;"", COUNTIFS(Beans!A:A, A411, Beans!C:C, "Bad" ), "")</f>
        <v>1</v>
      </c>
      <c r="E411" s="35">
        <f>if(A411&lt;&gt;"", COUNTIFS(Beans!A:A, A411, Beans!C:C, "Spicy" ), "")</f>
        <v>0</v>
      </c>
    </row>
    <row r="412">
      <c r="A412" s="34">
        <f t="shared" si="2"/>
        <v>45262</v>
      </c>
      <c r="B412" s="35">
        <f>if(A412&lt;&gt;"", COUNTIFS(Beans!A:A, A412), "")</f>
        <v>0</v>
      </c>
      <c r="C412" s="35">
        <f>if(A412&lt;&gt;"", COUNTIFS(Beans!A:A, A412, Beans!C:C, "Good" ), "")</f>
        <v>0</v>
      </c>
      <c r="D412" s="35">
        <f>if(A412&lt;&gt;"", COUNTIFS(Beans!A:A, A412, Beans!C:C, "Bad" ), "")</f>
        <v>0</v>
      </c>
      <c r="E412" s="35">
        <f>if(A412&lt;&gt;"", COUNTIFS(Beans!A:A, A412, Beans!C:C, "Spicy" ), "")</f>
        <v>0</v>
      </c>
    </row>
    <row r="413">
      <c r="A413" s="34">
        <f t="shared" si="2"/>
        <v>45263</v>
      </c>
      <c r="B413" s="35">
        <f>if(A413&lt;&gt;"", COUNTIFS(Beans!A:A, A413), "")</f>
        <v>0</v>
      </c>
      <c r="C413" s="35">
        <f>if(A413&lt;&gt;"", COUNTIFS(Beans!A:A, A413, Beans!C:C, "Good" ), "")</f>
        <v>0</v>
      </c>
      <c r="D413" s="35">
        <f>if(A413&lt;&gt;"", COUNTIFS(Beans!A:A, A413, Beans!C:C, "Bad" ), "")</f>
        <v>0</v>
      </c>
      <c r="E413" s="35">
        <f>if(A413&lt;&gt;"", COUNTIFS(Beans!A:A, A413, Beans!C:C, "Spicy" ), "")</f>
        <v>0</v>
      </c>
    </row>
    <row r="414">
      <c r="A414" s="34">
        <f t="shared" si="2"/>
        <v>45264</v>
      </c>
      <c r="B414" s="35">
        <f>if(A414&lt;&gt;"", COUNTIFS(Beans!A:A, A414), "")</f>
        <v>1</v>
      </c>
      <c r="C414" s="35">
        <f>if(A414&lt;&gt;"", COUNTIFS(Beans!A:A, A414, Beans!C:C, "Good" ), "")</f>
        <v>1</v>
      </c>
      <c r="D414" s="35">
        <f>if(A414&lt;&gt;"", COUNTIFS(Beans!A:A, A414, Beans!C:C, "Bad" ), "")</f>
        <v>0</v>
      </c>
      <c r="E414" s="35">
        <f>if(A414&lt;&gt;"", COUNTIFS(Beans!A:A, A414, Beans!C:C, "Spicy" ), "")</f>
        <v>0</v>
      </c>
    </row>
    <row r="415">
      <c r="A415" s="34">
        <f t="shared" si="2"/>
        <v>45265</v>
      </c>
      <c r="B415" s="35">
        <f>if(A415&lt;&gt;"", COUNTIFS(Beans!A:A, A415), "")</f>
        <v>7</v>
      </c>
      <c r="C415" s="35">
        <f>if(A415&lt;&gt;"", COUNTIFS(Beans!A:A, A415, Beans!C:C, "Good" ), "")</f>
        <v>0</v>
      </c>
      <c r="D415" s="35">
        <f>if(A415&lt;&gt;"", COUNTIFS(Beans!A:A, A415, Beans!C:C, "Bad" ), "")</f>
        <v>7</v>
      </c>
      <c r="E415" s="35">
        <f>if(A415&lt;&gt;"", COUNTIFS(Beans!A:A, A415, Beans!C:C, "Spicy" ), "")</f>
        <v>0</v>
      </c>
    </row>
    <row r="416">
      <c r="A416" s="34">
        <f t="shared" si="2"/>
        <v>45266</v>
      </c>
      <c r="B416" s="35">
        <f>if(A416&lt;&gt;"", COUNTIFS(Beans!A:A, A416), "")</f>
        <v>7</v>
      </c>
      <c r="C416" s="35">
        <f>if(A416&lt;&gt;"", COUNTIFS(Beans!A:A, A416, Beans!C:C, "Good" ), "")</f>
        <v>2</v>
      </c>
      <c r="D416" s="35">
        <f>if(A416&lt;&gt;"", COUNTIFS(Beans!A:A, A416, Beans!C:C, "Bad" ), "")</f>
        <v>5</v>
      </c>
      <c r="E416" s="35">
        <f>if(A416&lt;&gt;"", COUNTIFS(Beans!A:A, A416, Beans!C:C, "Spicy" ), "")</f>
        <v>0</v>
      </c>
    </row>
    <row r="417">
      <c r="A417" s="34">
        <f t="shared" si="2"/>
        <v>45267</v>
      </c>
      <c r="B417" s="35">
        <f>if(A417&lt;&gt;"", COUNTIFS(Beans!A:A, A417), "")</f>
        <v>1</v>
      </c>
      <c r="C417" s="35">
        <f>if(A417&lt;&gt;"", COUNTIFS(Beans!A:A, A417, Beans!C:C, "Good" ), "")</f>
        <v>0</v>
      </c>
      <c r="D417" s="35">
        <f>if(A417&lt;&gt;"", COUNTIFS(Beans!A:A, A417, Beans!C:C, "Bad" ), "")</f>
        <v>1</v>
      </c>
      <c r="E417" s="35">
        <f>if(A417&lt;&gt;"", COUNTIFS(Beans!A:A, A417, Beans!C:C, "Spicy" ), "")</f>
        <v>0</v>
      </c>
    </row>
    <row r="418">
      <c r="A418" s="34">
        <f t="shared" si="2"/>
        <v>45268</v>
      </c>
      <c r="B418" s="35">
        <f>if(A418&lt;&gt;"", COUNTIFS(Beans!A:A, A418), "")</f>
        <v>1</v>
      </c>
      <c r="C418" s="35">
        <f>if(A418&lt;&gt;"", COUNTIFS(Beans!A:A, A418, Beans!C:C, "Good" ), "")</f>
        <v>1</v>
      </c>
      <c r="D418" s="35">
        <f>if(A418&lt;&gt;"", COUNTIFS(Beans!A:A, A418, Beans!C:C, "Bad" ), "")</f>
        <v>0</v>
      </c>
      <c r="E418" s="35">
        <f>if(A418&lt;&gt;"", COUNTIFS(Beans!A:A, A418, Beans!C:C, "Spicy" ), "")</f>
        <v>0</v>
      </c>
    </row>
    <row r="419">
      <c r="A419" s="34">
        <f t="shared" si="2"/>
        <v>45269</v>
      </c>
      <c r="B419" s="35">
        <f>if(A419&lt;&gt;"", COUNTIFS(Beans!A:A, A419), "")</f>
        <v>0</v>
      </c>
      <c r="C419" s="35">
        <f>if(A419&lt;&gt;"", COUNTIFS(Beans!A:A, A419, Beans!C:C, "Good" ), "")</f>
        <v>0</v>
      </c>
      <c r="D419" s="35">
        <f>if(A419&lt;&gt;"", COUNTIFS(Beans!A:A, A419, Beans!C:C, "Bad" ), "")</f>
        <v>0</v>
      </c>
      <c r="E419" s="35">
        <f>if(A419&lt;&gt;"", COUNTIFS(Beans!A:A, A419, Beans!C:C, "Spicy" ), "")</f>
        <v>0</v>
      </c>
    </row>
    <row r="420">
      <c r="A420" s="34">
        <f t="shared" si="2"/>
        <v>45270</v>
      </c>
      <c r="B420" s="35">
        <f>if(A420&lt;&gt;"", COUNTIFS(Beans!A:A, A420), "")</f>
        <v>0</v>
      </c>
      <c r="C420" s="35">
        <f>if(A420&lt;&gt;"", COUNTIFS(Beans!A:A, A420, Beans!C:C, "Good" ), "")</f>
        <v>0</v>
      </c>
      <c r="D420" s="35">
        <f>if(A420&lt;&gt;"", COUNTIFS(Beans!A:A, A420, Beans!C:C, "Bad" ), "")</f>
        <v>0</v>
      </c>
      <c r="E420" s="35">
        <f>if(A420&lt;&gt;"", COUNTIFS(Beans!A:A, A420, Beans!C:C, "Spicy" ), "")</f>
        <v>0</v>
      </c>
    </row>
    <row r="421">
      <c r="A421" s="34">
        <f t="shared" si="2"/>
        <v>45271</v>
      </c>
      <c r="B421" s="35">
        <f>if(A421&lt;&gt;"", COUNTIFS(Beans!A:A, A421), "")</f>
        <v>1</v>
      </c>
      <c r="C421" s="35">
        <f>if(A421&lt;&gt;"", COUNTIFS(Beans!A:A, A421, Beans!C:C, "Good" ), "")</f>
        <v>0</v>
      </c>
      <c r="D421" s="35">
        <f>if(A421&lt;&gt;"", COUNTIFS(Beans!A:A, A421, Beans!C:C, "Bad" ), "")</f>
        <v>1</v>
      </c>
      <c r="E421" s="35">
        <f>if(A421&lt;&gt;"", COUNTIFS(Beans!A:A, A421, Beans!C:C, "Spicy" ), "")</f>
        <v>0</v>
      </c>
    </row>
    <row r="422">
      <c r="A422" s="34">
        <f t="shared" si="2"/>
        <v>45272</v>
      </c>
      <c r="B422" s="35">
        <f>if(A422&lt;&gt;"", COUNTIFS(Beans!A:A, A422), "")</f>
        <v>1</v>
      </c>
      <c r="C422" s="35">
        <f>if(A422&lt;&gt;"", COUNTIFS(Beans!A:A, A422, Beans!C:C, "Good" ), "")</f>
        <v>1</v>
      </c>
      <c r="D422" s="35">
        <f>if(A422&lt;&gt;"", COUNTIFS(Beans!A:A, A422, Beans!C:C, "Bad" ), "")</f>
        <v>0</v>
      </c>
      <c r="E422" s="35">
        <f>if(A422&lt;&gt;"", COUNTIFS(Beans!A:A, A422, Beans!C:C, "Spicy" ), "")</f>
        <v>0</v>
      </c>
    </row>
    <row r="423">
      <c r="A423" s="34">
        <f t="shared" si="2"/>
        <v>45273</v>
      </c>
      <c r="B423" s="35">
        <f>if(A423&lt;&gt;"", COUNTIFS(Beans!A:A, A423), "")</f>
        <v>2</v>
      </c>
      <c r="C423" s="35">
        <f>if(A423&lt;&gt;"", COUNTIFS(Beans!A:A, A423, Beans!C:C, "Good" ), "")</f>
        <v>2</v>
      </c>
      <c r="D423" s="35">
        <f>if(A423&lt;&gt;"", COUNTIFS(Beans!A:A, A423, Beans!C:C, "Bad" ), "")</f>
        <v>0</v>
      </c>
      <c r="E423" s="35">
        <f>if(A423&lt;&gt;"", COUNTIFS(Beans!A:A, A423, Beans!C:C, "Spicy" ), "")</f>
        <v>0</v>
      </c>
    </row>
    <row r="424">
      <c r="A424" s="34">
        <f t="shared" si="2"/>
        <v>45274</v>
      </c>
      <c r="B424" s="35">
        <f>if(A424&lt;&gt;"", COUNTIFS(Beans!A:A, A424), "")</f>
        <v>4</v>
      </c>
      <c r="C424" s="35">
        <f>if(A424&lt;&gt;"", COUNTIFS(Beans!A:A, A424, Beans!C:C, "Good" ), "")</f>
        <v>1</v>
      </c>
      <c r="D424" s="35">
        <f>if(A424&lt;&gt;"", COUNTIFS(Beans!A:A, A424, Beans!C:C, "Bad" ), "")</f>
        <v>3</v>
      </c>
      <c r="E424" s="35">
        <f>if(A424&lt;&gt;"", COUNTIFS(Beans!A:A, A424, Beans!C:C, "Spicy" ), "")</f>
        <v>0</v>
      </c>
    </row>
    <row r="425">
      <c r="A425" s="34">
        <f t="shared" si="2"/>
        <v>45275</v>
      </c>
      <c r="B425" s="35">
        <f>if(A425&lt;&gt;"", COUNTIFS(Beans!A:A, A425), "")</f>
        <v>5</v>
      </c>
      <c r="C425" s="35">
        <f>if(A425&lt;&gt;"", COUNTIFS(Beans!A:A, A425, Beans!C:C, "Good" ), "")</f>
        <v>0</v>
      </c>
      <c r="D425" s="35">
        <f>if(A425&lt;&gt;"", COUNTIFS(Beans!A:A, A425, Beans!C:C, "Bad" ), "")</f>
        <v>5</v>
      </c>
      <c r="E425" s="35">
        <f>if(A425&lt;&gt;"", COUNTIFS(Beans!A:A, A425, Beans!C:C, "Spicy" ), "")</f>
        <v>0</v>
      </c>
    </row>
    <row r="426">
      <c r="A426" s="34">
        <f t="shared" si="2"/>
        <v>45276</v>
      </c>
      <c r="B426" s="35">
        <f>if(A426&lt;&gt;"", COUNTIFS(Beans!A:A, A426), "")</f>
        <v>0</v>
      </c>
      <c r="C426" s="35">
        <f>if(A426&lt;&gt;"", COUNTIFS(Beans!A:A, A426, Beans!C:C, "Good" ), "")</f>
        <v>0</v>
      </c>
      <c r="D426" s="35">
        <f>if(A426&lt;&gt;"", COUNTIFS(Beans!A:A, A426, Beans!C:C, "Bad" ), "")</f>
        <v>0</v>
      </c>
      <c r="E426" s="35">
        <f>if(A426&lt;&gt;"", COUNTIFS(Beans!A:A, A426, Beans!C:C, "Spicy" ), "")</f>
        <v>0</v>
      </c>
    </row>
    <row r="427">
      <c r="A427" s="34">
        <f t="shared" si="2"/>
        <v>45277</v>
      </c>
      <c r="B427" s="35">
        <f>if(A427&lt;&gt;"", COUNTIFS(Beans!A:A, A427), "")</f>
        <v>0</v>
      </c>
      <c r="C427" s="35">
        <f>if(A427&lt;&gt;"", COUNTIFS(Beans!A:A, A427, Beans!C:C, "Good" ), "")</f>
        <v>0</v>
      </c>
      <c r="D427" s="35">
        <f>if(A427&lt;&gt;"", COUNTIFS(Beans!A:A, A427, Beans!C:C, "Bad" ), "")</f>
        <v>0</v>
      </c>
      <c r="E427" s="35">
        <f>if(A427&lt;&gt;"", COUNTIFS(Beans!A:A, A427, Beans!C:C, "Spicy" ), "")</f>
        <v>0</v>
      </c>
    </row>
    <row r="428">
      <c r="A428" s="34">
        <f t="shared" si="2"/>
        <v>45278</v>
      </c>
      <c r="B428" s="35">
        <f>if(A428&lt;&gt;"", COUNTIFS(Beans!A:A, A428), "")</f>
        <v>0</v>
      </c>
      <c r="C428" s="35">
        <f>if(A428&lt;&gt;"", COUNTIFS(Beans!A:A, A428, Beans!C:C, "Good" ), "")</f>
        <v>0</v>
      </c>
      <c r="D428" s="35">
        <f>if(A428&lt;&gt;"", COUNTIFS(Beans!A:A, A428, Beans!C:C, "Bad" ), "")</f>
        <v>0</v>
      </c>
      <c r="E428" s="35">
        <f>if(A428&lt;&gt;"", COUNTIFS(Beans!A:A, A428, Beans!C:C, "Spicy" ), "")</f>
        <v>0</v>
      </c>
    </row>
    <row r="429">
      <c r="A429" s="34">
        <f t="shared" si="2"/>
        <v>45279</v>
      </c>
      <c r="B429" s="35">
        <f>if(A429&lt;&gt;"", COUNTIFS(Beans!A:A, A429), "")</f>
        <v>0</v>
      </c>
      <c r="C429" s="35">
        <f>if(A429&lt;&gt;"", COUNTIFS(Beans!A:A, A429, Beans!C:C, "Good" ), "")</f>
        <v>0</v>
      </c>
      <c r="D429" s="35">
        <f>if(A429&lt;&gt;"", COUNTIFS(Beans!A:A, A429, Beans!C:C, "Bad" ), "")</f>
        <v>0</v>
      </c>
      <c r="E429" s="35">
        <f>if(A429&lt;&gt;"", COUNTIFS(Beans!A:A, A429, Beans!C:C, "Spicy" ), "")</f>
        <v>0</v>
      </c>
    </row>
    <row r="430">
      <c r="A430" s="34">
        <f t="shared" si="2"/>
        <v>45280</v>
      </c>
      <c r="B430" s="35">
        <f>if(A430&lt;&gt;"", COUNTIFS(Beans!A:A, A430), "")</f>
        <v>4</v>
      </c>
      <c r="C430" s="35">
        <f>if(A430&lt;&gt;"", COUNTIFS(Beans!A:A, A430, Beans!C:C, "Good" ), "")</f>
        <v>1</v>
      </c>
      <c r="D430" s="35">
        <f>if(A430&lt;&gt;"", COUNTIFS(Beans!A:A, A430, Beans!C:C, "Bad" ), "")</f>
        <v>3</v>
      </c>
      <c r="E430" s="35">
        <f>if(A430&lt;&gt;"", COUNTIFS(Beans!A:A, A430, Beans!C:C, "Spicy" ), "")</f>
        <v>0</v>
      </c>
    </row>
    <row r="431">
      <c r="A431" s="34">
        <f t="shared" si="2"/>
        <v>45281</v>
      </c>
      <c r="B431" s="35">
        <f>if(A431&lt;&gt;"", COUNTIFS(Beans!A:A, A431), "")</f>
        <v>8</v>
      </c>
      <c r="C431" s="35">
        <f>if(A431&lt;&gt;"", COUNTIFS(Beans!A:A, A431, Beans!C:C, "Good" ), "")</f>
        <v>2</v>
      </c>
      <c r="D431" s="35">
        <f>if(A431&lt;&gt;"", COUNTIFS(Beans!A:A, A431, Beans!C:C, "Bad" ), "")</f>
        <v>6</v>
      </c>
      <c r="E431" s="35">
        <f>if(A431&lt;&gt;"", COUNTIFS(Beans!A:A, A431, Beans!C:C, "Spicy" ), "")</f>
        <v>0</v>
      </c>
    </row>
    <row r="432">
      <c r="A432" s="34">
        <f t="shared" si="2"/>
        <v>45282</v>
      </c>
      <c r="B432" s="35">
        <f>if(A432&lt;&gt;"", COUNTIFS(Beans!A:A, A432), "")</f>
        <v>3</v>
      </c>
      <c r="C432" s="35">
        <f>if(A432&lt;&gt;"", COUNTIFS(Beans!A:A, A432, Beans!C:C, "Good" ), "")</f>
        <v>1</v>
      </c>
      <c r="D432" s="35">
        <f>if(A432&lt;&gt;"", COUNTIFS(Beans!A:A, A432, Beans!C:C, "Bad" ), "")</f>
        <v>2</v>
      </c>
      <c r="E432" s="35">
        <f>if(A432&lt;&gt;"", COUNTIFS(Beans!A:A, A432, Beans!C:C, "Spicy" ), "")</f>
        <v>0</v>
      </c>
    </row>
    <row r="433">
      <c r="A433" s="34">
        <f t="shared" si="2"/>
        <v>45283</v>
      </c>
      <c r="B433" s="35">
        <f>if(A433&lt;&gt;"", COUNTIFS(Beans!A:A, A433), "")</f>
        <v>0</v>
      </c>
      <c r="C433" s="35">
        <f>if(A433&lt;&gt;"", COUNTIFS(Beans!A:A, A433, Beans!C:C, "Good" ), "")</f>
        <v>0</v>
      </c>
      <c r="D433" s="35">
        <f>if(A433&lt;&gt;"", COUNTIFS(Beans!A:A, A433, Beans!C:C, "Bad" ), "")</f>
        <v>0</v>
      </c>
      <c r="E433" s="35">
        <f>if(A433&lt;&gt;"", COUNTIFS(Beans!A:A, A433, Beans!C:C, "Spicy" ), "")</f>
        <v>0</v>
      </c>
    </row>
    <row r="434">
      <c r="A434" s="34">
        <f t="shared" si="2"/>
        <v>45284</v>
      </c>
      <c r="B434" s="35">
        <f>if(A434&lt;&gt;"", COUNTIFS(Beans!A:A, A434), "")</f>
        <v>0</v>
      </c>
      <c r="C434" s="35">
        <f>if(A434&lt;&gt;"", COUNTIFS(Beans!A:A, A434, Beans!C:C, "Good" ), "")</f>
        <v>0</v>
      </c>
      <c r="D434" s="35">
        <f>if(A434&lt;&gt;"", COUNTIFS(Beans!A:A, A434, Beans!C:C, "Bad" ), "")</f>
        <v>0</v>
      </c>
      <c r="E434" s="35">
        <f>if(A434&lt;&gt;"", COUNTIFS(Beans!A:A, A434, Beans!C:C, "Spicy" ), "")</f>
        <v>0</v>
      </c>
    </row>
    <row r="435">
      <c r="A435" s="34">
        <f t="shared" si="2"/>
        <v>45285</v>
      </c>
      <c r="B435" s="35">
        <f>if(A435&lt;&gt;"", COUNTIFS(Beans!A:A, A435), "")</f>
        <v>1</v>
      </c>
      <c r="C435" s="35">
        <f>if(A435&lt;&gt;"", COUNTIFS(Beans!A:A, A435, Beans!C:C, "Good" ), "")</f>
        <v>0</v>
      </c>
      <c r="D435" s="35">
        <f>if(A435&lt;&gt;"", COUNTIFS(Beans!A:A, A435, Beans!C:C, "Bad" ), "")</f>
        <v>1</v>
      </c>
      <c r="E435" s="35">
        <f>if(A435&lt;&gt;"", COUNTIFS(Beans!A:A, A435, Beans!C:C, "Spicy" ), "")</f>
        <v>0</v>
      </c>
    </row>
    <row r="436">
      <c r="A436" s="34">
        <f t="shared" si="2"/>
        <v>45286</v>
      </c>
      <c r="B436" s="35">
        <f>if(A436&lt;&gt;"", COUNTIFS(Beans!A:A, A436), "")</f>
        <v>0</v>
      </c>
      <c r="C436" s="35">
        <f>if(A436&lt;&gt;"", COUNTIFS(Beans!A:A, A436, Beans!C:C, "Good" ), "")</f>
        <v>0</v>
      </c>
      <c r="D436" s="35">
        <f>if(A436&lt;&gt;"", COUNTIFS(Beans!A:A, A436, Beans!C:C, "Bad" ), "")</f>
        <v>0</v>
      </c>
      <c r="E436" s="35">
        <f>if(A436&lt;&gt;"", COUNTIFS(Beans!A:A, A436, Beans!C:C, "Spicy" ), "")</f>
        <v>0</v>
      </c>
    </row>
    <row r="437">
      <c r="A437" s="34">
        <f t="shared" si="2"/>
        <v>45287</v>
      </c>
      <c r="B437" s="35">
        <f>if(A437&lt;&gt;"", COUNTIFS(Beans!A:A, A437), "")</f>
        <v>2</v>
      </c>
      <c r="C437" s="35">
        <f>if(A437&lt;&gt;"", COUNTIFS(Beans!A:A, A437, Beans!C:C, "Good" ), "")</f>
        <v>1</v>
      </c>
      <c r="D437" s="35">
        <f>if(A437&lt;&gt;"", COUNTIFS(Beans!A:A, A437, Beans!C:C, "Bad" ), "")</f>
        <v>1</v>
      </c>
      <c r="E437" s="35">
        <f>if(A437&lt;&gt;"", COUNTIFS(Beans!A:A, A437, Beans!C:C, "Spicy" ), "")</f>
        <v>0</v>
      </c>
    </row>
    <row r="438">
      <c r="A438" s="34">
        <f t="shared" si="2"/>
        <v>45288</v>
      </c>
      <c r="B438" s="35">
        <f>if(A438&lt;&gt;"", COUNTIFS(Beans!A:A, A438), "")</f>
        <v>2</v>
      </c>
      <c r="C438" s="35">
        <f>if(A438&lt;&gt;"", COUNTIFS(Beans!A:A, A438, Beans!C:C, "Good" ), "")</f>
        <v>1</v>
      </c>
      <c r="D438" s="35">
        <f>if(A438&lt;&gt;"", COUNTIFS(Beans!A:A, A438, Beans!C:C, "Bad" ), "")</f>
        <v>1</v>
      </c>
      <c r="E438" s="35">
        <f>if(A438&lt;&gt;"", COUNTIFS(Beans!A:A, A438, Beans!C:C, "Spicy" ), "")</f>
        <v>0</v>
      </c>
    </row>
    <row r="439">
      <c r="A439" s="34">
        <f t="shared" si="2"/>
        <v>45289</v>
      </c>
      <c r="B439" s="35">
        <f>if(A439&lt;&gt;"", COUNTIFS(Beans!A:A, A439), "")</f>
        <v>3</v>
      </c>
      <c r="C439" s="35">
        <f>if(A439&lt;&gt;"", COUNTIFS(Beans!A:A, A439, Beans!C:C, "Good" ), "")</f>
        <v>0</v>
      </c>
      <c r="D439" s="35">
        <f>if(A439&lt;&gt;"", COUNTIFS(Beans!A:A, A439, Beans!C:C, "Bad" ), "")</f>
        <v>3</v>
      </c>
      <c r="E439" s="35">
        <f>if(A439&lt;&gt;"", COUNTIFS(Beans!A:A, A439, Beans!C:C, "Spicy" ), "")</f>
        <v>0</v>
      </c>
    </row>
    <row r="440">
      <c r="A440" s="34">
        <f t="shared" si="2"/>
        <v>45290</v>
      </c>
      <c r="B440" s="35">
        <f>if(A440&lt;&gt;"", COUNTIFS(Beans!A:A, A440), "")</f>
        <v>0</v>
      </c>
      <c r="C440" s="35">
        <f>if(A440&lt;&gt;"", COUNTIFS(Beans!A:A, A440, Beans!C:C, "Good" ), "")</f>
        <v>0</v>
      </c>
      <c r="D440" s="35">
        <f>if(A440&lt;&gt;"", COUNTIFS(Beans!A:A, A440, Beans!C:C, "Bad" ), "")</f>
        <v>0</v>
      </c>
      <c r="E440" s="35">
        <f>if(A440&lt;&gt;"", COUNTIFS(Beans!A:A, A440, Beans!C:C, "Spicy" ), "")</f>
        <v>0</v>
      </c>
    </row>
    <row r="441">
      <c r="A441" s="34">
        <f t="shared" si="2"/>
        <v>45291</v>
      </c>
      <c r="B441" s="35">
        <f>if(A441&lt;&gt;"", COUNTIFS(Beans!A:A, A441), "")</f>
        <v>0</v>
      </c>
      <c r="C441" s="35">
        <f>if(A441&lt;&gt;"", COUNTIFS(Beans!A:A, A441, Beans!C:C, "Good" ), "")</f>
        <v>0</v>
      </c>
      <c r="D441" s="35">
        <f>if(A441&lt;&gt;"", COUNTIFS(Beans!A:A, A441, Beans!C:C, "Bad" ), "")</f>
        <v>0</v>
      </c>
      <c r="E441" s="35">
        <f>if(A441&lt;&gt;"", COUNTIFS(Beans!A:A, A441, Beans!C:C, "Spicy" ), "")</f>
        <v>0</v>
      </c>
    </row>
    <row r="442">
      <c r="A442" s="34">
        <f t="shared" si="2"/>
        <v>45292</v>
      </c>
      <c r="B442" s="35">
        <f>if(A442&lt;&gt;"", COUNTIFS(Beans!A:A, A442), "")</f>
        <v>0</v>
      </c>
      <c r="C442" s="35">
        <f>if(A442&lt;&gt;"", COUNTIFS(Beans!A:A, A442, Beans!C:C, "Good" ), "")</f>
        <v>0</v>
      </c>
      <c r="D442" s="35">
        <f>if(A442&lt;&gt;"", COUNTIFS(Beans!A:A, A442, Beans!C:C, "Bad" ), "")</f>
        <v>0</v>
      </c>
      <c r="E442" s="35">
        <f>if(A442&lt;&gt;"", COUNTIFS(Beans!A:A, A442, Beans!C:C, "Spicy" ), "")</f>
        <v>0</v>
      </c>
    </row>
    <row r="443">
      <c r="A443" s="34">
        <f t="shared" si="2"/>
        <v>45293</v>
      </c>
      <c r="B443" s="35">
        <f>if(A443&lt;&gt;"", COUNTIFS(Beans!A:A, A443), "")</f>
        <v>13</v>
      </c>
      <c r="C443" s="35">
        <f>if(A443&lt;&gt;"", COUNTIFS(Beans!A:A, A443, Beans!C:C, "Good" ), "")</f>
        <v>4</v>
      </c>
      <c r="D443" s="35">
        <f>if(A443&lt;&gt;"", COUNTIFS(Beans!A:A, A443, Beans!C:C, "Bad" ), "")</f>
        <v>9</v>
      </c>
      <c r="E443" s="35">
        <f>if(A443&lt;&gt;"", COUNTIFS(Beans!A:A, A443, Beans!C:C, "Spicy" ), "")</f>
        <v>0</v>
      </c>
    </row>
    <row r="444">
      <c r="A444" s="34">
        <f t="shared" si="2"/>
        <v>45294</v>
      </c>
      <c r="B444" s="35">
        <f>if(A444&lt;&gt;"", COUNTIFS(Beans!A:A, A444), "")</f>
        <v>1</v>
      </c>
      <c r="C444" s="35">
        <f>if(A444&lt;&gt;"", COUNTIFS(Beans!A:A, A444, Beans!C:C, "Good" ), "")</f>
        <v>0</v>
      </c>
      <c r="D444" s="35">
        <f>if(A444&lt;&gt;"", COUNTIFS(Beans!A:A, A444, Beans!C:C, "Bad" ), "")</f>
        <v>1</v>
      </c>
      <c r="E444" s="35">
        <f>if(A444&lt;&gt;"", COUNTIFS(Beans!A:A, A444, Beans!C:C, "Spicy" ), "")</f>
        <v>0</v>
      </c>
    </row>
    <row r="445">
      <c r="A445" s="34">
        <f t="shared" si="2"/>
        <v>45295</v>
      </c>
      <c r="B445" s="35">
        <f>if(A445&lt;&gt;"", COUNTIFS(Beans!A:A, A445), "")</f>
        <v>2</v>
      </c>
      <c r="C445" s="35">
        <f>if(A445&lt;&gt;"", COUNTIFS(Beans!A:A, A445, Beans!C:C, "Good" ), "")</f>
        <v>0</v>
      </c>
      <c r="D445" s="35">
        <f>if(A445&lt;&gt;"", COUNTIFS(Beans!A:A, A445, Beans!C:C, "Bad" ), "")</f>
        <v>2</v>
      </c>
      <c r="E445" s="35">
        <f>if(A445&lt;&gt;"", COUNTIFS(Beans!A:A, A445, Beans!C:C, "Spicy" ), "")</f>
        <v>0</v>
      </c>
    </row>
    <row r="446">
      <c r="A446" s="34">
        <f t="shared" si="2"/>
        <v>45296</v>
      </c>
      <c r="B446" s="35">
        <f>if(A446&lt;&gt;"", COUNTIFS(Beans!A:A, A446), "")</f>
        <v>2</v>
      </c>
      <c r="C446" s="35">
        <f>if(A446&lt;&gt;"", COUNTIFS(Beans!A:A, A446, Beans!C:C, "Good" ), "")</f>
        <v>1</v>
      </c>
      <c r="D446" s="35">
        <f>if(A446&lt;&gt;"", COUNTIFS(Beans!A:A, A446, Beans!C:C, "Bad" ), "")</f>
        <v>1</v>
      </c>
      <c r="E446" s="35">
        <f>if(A446&lt;&gt;"", COUNTIFS(Beans!A:A, A446, Beans!C:C, "Spicy" ), "")</f>
        <v>0</v>
      </c>
    </row>
    <row r="447">
      <c r="A447" s="34">
        <f t="shared" si="2"/>
        <v>45297</v>
      </c>
      <c r="B447" s="35">
        <f>if(A447&lt;&gt;"", COUNTIFS(Beans!A:A, A447), "")</f>
        <v>0</v>
      </c>
      <c r="C447" s="35">
        <f>if(A447&lt;&gt;"", COUNTIFS(Beans!A:A, A447, Beans!C:C, "Good" ), "")</f>
        <v>0</v>
      </c>
      <c r="D447" s="35">
        <f>if(A447&lt;&gt;"", COUNTIFS(Beans!A:A, A447, Beans!C:C, "Bad" ), "")</f>
        <v>0</v>
      </c>
      <c r="E447" s="35">
        <f>if(A447&lt;&gt;"", COUNTIFS(Beans!A:A, A447, Beans!C:C, "Spicy" ), "")</f>
        <v>0</v>
      </c>
    </row>
    <row r="448">
      <c r="A448" s="34">
        <f t="shared" si="2"/>
        <v>45298</v>
      </c>
      <c r="B448" s="35">
        <f>if(A448&lt;&gt;"", COUNTIFS(Beans!A:A, A448), "")</f>
        <v>0</v>
      </c>
      <c r="C448" s="35">
        <f>if(A448&lt;&gt;"", COUNTIFS(Beans!A:A, A448, Beans!C:C, "Good" ), "")</f>
        <v>0</v>
      </c>
      <c r="D448" s="35">
        <f>if(A448&lt;&gt;"", COUNTIFS(Beans!A:A, A448, Beans!C:C, "Bad" ), "")</f>
        <v>0</v>
      </c>
      <c r="E448" s="35">
        <f>if(A448&lt;&gt;"", COUNTIFS(Beans!A:A, A448, Beans!C:C, "Spicy" ), "")</f>
        <v>0</v>
      </c>
    </row>
    <row r="449">
      <c r="A449" s="34">
        <f t="shared" si="2"/>
        <v>45299</v>
      </c>
      <c r="B449" s="35">
        <f>if(A449&lt;&gt;"", COUNTIFS(Beans!A:A, A449), "")</f>
        <v>3</v>
      </c>
      <c r="C449" s="35">
        <f>if(A449&lt;&gt;"", COUNTIFS(Beans!A:A, A449, Beans!C:C, "Good" ), "")</f>
        <v>1</v>
      </c>
      <c r="D449" s="35">
        <f>if(A449&lt;&gt;"", COUNTIFS(Beans!A:A, A449, Beans!C:C, "Bad" ), "")</f>
        <v>2</v>
      </c>
      <c r="E449" s="35">
        <f>if(A449&lt;&gt;"", COUNTIFS(Beans!A:A, A449, Beans!C:C, "Spicy" ), "")</f>
        <v>0</v>
      </c>
    </row>
    <row r="450">
      <c r="A450" s="34">
        <f t="shared" si="2"/>
        <v>45300</v>
      </c>
      <c r="B450" s="35">
        <f>if(A450&lt;&gt;"", COUNTIFS(Beans!A:A, A450), "")</f>
        <v>0</v>
      </c>
      <c r="C450" s="35">
        <f>if(A450&lt;&gt;"", COUNTIFS(Beans!A:A, A450, Beans!C:C, "Good" ), "")</f>
        <v>0</v>
      </c>
      <c r="D450" s="35">
        <f>if(A450&lt;&gt;"", COUNTIFS(Beans!A:A, A450, Beans!C:C, "Bad" ), "")</f>
        <v>0</v>
      </c>
      <c r="E450" s="35">
        <f>if(A450&lt;&gt;"", COUNTIFS(Beans!A:A, A450, Beans!C:C, "Spicy" ), "")</f>
        <v>0</v>
      </c>
    </row>
    <row r="451">
      <c r="A451" s="34">
        <f t="shared" si="2"/>
        <v>45301</v>
      </c>
      <c r="B451" s="35">
        <f>if(A451&lt;&gt;"", COUNTIFS(Beans!A:A, A451), "")</f>
        <v>3</v>
      </c>
      <c r="C451" s="35">
        <f>if(A451&lt;&gt;"", COUNTIFS(Beans!A:A, A451, Beans!C:C, "Good" ), "")</f>
        <v>0</v>
      </c>
      <c r="D451" s="35">
        <f>if(A451&lt;&gt;"", COUNTIFS(Beans!A:A, A451, Beans!C:C, "Bad" ), "")</f>
        <v>3</v>
      </c>
      <c r="E451" s="35">
        <f>if(A451&lt;&gt;"", COUNTIFS(Beans!A:A, A451, Beans!C:C, "Spicy" ), "")</f>
        <v>0</v>
      </c>
    </row>
    <row r="452">
      <c r="A452" s="34">
        <f t="shared" si="2"/>
        <v>45302</v>
      </c>
      <c r="B452" s="35">
        <f>if(A452&lt;&gt;"", COUNTIFS(Beans!A:A, A452), "")</f>
        <v>1</v>
      </c>
      <c r="C452" s="35">
        <f>if(A452&lt;&gt;"", COUNTIFS(Beans!A:A, A452, Beans!C:C, "Good" ), "")</f>
        <v>0</v>
      </c>
      <c r="D452" s="35">
        <f>if(A452&lt;&gt;"", COUNTIFS(Beans!A:A, A452, Beans!C:C, "Bad" ), "")</f>
        <v>1</v>
      </c>
      <c r="E452" s="35">
        <f>if(A452&lt;&gt;"", COUNTIFS(Beans!A:A, A452, Beans!C:C, "Spicy" ), "")</f>
        <v>0</v>
      </c>
    </row>
    <row r="453">
      <c r="A453" s="34">
        <f t="shared" si="2"/>
        <v>45303</v>
      </c>
      <c r="B453" s="35">
        <f>if(A453&lt;&gt;"", COUNTIFS(Beans!A:A, A453), "")</f>
        <v>2</v>
      </c>
      <c r="C453" s="35">
        <f>if(A453&lt;&gt;"", COUNTIFS(Beans!A:A, A453, Beans!C:C, "Good" ), "")</f>
        <v>1</v>
      </c>
      <c r="D453" s="35">
        <f>if(A453&lt;&gt;"", COUNTIFS(Beans!A:A, A453, Beans!C:C, "Bad" ), "")</f>
        <v>1</v>
      </c>
      <c r="E453" s="35">
        <f>if(A453&lt;&gt;"", COUNTIFS(Beans!A:A, A453, Beans!C:C, "Spicy" ), "")</f>
        <v>0</v>
      </c>
    </row>
    <row r="454">
      <c r="A454" s="34">
        <f t="shared" si="2"/>
        <v>45304</v>
      </c>
      <c r="B454" s="35">
        <f>if(A454&lt;&gt;"", COUNTIFS(Beans!A:A, A454), "")</f>
        <v>0</v>
      </c>
      <c r="C454" s="35">
        <f>if(A454&lt;&gt;"", COUNTIFS(Beans!A:A, A454, Beans!C:C, "Good" ), "")</f>
        <v>0</v>
      </c>
      <c r="D454" s="35">
        <f>if(A454&lt;&gt;"", COUNTIFS(Beans!A:A, A454, Beans!C:C, "Bad" ), "")</f>
        <v>0</v>
      </c>
      <c r="E454" s="35">
        <f>if(A454&lt;&gt;"", COUNTIFS(Beans!A:A, A454, Beans!C:C, "Spicy" ), "")</f>
        <v>0</v>
      </c>
    </row>
    <row r="455">
      <c r="A455" s="34">
        <f t="shared" si="2"/>
        <v>45305</v>
      </c>
      <c r="B455" s="35">
        <f>if(A455&lt;&gt;"", COUNTIFS(Beans!A:A, A455), "")</f>
        <v>0</v>
      </c>
      <c r="C455" s="35">
        <f>if(A455&lt;&gt;"", COUNTIFS(Beans!A:A, A455, Beans!C:C, "Good" ), "")</f>
        <v>0</v>
      </c>
      <c r="D455" s="35">
        <f>if(A455&lt;&gt;"", COUNTIFS(Beans!A:A, A455, Beans!C:C, "Bad" ), "")</f>
        <v>0</v>
      </c>
      <c r="E455" s="35">
        <f>if(A455&lt;&gt;"", COUNTIFS(Beans!A:A, A455, Beans!C:C, "Spicy" ), "")</f>
        <v>0</v>
      </c>
    </row>
    <row r="456">
      <c r="A456" s="34">
        <f t="shared" si="2"/>
        <v>45306</v>
      </c>
      <c r="B456" s="35">
        <f>if(A456&lt;&gt;"", COUNTIFS(Beans!A:A, A456), "")</f>
        <v>4</v>
      </c>
      <c r="C456" s="35">
        <f>if(A456&lt;&gt;"", COUNTIFS(Beans!A:A, A456, Beans!C:C, "Good" ), "")</f>
        <v>0</v>
      </c>
      <c r="D456" s="35">
        <f>if(A456&lt;&gt;"", COUNTIFS(Beans!A:A, A456, Beans!C:C, "Bad" ), "")</f>
        <v>4</v>
      </c>
      <c r="E456" s="35">
        <f>if(A456&lt;&gt;"", COUNTIFS(Beans!A:A, A456, Beans!C:C, "Spicy" ), "")</f>
        <v>0</v>
      </c>
    </row>
    <row r="457">
      <c r="A457" s="34">
        <f t="shared" si="2"/>
        <v>45307</v>
      </c>
      <c r="B457" s="35">
        <f>if(A457&lt;&gt;"", COUNTIFS(Beans!A:A, A457), "")</f>
        <v>0</v>
      </c>
      <c r="C457" s="35">
        <f>if(A457&lt;&gt;"", COUNTIFS(Beans!A:A, A457, Beans!C:C, "Good" ), "")</f>
        <v>0</v>
      </c>
      <c r="D457" s="35">
        <f>if(A457&lt;&gt;"", COUNTIFS(Beans!A:A, A457, Beans!C:C, "Bad" ), "")</f>
        <v>0</v>
      </c>
      <c r="E457" s="35">
        <f>if(A457&lt;&gt;"", COUNTIFS(Beans!A:A, A457, Beans!C:C, "Spicy" ), "")</f>
        <v>0</v>
      </c>
    </row>
    <row r="458">
      <c r="A458" s="34">
        <f t="shared" si="2"/>
        <v>45308</v>
      </c>
      <c r="B458" s="35">
        <f>if(A458&lt;&gt;"", COUNTIFS(Beans!A:A, A458), "")</f>
        <v>3</v>
      </c>
      <c r="C458" s="35">
        <f>if(A458&lt;&gt;"", COUNTIFS(Beans!A:A, A458, Beans!C:C, "Good" ), "")</f>
        <v>0</v>
      </c>
      <c r="D458" s="35">
        <f>if(A458&lt;&gt;"", COUNTIFS(Beans!A:A, A458, Beans!C:C, "Bad" ), "")</f>
        <v>3</v>
      </c>
      <c r="E458" s="35">
        <f>if(A458&lt;&gt;"", COUNTIFS(Beans!A:A, A458, Beans!C:C, "Spicy" ), "")</f>
        <v>0</v>
      </c>
    </row>
    <row r="459">
      <c r="A459" s="34">
        <f t="shared" si="2"/>
        <v>45309</v>
      </c>
      <c r="B459" s="35">
        <f>if(A459&lt;&gt;"", COUNTIFS(Beans!A:A, A459), "")</f>
        <v>0</v>
      </c>
      <c r="C459" s="35">
        <f>if(A459&lt;&gt;"", COUNTIFS(Beans!A:A, A459, Beans!C:C, "Good" ), "")</f>
        <v>0</v>
      </c>
      <c r="D459" s="35">
        <f>if(A459&lt;&gt;"", COUNTIFS(Beans!A:A, A459, Beans!C:C, "Bad" ), "")</f>
        <v>0</v>
      </c>
      <c r="E459" s="35">
        <f>if(A459&lt;&gt;"", COUNTIFS(Beans!A:A, A459, Beans!C:C, "Spicy" ), "")</f>
        <v>0</v>
      </c>
    </row>
    <row r="460">
      <c r="A460" s="34">
        <f t="shared" si="2"/>
        <v>45310</v>
      </c>
      <c r="B460" s="35">
        <f>if(A460&lt;&gt;"", COUNTIFS(Beans!A:A, A460), "")</f>
        <v>2</v>
      </c>
      <c r="C460" s="35">
        <f>if(A460&lt;&gt;"", COUNTIFS(Beans!A:A, A460, Beans!C:C, "Good" ), "")</f>
        <v>1</v>
      </c>
      <c r="D460" s="35">
        <f>if(A460&lt;&gt;"", COUNTIFS(Beans!A:A, A460, Beans!C:C, "Bad" ), "")</f>
        <v>1</v>
      </c>
      <c r="E460" s="35">
        <f>if(A460&lt;&gt;"", COUNTIFS(Beans!A:A, A460, Beans!C:C, "Spicy" ), "")</f>
        <v>0</v>
      </c>
    </row>
    <row r="461">
      <c r="A461" s="34">
        <f t="shared" si="2"/>
        <v>45311</v>
      </c>
      <c r="B461" s="35">
        <f>if(A461&lt;&gt;"", COUNTIFS(Beans!A:A, A461), "")</f>
        <v>0</v>
      </c>
      <c r="C461" s="35">
        <f>if(A461&lt;&gt;"", COUNTIFS(Beans!A:A, A461, Beans!C:C, "Good" ), "")</f>
        <v>0</v>
      </c>
      <c r="D461" s="35">
        <f>if(A461&lt;&gt;"", COUNTIFS(Beans!A:A, A461, Beans!C:C, "Bad" ), "")</f>
        <v>0</v>
      </c>
      <c r="E461" s="35">
        <f>if(A461&lt;&gt;"", COUNTIFS(Beans!A:A, A461, Beans!C:C, "Spicy" ), "")</f>
        <v>0</v>
      </c>
    </row>
    <row r="462">
      <c r="A462" s="34">
        <f t="shared" si="2"/>
        <v>45312</v>
      </c>
      <c r="B462" s="35">
        <f>if(A462&lt;&gt;"", COUNTIFS(Beans!A:A, A462), "")</f>
        <v>0</v>
      </c>
      <c r="C462" s="35">
        <f>if(A462&lt;&gt;"", COUNTIFS(Beans!A:A, A462, Beans!C:C, "Good" ), "")</f>
        <v>0</v>
      </c>
      <c r="D462" s="35">
        <f>if(A462&lt;&gt;"", COUNTIFS(Beans!A:A, A462, Beans!C:C, "Bad" ), "")</f>
        <v>0</v>
      </c>
      <c r="E462" s="35">
        <f>if(A462&lt;&gt;"", COUNTIFS(Beans!A:A, A462, Beans!C:C, "Spicy" ), "")</f>
        <v>0</v>
      </c>
    </row>
    <row r="463">
      <c r="A463" s="34">
        <f t="shared" si="2"/>
        <v>45313</v>
      </c>
      <c r="B463" s="35">
        <f>if(A463&lt;&gt;"", COUNTIFS(Beans!A:A, A463), "")</f>
        <v>3</v>
      </c>
      <c r="C463" s="35">
        <f>if(A463&lt;&gt;"", COUNTIFS(Beans!A:A, A463, Beans!C:C, "Good" ), "")</f>
        <v>1</v>
      </c>
      <c r="D463" s="35">
        <f>if(A463&lt;&gt;"", COUNTIFS(Beans!A:A, A463, Beans!C:C, "Bad" ), "")</f>
        <v>2</v>
      </c>
      <c r="E463" s="35">
        <f>if(A463&lt;&gt;"", COUNTIFS(Beans!A:A, A463, Beans!C:C, "Spicy" ), "")</f>
        <v>0</v>
      </c>
    </row>
    <row r="464">
      <c r="A464" s="34">
        <f t="shared" si="2"/>
        <v>45314</v>
      </c>
      <c r="B464" s="35">
        <f>if(A464&lt;&gt;"", COUNTIFS(Beans!A:A, A464), "")</f>
        <v>0</v>
      </c>
      <c r="C464" s="35">
        <f>if(A464&lt;&gt;"", COUNTIFS(Beans!A:A, A464, Beans!C:C, "Good" ), "")</f>
        <v>0</v>
      </c>
      <c r="D464" s="35">
        <f>if(A464&lt;&gt;"", COUNTIFS(Beans!A:A, A464, Beans!C:C, "Bad" ), "")</f>
        <v>0</v>
      </c>
      <c r="E464" s="35">
        <f>if(A464&lt;&gt;"", COUNTIFS(Beans!A:A, A464, Beans!C:C, "Spicy" ), "")</f>
        <v>0</v>
      </c>
    </row>
    <row r="465">
      <c r="A465" s="34">
        <f t="shared" si="2"/>
        <v>45315</v>
      </c>
      <c r="B465" s="35">
        <f>if(A465&lt;&gt;"", COUNTIFS(Beans!A:A, A465), "")</f>
        <v>3</v>
      </c>
      <c r="C465" s="35">
        <f>if(A465&lt;&gt;"", COUNTIFS(Beans!A:A, A465, Beans!C:C, "Good" ), "")</f>
        <v>0</v>
      </c>
      <c r="D465" s="35">
        <f>if(A465&lt;&gt;"", COUNTIFS(Beans!A:A, A465, Beans!C:C, "Bad" ), "")</f>
        <v>3</v>
      </c>
      <c r="E465" s="35">
        <f>if(A465&lt;&gt;"", COUNTIFS(Beans!A:A, A465, Beans!C:C, "Spicy" ), "")</f>
        <v>0</v>
      </c>
    </row>
    <row r="466">
      <c r="A466" s="34">
        <f t="shared" si="2"/>
        <v>45316</v>
      </c>
      <c r="B466" s="35">
        <f>if(A466&lt;&gt;"", COUNTIFS(Beans!A:A, A466), "")</f>
        <v>6</v>
      </c>
      <c r="C466" s="35">
        <f>if(A466&lt;&gt;"", COUNTIFS(Beans!A:A, A466, Beans!C:C, "Good" ), "")</f>
        <v>1</v>
      </c>
      <c r="D466" s="35">
        <f>if(A466&lt;&gt;"", COUNTIFS(Beans!A:A, A466, Beans!C:C, "Bad" ), "")</f>
        <v>5</v>
      </c>
      <c r="E466" s="35">
        <f>if(A466&lt;&gt;"", COUNTIFS(Beans!A:A, A466, Beans!C:C, "Spicy" ), "")</f>
        <v>0</v>
      </c>
    </row>
    <row r="467">
      <c r="A467" s="34">
        <f t="shared" si="2"/>
        <v>45317</v>
      </c>
      <c r="B467" s="35">
        <f>if(A467&lt;&gt;"", COUNTIFS(Beans!A:A, A467), "")</f>
        <v>0</v>
      </c>
      <c r="C467" s="35">
        <f>if(A467&lt;&gt;"", COUNTIFS(Beans!A:A, A467, Beans!C:C, "Good" ), "")</f>
        <v>0</v>
      </c>
      <c r="D467" s="35">
        <f>if(A467&lt;&gt;"", COUNTIFS(Beans!A:A, A467, Beans!C:C, "Bad" ), "")</f>
        <v>0</v>
      </c>
      <c r="E467" s="35">
        <f>if(A467&lt;&gt;"", COUNTIFS(Beans!A:A, A467, Beans!C:C, "Spicy" ), "")</f>
        <v>0</v>
      </c>
    </row>
    <row r="468">
      <c r="A468" s="34">
        <f t="shared" si="2"/>
        <v>45318</v>
      </c>
      <c r="B468" s="35">
        <f>if(A468&lt;&gt;"", COUNTIFS(Beans!A:A, A468), "")</f>
        <v>0</v>
      </c>
      <c r="C468" s="35">
        <f>if(A468&lt;&gt;"", COUNTIFS(Beans!A:A, A468, Beans!C:C, "Good" ), "")</f>
        <v>0</v>
      </c>
      <c r="D468" s="35">
        <f>if(A468&lt;&gt;"", COUNTIFS(Beans!A:A, A468, Beans!C:C, "Bad" ), "")</f>
        <v>0</v>
      </c>
      <c r="E468" s="35">
        <f>if(A468&lt;&gt;"", COUNTIFS(Beans!A:A, A468, Beans!C:C, "Spicy" ), "")</f>
        <v>0</v>
      </c>
    </row>
    <row r="469">
      <c r="A469" s="34">
        <f t="shared" si="2"/>
        <v>45319</v>
      </c>
      <c r="B469" s="35">
        <f>if(A469&lt;&gt;"", COUNTIFS(Beans!A:A, A469), "")</f>
        <v>0</v>
      </c>
      <c r="C469" s="35">
        <f>if(A469&lt;&gt;"", COUNTIFS(Beans!A:A, A469, Beans!C:C, "Good" ), "")</f>
        <v>0</v>
      </c>
      <c r="D469" s="35">
        <f>if(A469&lt;&gt;"", COUNTIFS(Beans!A:A, A469, Beans!C:C, "Bad" ), "")</f>
        <v>0</v>
      </c>
      <c r="E469" s="35">
        <f>if(A469&lt;&gt;"", COUNTIFS(Beans!A:A, A469, Beans!C:C, "Spicy" ), "")</f>
        <v>0</v>
      </c>
    </row>
    <row r="470">
      <c r="A470" s="34">
        <f t="shared" si="2"/>
        <v>45320</v>
      </c>
      <c r="B470" s="35">
        <f>if(A470&lt;&gt;"", COUNTIFS(Beans!A:A, A470), "")</f>
        <v>0</v>
      </c>
      <c r="C470" s="35">
        <f>if(A470&lt;&gt;"", COUNTIFS(Beans!A:A, A470, Beans!C:C, "Good" ), "")</f>
        <v>0</v>
      </c>
      <c r="D470" s="35">
        <f>if(A470&lt;&gt;"", COUNTIFS(Beans!A:A, A470, Beans!C:C, "Bad" ), "")</f>
        <v>0</v>
      </c>
      <c r="E470" s="35">
        <f>if(A470&lt;&gt;"", COUNTIFS(Beans!A:A, A470, Beans!C:C, "Spicy" ), "")</f>
        <v>0</v>
      </c>
    </row>
    <row r="471">
      <c r="A471" s="34">
        <f t="shared" si="2"/>
        <v>45321</v>
      </c>
      <c r="B471" s="35">
        <f>if(A471&lt;&gt;"", COUNTIFS(Beans!A:A, A471), "")</f>
        <v>0</v>
      </c>
      <c r="C471" s="35">
        <f>if(A471&lt;&gt;"", COUNTIFS(Beans!A:A, A471, Beans!C:C, "Good" ), "")</f>
        <v>0</v>
      </c>
      <c r="D471" s="35">
        <f>if(A471&lt;&gt;"", COUNTIFS(Beans!A:A, A471, Beans!C:C, "Bad" ), "")</f>
        <v>0</v>
      </c>
      <c r="E471" s="35">
        <f>if(A471&lt;&gt;"", COUNTIFS(Beans!A:A, A471, Beans!C:C, "Spicy" ), "")</f>
        <v>0</v>
      </c>
    </row>
    <row r="472">
      <c r="A472" s="34">
        <f t="shared" si="2"/>
        <v>45322</v>
      </c>
      <c r="B472" s="35">
        <f>if(A472&lt;&gt;"", COUNTIFS(Beans!A:A, A472), "")</f>
        <v>3</v>
      </c>
      <c r="C472" s="35">
        <f>if(A472&lt;&gt;"", COUNTIFS(Beans!A:A, A472, Beans!C:C, "Good" ), "")</f>
        <v>1</v>
      </c>
      <c r="D472" s="35">
        <f>if(A472&lt;&gt;"", COUNTIFS(Beans!A:A, A472, Beans!C:C, "Bad" ), "")</f>
        <v>2</v>
      </c>
      <c r="E472" s="35">
        <f>if(A472&lt;&gt;"", COUNTIFS(Beans!A:A, A472, Beans!C:C, "Spicy" ), "")</f>
        <v>0</v>
      </c>
    </row>
    <row r="473">
      <c r="A473" s="34">
        <f t="shared" si="2"/>
        <v>45323</v>
      </c>
      <c r="B473" s="35">
        <f>if(A473&lt;&gt;"", COUNTIFS(Beans!A:A, A473), "")</f>
        <v>1</v>
      </c>
      <c r="C473" s="35">
        <f>if(A473&lt;&gt;"", COUNTIFS(Beans!A:A, A473, Beans!C:C, "Good" ), "")</f>
        <v>0</v>
      </c>
      <c r="D473" s="35">
        <f>if(A473&lt;&gt;"", COUNTIFS(Beans!A:A, A473, Beans!C:C, "Bad" ), "")</f>
        <v>1</v>
      </c>
      <c r="E473" s="35">
        <f>if(A473&lt;&gt;"", COUNTIFS(Beans!A:A, A473, Beans!C:C, "Spicy" ), "")</f>
        <v>0</v>
      </c>
    </row>
    <row r="474">
      <c r="A474" s="34">
        <f t="shared" si="2"/>
        <v>45324</v>
      </c>
      <c r="B474" s="35">
        <f>if(A474&lt;&gt;"", COUNTIFS(Beans!A:A, A474), "")</f>
        <v>1</v>
      </c>
      <c r="C474" s="35">
        <f>if(A474&lt;&gt;"", COUNTIFS(Beans!A:A, A474, Beans!C:C, "Good" ), "")</f>
        <v>0</v>
      </c>
      <c r="D474" s="35">
        <f>if(A474&lt;&gt;"", COUNTIFS(Beans!A:A, A474, Beans!C:C, "Bad" ), "")</f>
        <v>1</v>
      </c>
      <c r="E474" s="35">
        <f>if(A474&lt;&gt;"", COUNTIFS(Beans!A:A, A474, Beans!C:C, "Spicy" ), "")</f>
        <v>0</v>
      </c>
    </row>
    <row r="475">
      <c r="A475" s="34">
        <f t="shared" si="2"/>
        <v>45325</v>
      </c>
      <c r="B475" s="35">
        <f>if(A475&lt;&gt;"", COUNTIFS(Beans!A:A, A475), "")</f>
        <v>0</v>
      </c>
      <c r="C475" s="35">
        <f>if(A475&lt;&gt;"", COUNTIFS(Beans!A:A, A475, Beans!C:C, "Good" ), "")</f>
        <v>0</v>
      </c>
      <c r="D475" s="35">
        <f>if(A475&lt;&gt;"", COUNTIFS(Beans!A:A, A475, Beans!C:C, "Bad" ), "")</f>
        <v>0</v>
      </c>
      <c r="E475" s="35">
        <f>if(A475&lt;&gt;"", COUNTIFS(Beans!A:A, A475, Beans!C:C, "Spicy" ), "")</f>
        <v>0</v>
      </c>
    </row>
    <row r="476">
      <c r="A476" s="34">
        <f t="shared" si="2"/>
        <v>45326</v>
      </c>
      <c r="B476" s="35">
        <f>if(A476&lt;&gt;"", COUNTIFS(Beans!A:A, A476), "")</f>
        <v>0</v>
      </c>
      <c r="C476" s="35">
        <f>if(A476&lt;&gt;"", COUNTIFS(Beans!A:A, A476, Beans!C:C, "Good" ), "")</f>
        <v>0</v>
      </c>
      <c r="D476" s="35">
        <f>if(A476&lt;&gt;"", COUNTIFS(Beans!A:A, A476, Beans!C:C, "Bad" ), "")</f>
        <v>0</v>
      </c>
      <c r="E476" s="35">
        <f>if(A476&lt;&gt;"", COUNTIFS(Beans!A:A, A476, Beans!C:C, "Spicy" ), "")</f>
        <v>0</v>
      </c>
    </row>
    <row r="477">
      <c r="A477" s="34">
        <f t="shared" si="2"/>
        <v>45327</v>
      </c>
      <c r="B477" s="35">
        <f>if(A477&lt;&gt;"", COUNTIFS(Beans!A:A, A477), "")</f>
        <v>2</v>
      </c>
      <c r="C477" s="35">
        <f>if(A477&lt;&gt;"", COUNTIFS(Beans!A:A, A477, Beans!C:C, "Good" ), "")</f>
        <v>0</v>
      </c>
      <c r="D477" s="35">
        <f>if(A477&lt;&gt;"", COUNTIFS(Beans!A:A, A477, Beans!C:C, "Bad" ), "")</f>
        <v>2</v>
      </c>
      <c r="E477" s="35">
        <f>if(A477&lt;&gt;"", COUNTIFS(Beans!A:A, A477, Beans!C:C, "Spicy" ), "")</f>
        <v>0</v>
      </c>
    </row>
    <row r="478">
      <c r="A478" s="34">
        <f t="shared" si="2"/>
        <v>45328</v>
      </c>
      <c r="B478" s="35">
        <f>if(A478&lt;&gt;"", COUNTIFS(Beans!A:A, A478), "")</f>
        <v>0</v>
      </c>
      <c r="C478" s="35">
        <f>if(A478&lt;&gt;"", COUNTIFS(Beans!A:A, A478, Beans!C:C, "Good" ), "")</f>
        <v>0</v>
      </c>
      <c r="D478" s="35">
        <f>if(A478&lt;&gt;"", COUNTIFS(Beans!A:A, A478, Beans!C:C, "Bad" ), "")</f>
        <v>0</v>
      </c>
      <c r="E478" s="35">
        <f>if(A478&lt;&gt;"", COUNTIFS(Beans!A:A, A478, Beans!C:C, "Spicy" ), "")</f>
        <v>0</v>
      </c>
    </row>
    <row r="479">
      <c r="A479" s="34">
        <f t="shared" si="2"/>
        <v>45329</v>
      </c>
      <c r="B479" s="35">
        <f>if(A479&lt;&gt;"", COUNTIFS(Beans!A:A, A479), "")</f>
        <v>0</v>
      </c>
      <c r="C479" s="35">
        <f>if(A479&lt;&gt;"", COUNTIFS(Beans!A:A, A479, Beans!C:C, "Good" ), "")</f>
        <v>0</v>
      </c>
      <c r="D479" s="35">
        <f>if(A479&lt;&gt;"", COUNTIFS(Beans!A:A, A479, Beans!C:C, "Bad" ), "")</f>
        <v>0</v>
      </c>
      <c r="E479" s="35">
        <f>if(A479&lt;&gt;"", COUNTIFS(Beans!A:A, A479, Beans!C:C, "Spicy" ), "")</f>
        <v>0</v>
      </c>
    </row>
    <row r="480">
      <c r="A480" s="34">
        <f t="shared" si="2"/>
        <v>45330</v>
      </c>
      <c r="B480" s="35">
        <f>if(A480&lt;&gt;"", COUNTIFS(Beans!A:A, A480), "")</f>
        <v>1</v>
      </c>
      <c r="C480" s="35">
        <f>if(A480&lt;&gt;"", COUNTIFS(Beans!A:A, A480, Beans!C:C, "Good" ), "")</f>
        <v>0</v>
      </c>
      <c r="D480" s="35">
        <f>if(A480&lt;&gt;"", COUNTIFS(Beans!A:A, A480, Beans!C:C, "Bad" ), "")</f>
        <v>1</v>
      </c>
      <c r="E480" s="35">
        <f>if(A480&lt;&gt;"", COUNTIFS(Beans!A:A, A480, Beans!C:C, "Spicy" ), "")</f>
        <v>0</v>
      </c>
    </row>
    <row r="481">
      <c r="A481" s="34">
        <f t="shared" si="2"/>
        <v>45331</v>
      </c>
      <c r="B481" s="35">
        <f>if(A481&lt;&gt;"", COUNTIFS(Beans!A:A, A481), "")</f>
        <v>2</v>
      </c>
      <c r="C481" s="35">
        <f>if(A481&lt;&gt;"", COUNTIFS(Beans!A:A, A481, Beans!C:C, "Good" ), "")</f>
        <v>2</v>
      </c>
      <c r="D481" s="35">
        <f>if(A481&lt;&gt;"", COUNTIFS(Beans!A:A, A481, Beans!C:C, "Bad" ), "")</f>
        <v>0</v>
      </c>
      <c r="E481" s="35">
        <f>if(A481&lt;&gt;"", COUNTIFS(Beans!A:A, A481, Beans!C:C, "Spicy" ), "")</f>
        <v>0</v>
      </c>
    </row>
    <row r="482">
      <c r="A482" s="34">
        <f t="shared" si="2"/>
        <v>45332</v>
      </c>
      <c r="B482" s="35">
        <f>if(A482&lt;&gt;"", COUNTIFS(Beans!A:A, A482), "")</f>
        <v>0</v>
      </c>
      <c r="C482" s="35">
        <f>if(A482&lt;&gt;"", COUNTIFS(Beans!A:A, A482, Beans!C:C, "Good" ), "")</f>
        <v>0</v>
      </c>
      <c r="D482" s="35">
        <f>if(A482&lt;&gt;"", COUNTIFS(Beans!A:A, A482, Beans!C:C, "Bad" ), "")</f>
        <v>0</v>
      </c>
      <c r="E482" s="35">
        <f>if(A482&lt;&gt;"", COUNTIFS(Beans!A:A, A482, Beans!C:C, "Spicy" ), "")</f>
        <v>0</v>
      </c>
    </row>
    <row r="483">
      <c r="A483" s="34">
        <f t="shared" si="2"/>
        <v>45333</v>
      </c>
      <c r="B483" s="35">
        <f>if(A483&lt;&gt;"", COUNTIFS(Beans!A:A, A483), "")</f>
        <v>0</v>
      </c>
      <c r="C483" s="35">
        <f>if(A483&lt;&gt;"", COUNTIFS(Beans!A:A, A483, Beans!C:C, "Good" ), "")</f>
        <v>0</v>
      </c>
      <c r="D483" s="35">
        <f>if(A483&lt;&gt;"", COUNTIFS(Beans!A:A, A483, Beans!C:C, "Bad" ), "")</f>
        <v>0</v>
      </c>
      <c r="E483" s="35">
        <f>if(A483&lt;&gt;"", COUNTIFS(Beans!A:A, A483, Beans!C:C, "Spicy" ), "")</f>
        <v>0</v>
      </c>
    </row>
    <row r="484">
      <c r="A484" s="34">
        <f t="shared" si="2"/>
        <v>45334</v>
      </c>
      <c r="B484" s="35">
        <f>if(A484&lt;&gt;"", COUNTIFS(Beans!A:A, A484), "")</f>
        <v>1</v>
      </c>
      <c r="C484" s="35">
        <f>if(A484&lt;&gt;"", COUNTIFS(Beans!A:A, A484, Beans!C:C, "Good" ), "")</f>
        <v>0</v>
      </c>
      <c r="D484" s="35">
        <f>if(A484&lt;&gt;"", COUNTIFS(Beans!A:A, A484, Beans!C:C, "Bad" ), "")</f>
        <v>1</v>
      </c>
      <c r="E484" s="35">
        <f>if(A484&lt;&gt;"", COUNTIFS(Beans!A:A, A484, Beans!C:C, "Spicy" ), "")</f>
        <v>0</v>
      </c>
    </row>
    <row r="485">
      <c r="A485" s="34">
        <f t="shared" si="2"/>
        <v>45335</v>
      </c>
      <c r="B485" s="35">
        <f>if(A485&lt;&gt;"", COUNTIFS(Beans!A:A, A485), "")</f>
        <v>0</v>
      </c>
      <c r="C485" s="35">
        <f>if(A485&lt;&gt;"", COUNTIFS(Beans!A:A, A485, Beans!C:C, "Good" ), "")</f>
        <v>0</v>
      </c>
      <c r="D485" s="35">
        <f>if(A485&lt;&gt;"", COUNTIFS(Beans!A:A, A485, Beans!C:C, "Bad" ), "")</f>
        <v>0</v>
      </c>
      <c r="E485" s="35">
        <f>if(A485&lt;&gt;"", COUNTIFS(Beans!A:A, A485, Beans!C:C, "Spicy" ), "")</f>
        <v>0</v>
      </c>
    </row>
    <row r="486">
      <c r="A486" s="34">
        <f t="shared" si="2"/>
        <v>45336</v>
      </c>
      <c r="B486" s="35">
        <f>if(A486&lt;&gt;"", COUNTIFS(Beans!A:A, A486), "")</f>
        <v>3</v>
      </c>
      <c r="C486" s="35">
        <f>if(A486&lt;&gt;"", COUNTIFS(Beans!A:A, A486, Beans!C:C, "Good" ), "")</f>
        <v>1</v>
      </c>
      <c r="D486" s="35">
        <f>if(A486&lt;&gt;"", COUNTIFS(Beans!A:A, A486, Beans!C:C, "Bad" ), "")</f>
        <v>2</v>
      </c>
      <c r="E486" s="35">
        <f>if(A486&lt;&gt;"", COUNTIFS(Beans!A:A, A486, Beans!C:C, "Spicy" ), "")</f>
        <v>0</v>
      </c>
    </row>
    <row r="487">
      <c r="A487" s="34">
        <f t="shared" si="2"/>
        <v>45337</v>
      </c>
      <c r="B487" s="35">
        <f>if(A487&lt;&gt;"", COUNTIFS(Beans!A:A, A487), "")</f>
        <v>2</v>
      </c>
      <c r="C487" s="35">
        <f>if(A487&lt;&gt;"", COUNTIFS(Beans!A:A, A487, Beans!C:C, "Good" ), "")</f>
        <v>0</v>
      </c>
      <c r="D487" s="35">
        <f>if(A487&lt;&gt;"", COUNTIFS(Beans!A:A, A487, Beans!C:C, "Bad" ), "")</f>
        <v>2</v>
      </c>
      <c r="E487" s="35">
        <f>if(A487&lt;&gt;"", COUNTIFS(Beans!A:A, A487, Beans!C:C, "Spicy" ), "")</f>
        <v>0</v>
      </c>
    </row>
    <row r="488">
      <c r="A488" s="34">
        <f t="shared" si="2"/>
        <v>45338</v>
      </c>
      <c r="B488" s="35">
        <f>if(A488&lt;&gt;"", COUNTIFS(Beans!A:A, A488), "")</f>
        <v>1</v>
      </c>
      <c r="C488" s="35">
        <f>if(A488&lt;&gt;"", COUNTIFS(Beans!A:A, A488, Beans!C:C, "Good" ), "")</f>
        <v>0</v>
      </c>
      <c r="D488" s="35">
        <f>if(A488&lt;&gt;"", COUNTIFS(Beans!A:A, A488, Beans!C:C, "Bad" ), "")</f>
        <v>1</v>
      </c>
      <c r="E488" s="35">
        <f>if(A488&lt;&gt;"", COUNTIFS(Beans!A:A, A488, Beans!C:C, "Spicy" ), "")</f>
        <v>0</v>
      </c>
    </row>
    <row r="489">
      <c r="A489" s="34">
        <f t="shared" si="2"/>
        <v>45339</v>
      </c>
      <c r="B489" s="35">
        <f>if(A489&lt;&gt;"", COUNTIFS(Beans!A:A, A489), "")</f>
        <v>0</v>
      </c>
      <c r="C489" s="35">
        <f>if(A489&lt;&gt;"", COUNTIFS(Beans!A:A, A489, Beans!C:C, "Good" ), "")</f>
        <v>0</v>
      </c>
      <c r="D489" s="35">
        <f>if(A489&lt;&gt;"", COUNTIFS(Beans!A:A, A489, Beans!C:C, "Bad" ), "")</f>
        <v>0</v>
      </c>
      <c r="E489" s="35">
        <f>if(A489&lt;&gt;"", COUNTIFS(Beans!A:A, A489, Beans!C:C, "Spicy" ), "")</f>
        <v>0</v>
      </c>
    </row>
    <row r="490">
      <c r="A490" s="34">
        <f t="shared" si="2"/>
        <v>45340</v>
      </c>
      <c r="B490" s="35">
        <f>if(A490&lt;&gt;"", COUNTIFS(Beans!A:A, A490), "")</f>
        <v>0</v>
      </c>
      <c r="C490" s="35">
        <f>if(A490&lt;&gt;"", COUNTIFS(Beans!A:A, A490, Beans!C:C, "Good" ), "")</f>
        <v>0</v>
      </c>
      <c r="D490" s="35">
        <f>if(A490&lt;&gt;"", COUNTIFS(Beans!A:A, A490, Beans!C:C, "Bad" ), "")</f>
        <v>0</v>
      </c>
      <c r="E490" s="35">
        <f>if(A490&lt;&gt;"", COUNTIFS(Beans!A:A, A490, Beans!C:C, "Spicy" ), "")</f>
        <v>0</v>
      </c>
    </row>
    <row r="491">
      <c r="A491" s="34">
        <f t="shared" si="2"/>
        <v>45341</v>
      </c>
      <c r="B491" s="35">
        <f>if(A491&lt;&gt;"", COUNTIFS(Beans!A:A, A491), "")</f>
        <v>0</v>
      </c>
      <c r="C491" s="35">
        <f>if(A491&lt;&gt;"", COUNTIFS(Beans!A:A, A491, Beans!C:C, "Good" ), "")</f>
        <v>0</v>
      </c>
      <c r="D491" s="35">
        <f>if(A491&lt;&gt;"", COUNTIFS(Beans!A:A, A491, Beans!C:C, "Bad" ), "")</f>
        <v>0</v>
      </c>
      <c r="E491" s="35">
        <f>if(A491&lt;&gt;"", COUNTIFS(Beans!A:A, A491, Beans!C:C, "Spicy" ), "")</f>
        <v>0</v>
      </c>
    </row>
    <row r="492">
      <c r="A492" s="34">
        <f t="shared" si="2"/>
        <v>45342</v>
      </c>
      <c r="B492" s="35">
        <f>if(A492&lt;&gt;"", COUNTIFS(Beans!A:A, A492), "")</f>
        <v>0</v>
      </c>
      <c r="C492" s="35">
        <f>if(A492&lt;&gt;"", COUNTIFS(Beans!A:A, A492, Beans!C:C, "Good" ), "")</f>
        <v>0</v>
      </c>
      <c r="D492" s="35">
        <f>if(A492&lt;&gt;"", COUNTIFS(Beans!A:A, A492, Beans!C:C, "Bad" ), "")</f>
        <v>0</v>
      </c>
      <c r="E492" s="35">
        <f>if(A492&lt;&gt;"", COUNTIFS(Beans!A:A, A492, Beans!C:C, "Spicy" ), "")</f>
        <v>0</v>
      </c>
    </row>
    <row r="493">
      <c r="A493" s="34">
        <f t="shared" si="2"/>
        <v>45343</v>
      </c>
      <c r="B493" s="35">
        <f>if(A493&lt;&gt;"", COUNTIFS(Beans!A:A, A493), "")</f>
        <v>2</v>
      </c>
      <c r="C493" s="35">
        <f>if(A493&lt;&gt;"", COUNTIFS(Beans!A:A, A493, Beans!C:C, "Good" ), "")</f>
        <v>0</v>
      </c>
      <c r="D493" s="35">
        <f>if(A493&lt;&gt;"", COUNTIFS(Beans!A:A, A493, Beans!C:C, "Bad" ), "")</f>
        <v>2</v>
      </c>
      <c r="E493" s="35">
        <f>if(A493&lt;&gt;"", COUNTIFS(Beans!A:A, A493, Beans!C:C, "Spicy" ), "")</f>
        <v>0</v>
      </c>
    </row>
    <row r="494">
      <c r="A494" s="34">
        <f t="shared" si="2"/>
        <v>45344</v>
      </c>
      <c r="B494" s="35">
        <f>if(A494&lt;&gt;"", COUNTIFS(Beans!A:A, A494), "")</f>
        <v>2</v>
      </c>
      <c r="C494" s="35">
        <f>if(A494&lt;&gt;"", COUNTIFS(Beans!A:A, A494, Beans!C:C, "Good" ), "")</f>
        <v>1</v>
      </c>
      <c r="D494" s="35">
        <f>if(A494&lt;&gt;"", COUNTIFS(Beans!A:A, A494, Beans!C:C, "Bad" ), "")</f>
        <v>1</v>
      </c>
      <c r="E494" s="35">
        <f>if(A494&lt;&gt;"", COUNTIFS(Beans!A:A, A494, Beans!C:C, "Spicy" ), "")</f>
        <v>0</v>
      </c>
    </row>
    <row r="495">
      <c r="A495" s="34">
        <f t="shared" si="2"/>
        <v>45345</v>
      </c>
      <c r="B495" s="35">
        <f>if(A495&lt;&gt;"", COUNTIFS(Beans!A:A, A495), "")</f>
        <v>5</v>
      </c>
      <c r="C495" s="35">
        <f>if(A495&lt;&gt;"", COUNTIFS(Beans!A:A, A495, Beans!C:C, "Good" ), "")</f>
        <v>3</v>
      </c>
      <c r="D495" s="35">
        <f>if(A495&lt;&gt;"", COUNTIFS(Beans!A:A, A495, Beans!C:C, "Bad" ), "")</f>
        <v>2</v>
      </c>
      <c r="E495" s="35">
        <f>if(A495&lt;&gt;"", COUNTIFS(Beans!A:A, A495, Beans!C:C, "Spicy" ), "")</f>
        <v>0</v>
      </c>
    </row>
    <row r="496">
      <c r="A496" s="34">
        <f t="shared" si="2"/>
        <v>45346</v>
      </c>
      <c r="B496" s="35">
        <f>if(A496&lt;&gt;"", COUNTIFS(Beans!A:A, A496), "")</f>
        <v>0</v>
      </c>
      <c r="C496" s="35">
        <f>if(A496&lt;&gt;"", COUNTIFS(Beans!A:A, A496, Beans!C:C, "Good" ), "")</f>
        <v>0</v>
      </c>
      <c r="D496" s="35">
        <f>if(A496&lt;&gt;"", COUNTIFS(Beans!A:A, A496, Beans!C:C, "Bad" ), "")</f>
        <v>0</v>
      </c>
      <c r="E496" s="35">
        <f>if(A496&lt;&gt;"", COUNTIFS(Beans!A:A, A496, Beans!C:C, "Spicy" ), "")</f>
        <v>0</v>
      </c>
    </row>
    <row r="497">
      <c r="A497" s="34">
        <f t="shared" si="2"/>
        <v>45347</v>
      </c>
      <c r="B497" s="35">
        <f>if(A497&lt;&gt;"", COUNTIFS(Beans!A:A, A497), "")</f>
        <v>0</v>
      </c>
      <c r="C497" s="35">
        <f>if(A497&lt;&gt;"", COUNTIFS(Beans!A:A, A497, Beans!C:C, "Good" ), "")</f>
        <v>0</v>
      </c>
      <c r="D497" s="35">
        <f>if(A497&lt;&gt;"", COUNTIFS(Beans!A:A, A497, Beans!C:C, "Bad" ), "")</f>
        <v>0</v>
      </c>
      <c r="E497" s="35">
        <f>if(A497&lt;&gt;"", COUNTIFS(Beans!A:A, A497, Beans!C:C, "Spicy" ), "")</f>
        <v>0</v>
      </c>
    </row>
    <row r="498">
      <c r="A498" s="34">
        <f t="shared" si="2"/>
        <v>45348</v>
      </c>
      <c r="B498" s="35">
        <f>if(A498&lt;&gt;"", COUNTIFS(Beans!A:A, A498), "")</f>
        <v>1</v>
      </c>
      <c r="C498" s="35">
        <f>if(A498&lt;&gt;"", COUNTIFS(Beans!A:A, A498, Beans!C:C, "Good" ), "")</f>
        <v>1</v>
      </c>
      <c r="D498" s="35">
        <f>if(A498&lt;&gt;"", COUNTIFS(Beans!A:A, A498, Beans!C:C, "Bad" ), "")</f>
        <v>0</v>
      </c>
      <c r="E498" s="35">
        <f>if(A498&lt;&gt;"", COUNTIFS(Beans!A:A, A498, Beans!C:C, "Spicy" ), "")</f>
        <v>0</v>
      </c>
    </row>
    <row r="499">
      <c r="A499" s="34">
        <f t="shared" si="2"/>
        <v>45349</v>
      </c>
      <c r="B499" s="35">
        <f>if(A499&lt;&gt;"", COUNTIFS(Beans!A:A, A499), "")</f>
        <v>0</v>
      </c>
      <c r="C499" s="35">
        <f>if(A499&lt;&gt;"", COUNTIFS(Beans!A:A, A499, Beans!C:C, "Good" ), "")</f>
        <v>0</v>
      </c>
      <c r="D499" s="35">
        <f>if(A499&lt;&gt;"", COUNTIFS(Beans!A:A, A499, Beans!C:C, "Bad" ), "")</f>
        <v>0</v>
      </c>
      <c r="E499" s="35">
        <f>if(A499&lt;&gt;"", COUNTIFS(Beans!A:A, A499, Beans!C:C, "Spicy" ), "")</f>
        <v>0</v>
      </c>
    </row>
    <row r="500">
      <c r="A500" s="34">
        <f t="shared" si="2"/>
        <v>45350</v>
      </c>
      <c r="B500" s="35">
        <f>if(A500&lt;&gt;"", COUNTIFS(Beans!A:A, A500), "")</f>
        <v>3</v>
      </c>
      <c r="C500" s="35">
        <f>if(A500&lt;&gt;"", COUNTIFS(Beans!A:A, A500, Beans!C:C, "Good" ), "")</f>
        <v>0</v>
      </c>
      <c r="D500" s="35">
        <f>if(A500&lt;&gt;"", COUNTIFS(Beans!A:A, A500, Beans!C:C, "Bad" ), "")</f>
        <v>3</v>
      </c>
      <c r="E500" s="35">
        <f>if(A500&lt;&gt;"", COUNTIFS(Beans!A:A, A500, Beans!C:C, "Spicy" ), "")</f>
        <v>0</v>
      </c>
    </row>
    <row r="501">
      <c r="A501" s="34">
        <f t="shared" si="2"/>
        <v>45351</v>
      </c>
      <c r="B501" s="35">
        <f>if(A501&lt;&gt;"", COUNTIFS(Beans!A:A, A501), "")</f>
        <v>2</v>
      </c>
      <c r="C501" s="35">
        <f>if(A501&lt;&gt;"", COUNTIFS(Beans!A:A, A501, Beans!C:C, "Good" ), "")</f>
        <v>1</v>
      </c>
      <c r="D501" s="35">
        <f>if(A501&lt;&gt;"", COUNTIFS(Beans!A:A, A501, Beans!C:C, "Bad" ), "")</f>
        <v>1</v>
      </c>
      <c r="E501" s="35">
        <f>if(A501&lt;&gt;"", COUNTIFS(Beans!A:A, A501, Beans!C:C, "Spicy" ), "")</f>
        <v>0</v>
      </c>
    </row>
    <row r="502">
      <c r="A502" s="34">
        <f t="shared" si="2"/>
        <v>45352</v>
      </c>
      <c r="B502" s="35">
        <f>if(A502&lt;&gt;"", COUNTIFS(Beans!A:A, A502), "")</f>
        <v>8</v>
      </c>
      <c r="C502" s="35">
        <f>if(A502&lt;&gt;"", COUNTIFS(Beans!A:A, A502, Beans!C:C, "Good" ), "")</f>
        <v>4</v>
      </c>
      <c r="D502" s="35">
        <f>if(A502&lt;&gt;"", COUNTIFS(Beans!A:A, A502, Beans!C:C, "Bad" ), "")</f>
        <v>4</v>
      </c>
      <c r="E502" s="35">
        <f>if(A502&lt;&gt;"", COUNTIFS(Beans!A:A, A502, Beans!C:C, "Spicy" ), "")</f>
        <v>0</v>
      </c>
    </row>
    <row r="503">
      <c r="A503" s="34">
        <f t="shared" si="2"/>
        <v>45353</v>
      </c>
      <c r="B503" s="35">
        <f>if(A503&lt;&gt;"", COUNTIFS(Beans!A:A, A503), "")</f>
        <v>0</v>
      </c>
      <c r="C503" s="35">
        <f>if(A503&lt;&gt;"", COUNTIFS(Beans!A:A, A503, Beans!C:C, "Good" ), "")</f>
        <v>0</v>
      </c>
      <c r="D503" s="35">
        <f>if(A503&lt;&gt;"", COUNTIFS(Beans!A:A, A503, Beans!C:C, "Bad" ), "")</f>
        <v>0</v>
      </c>
      <c r="E503" s="35">
        <f>if(A503&lt;&gt;"", COUNTIFS(Beans!A:A, A503, Beans!C:C, "Spicy" ), "")</f>
        <v>0</v>
      </c>
    </row>
    <row r="504">
      <c r="A504" s="34">
        <f t="shared" si="2"/>
        <v>45354</v>
      </c>
      <c r="B504" s="35">
        <f>if(A504&lt;&gt;"", COUNTIFS(Beans!A:A, A504), "")</f>
        <v>0</v>
      </c>
      <c r="C504" s="35">
        <f>if(A504&lt;&gt;"", COUNTIFS(Beans!A:A, A504, Beans!C:C, "Good" ), "")</f>
        <v>0</v>
      </c>
      <c r="D504" s="35">
        <f>if(A504&lt;&gt;"", COUNTIFS(Beans!A:A, A504, Beans!C:C, "Bad" ), "")</f>
        <v>0</v>
      </c>
      <c r="E504" s="35">
        <f>if(A504&lt;&gt;"", COUNTIFS(Beans!A:A, A504, Beans!C:C, "Spicy" ), "")</f>
        <v>0</v>
      </c>
    </row>
    <row r="505">
      <c r="A505" s="34">
        <f t="shared" si="2"/>
        <v>45355</v>
      </c>
      <c r="B505" s="35">
        <f>if(A505&lt;&gt;"", COUNTIFS(Beans!A:A, A505), "")</f>
        <v>1</v>
      </c>
      <c r="C505" s="35">
        <f>if(A505&lt;&gt;"", COUNTIFS(Beans!A:A, A505, Beans!C:C, "Good" ), "")</f>
        <v>0</v>
      </c>
      <c r="D505" s="35">
        <f>if(A505&lt;&gt;"", COUNTIFS(Beans!A:A, A505, Beans!C:C, "Bad" ), "")</f>
        <v>1</v>
      </c>
      <c r="E505" s="35">
        <f>if(A505&lt;&gt;"", COUNTIFS(Beans!A:A, A505, Beans!C:C, "Spicy" ), "")</f>
        <v>0</v>
      </c>
    </row>
    <row r="506">
      <c r="A506" s="34">
        <f t="shared" si="2"/>
        <v>45356</v>
      </c>
      <c r="B506" s="35">
        <f>if(A506&lt;&gt;"", COUNTIFS(Beans!A:A, A506), "")</f>
        <v>1</v>
      </c>
      <c r="C506" s="35">
        <f>if(A506&lt;&gt;"", COUNTIFS(Beans!A:A, A506, Beans!C:C, "Good" ), "")</f>
        <v>1</v>
      </c>
      <c r="D506" s="35">
        <f>if(A506&lt;&gt;"", COUNTIFS(Beans!A:A, A506, Beans!C:C, "Bad" ), "")</f>
        <v>0</v>
      </c>
      <c r="E506" s="35">
        <f>if(A506&lt;&gt;"", COUNTIFS(Beans!A:A, A506, Beans!C:C, "Spicy" ), "")</f>
        <v>0</v>
      </c>
    </row>
    <row r="507">
      <c r="A507" s="34">
        <f t="shared" si="2"/>
        <v>45357</v>
      </c>
      <c r="B507" s="35">
        <f>if(A507&lt;&gt;"", COUNTIFS(Beans!A:A, A507), "")</f>
        <v>1</v>
      </c>
      <c r="C507" s="35">
        <f>if(A507&lt;&gt;"", COUNTIFS(Beans!A:A, A507, Beans!C:C, "Good" ), "")</f>
        <v>0</v>
      </c>
      <c r="D507" s="35">
        <f>if(A507&lt;&gt;"", COUNTIFS(Beans!A:A, A507, Beans!C:C, "Bad" ), "")</f>
        <v>1</v>
      </c>
      <c r="E507" s="35">
        <f>if(A507&lt;&gt;"", COUNTIFS(Beans!A:A, A507, Beans!C:C, "Spicy" ), "")</f>
        <v>0</v>
      </c>
    </row>
    <row r="508">
      <c r="A508" s="34">
        <f t="shared" si="2"/>
        <v>45358</v>
      </c>
      <c r="B508" s="35">
        <f>if(A508&lt;&gt;"", COUNTIFS(Beans!A:A, A508), "")</f>
        <v>1</v>
      </c>
      <c r="C508" s="35">
        <f>if(A508&lt;&gt;"", COUNTIFS(Beans!A:A, A508, Beans!C:C, "Good" ), "")</f>
        <v>0</v>
      </c>
      <c r="D508" s="35">
        <f>if(A508&lt;&gt;"", COUNTIFS(Beans!A:A, A508, Beans!C:C, "Bad" ), "")</f>
        <v>1</v>
      </c>
      <c r="E508" s="35">
        <f>if(A508&lt;&gt;"", COUNTIFS(Beans!A:A, A508, Beans!C:C, "Spicy" ), "")</f>
        <v>0</v>
      </c>
    </row>
    <row r="509">
      <c r="A509" s="34">
        <f t="shared" si="2"/>
        <v>45359</v>
      </c>
      <c r="B509" s="35">
        <f>if(A509&lt;&gt;"", COUNTIFS(Beans!A:A, A509), "")</f>
        <v>23</v>
      </c>
      <c r="C509" s="35">
        <f>if(A509&lt;&gt;"", COUNTIFS(Beans!A:A, A509, Beans!C:C, "Good" ), "")</f>
        <v>4</v>
      </c>
      <c r="D509" s="35">
        <f>if(A509&lt;&gt;"", COUNTIFS(Beans!A:A, A509, Beans!C:C, "Bad" ), "")</f>
        <v>19</v>
      </c>
      <c r="E509" s="35">
        <f>if(A509&lt;&gt;"", COUNTIFS(Beans!A:A, A509, Beans!C:C, "Spicy" ), "")</f>
        <v>0</v>
      </c>
    </row>
    <row r="510">
      <c r="A510" s="34">
        <f t="shared" si="2"/>
        <v>45360</v>
      </c>
      <c r="B510" s="35">
        <f>if(A510&lt;&gt;"", COUNTIFS(Beans!A:A, A510), "")</f>
        <v>0</v>
      </c>
      <c r="C510" s="35">
        <f>if(A510&lt;&gt;"", COUNTIFS(Beans!A:A, A510, Beans!C:C, "Good" ), "")</f>
        <v>0</v>
      </c>
      <c r="D510" s="35">
        <f>if(A510&lt;&gt;"", COUNTIFS(Beans!A:A, A510, Beans!C:C, "Bad" ), "")</f>
        <v>0</v>
      </c>
      <c r="E510" s="35">
        <f>if(A510&lt;&gt;"", COUNTIFS(Beans!A:A, A510, Beans!C:C, "Spicy" ), "")</f>
        <v>0</v>
      </c>
    </row>
    <row r="511">
      <c r="A511" s="34">
        <f t="shared" si="2"/>
        <v>45361</v>
      </c>
      <c r="B511" s="35">
        <f>if(A511&lt;&gt;"", COUNTIFS(Beans!A:A, A511), "")</f>
        <v>0</v>
      </c>
      <c r="C511" s="35">
        <f>if(A511&lt;&gt;"", COUNTIFS(Beans!A:A, A511, Beans!C:C, "Good" ), "")</f>
        <v>0</v>
      </c>
      <c r="D511" s="35">
        <f>if(A511&lt;&gt;"", COUNTIFS(Beans!A:A, A511, Beans!C:C, "Bad" ), "")</f>
        <v>0</v>
      </c>
      <c r="E511" s="35">
        <f>if(A511&lt;&gt;"", COUNTIFS(Beans!A:A, A511, Beans!C:C, "Spicy" ), "")</f>
        <v>0</v>
      </c>
    </row>
    <row r="512">
      <c r="A512" s="34">
        <f t="shared" si="2"/>
        <v>45362</v>
      </c>
      <c r="B512" s="35">
        <f>if(A512&lt;&gt;"", COUNTIFS(Beans!A:A, A512), "")</f>
        <v>0</v>
      </c>
      <c r="C512" s="35">
        <f>if(A512&lt;&gt;"", COUNTIFS(Beans!A:A, A512, Beans!C:C, "Good" ), "")</f>
        <v>0</v>
      </c>
      <c r="D512" s="35">
        <f>if(A512&lt;&gt;"", COUNTIFS(Beans!A:A, A512, Beans!C:C, "Bad" ), "")</f>
        <v>0</v>
      </c>
      <c r="E512" s="35">
        <f>if(A512&lt;&gt;"", COUNTIFS(Beans!A:A, A512, Beans!C:C, "Spicy" ), "")</f>
        <v>0</v>
      </c>
    </row>
    <row r="513">
      <c r="A513" s="34">
        <f t="shared" si="2"/>
        <v>45363</v>
      </c>
      <c r="B513" s="35">
        <f>if(A513&lt;&gt;"", COUNTIFS(Beans!A:A, A513), "")</f>
        <v>0</v>
      </c>
      <c r="C513" s="35">
        <f>if(A513&lt;&gt;"", COUNTIFS(Beans!A:A, A513, Beans!C:C, "Good" ), "")</f>
        <v>0</v>
      </c>
      <c r="D513" s="35">
        <f>if(A513&lt;&gt;"", COUNTIFS(Beans!A:A, A513, Beans!C:C, "Bad" ), "")</f>
        <v>0</v>
      </c>
      <c r="E513" s="35">
        <f>if(A513&lt;&gt;"", COUNTIFS(Beans!A:A, A513, Beans!C:C, "Spicy" ), "")</f>
        <v>0</v>
      </c>
    </row>
    <row r="514">
      <c r="A514" s="34">
        <f t="shared" si="2"/>
        <v>45364</v>
      </c>
      <c r="B514" s="35">
        <f>if(A514&lt;&gt;"", COUNTIFS(Beans!A:A, A514), "")</f>
        <v>0</v>
      </c>
      <c r="C514" s="35">
        <f>if(A514&lt;&gt;"", COUNTIFS(Beans!A:A, A514, Beans!C:C, "Good" ), "")</f>
        <v>0</v>
      </c>
      <c r="D514" s="35">
        <f>if(A514&lt;&gt;"", COUNTIFS(Beans!A:A, A514, Beans!C:C, "Bad" ), "")</f>
        <v>0</v>
      </c>
      <c r="E514" s="35">
        <f>if(A514&lt;&gt;"", COUNTIFS(Beans!A:A, A514, Beans!C:C, "Spicy" ), "")</f>
        <v>0</v>
      </c>
    </row>
    <row r="515">
      <c r="A515" s="34">
        <f t="shared" si="2"/>
        <v>45365</v>
      </c>
      <c r="B515" s="35">
        <f>if(A515&lt;&gt;"", COUNTIFS(Beans!A:A, A515), "")</f>
        <v>0</v>
      </c>
      <c r="C515" s="35">
        <f>if(A515&lt;&gt;"", COUNTIFS(Beans!A:A, A515, Beans!C:C, "Good" ), "")</f>
        <v>0</v>
      </c>
      <c r="D515" s="35">
        <f>if(A515&lt;&gt;"", COUNTIFS(Beans!A:A, A515, Beans!C:C, "Bad" ), "")</f>
        <v>0</v>
      </c>
      <c r="E515" s="35">
        <f>if(A515&lt;&gt;"", COUNTIFS(Beans!A:A, A515, Beans!C:C, "Spicy" ), "")</f>
        <v>0</v>
      </c>
    </row>
    <row r="516">
      <c r="A516" s="34">
        <f t="shared" si="2"/>
        <v>45366</v>
      </c>
      <c r="B516" s="35">
        <f>if(A516&lt;&gt;"", COUNTIFS(Beans!A:A, A516), "")</f>
        <v>0</v>
      </c>
      <c r="C516" s="35">
        <f>if(A516&lt;&gt;"", COUNTIFS(Beans!A:A, A516, Beans!C:C, "Good" ), "")</f>
        <v>0</v>
      </c>
      <c r="D516" s="35">
        <f>if(A516&lt;&gt;"", COUNTIFS(Beans!A:A, A516, Beans!C:C, "Bad" ), "")</f>
        <v>0</v>
      </c>
      <c r="E516" s="35">
        <f>if(A516&lt;&gt;"", COUNTIFS(Beans!A:A, A516, Beans!C:C, "Spicy" ), "")</f>
        <v>0</v>
      </c>
    </row>
    <row r="517">
      <c r="A517" s="34">
        <f t="shared" si="2"/>
        <v>45367</v>
      </c>
      <c r="B517" s="35">
        <f>if(A517&lt;&gt;"", COUNTIFS(Beans!A:A, A517), "")</f>
        <v>0</v>
      </c>
      <c r="C517" s="35">
        <f>if(A517&lt;&gt;"", COUNTIFS(Beans!A:A, A517, Beans!C:C, "Good" ), "")</f>
        <v>0</v>
      </c>
      <c r="D517" s="35">
        <f>if(A517&lt;&gt;"", COUNTIFS(Beans!A:A, A517, Beans!C:C, "Bad" ), "")</f>
        <v>0</v>
      </c>
      <c r="E517" s="35">
        <f>if(A517&lt;&gt;"", COUNTIFS(Beans!A:A, A517, Beans!C:C, "Spicy" ), "")</f>
        <v>0</v>
      </c>
    </row>
    <row r="518">
      <c r="A518" s="34">
        <f t="shared" si="2"/>
        <v>45368</v>
      </c>
      <c r="B518" s="35">
        <f>if(A518&lt;&gt;"", COUNTIFS(Beans!A:A, A518), "")</f>
        <v>0</v>
      </c>
      <c r="C518" s="35">
        <f>if(A518&lt;&gt;"", COUNTIFS(Beans!A:A, A518, Beans!C:C, "Good" ), "")</f>
        <v>0</v>
      </c>
      <c r="D518" s="35">
        <f>if(A518&lt;&gt;"", COUNTIFS(Beans!A:A, A518, Beans!C:C, "Bad" ), "")</f>
        <v>0</v>
      </c>
      <c r="E518" s="35">
        <f>if(A518&lt;&gt;"", COUNTIFS(Beans!A:A, A518, Beans!C:C, "Spicy" ), "")</f>
        <v>0</v>
      </c>
    </row>
    <row r="519">
      <c r="A519" s="34">
        <f t="shared" si="2"/>
        <v>45369</v>
      </c>
      <c r="B519" s="35">
        <f>if(A519&lt;&gt;"", COUNTIFS(Beans!A:A, A519), "")</f>
        <v>1</v>
      </c>
      <c r="C519" s="35">
        <f>if(A519&lt;&gt;"", COUNTIFS(Beans!A:A, A519, Beans!C:C, "Good" ), "")</f>
        <v>0</v>
      </c>
      <c r="D519" s="35">
        <f>if(A519&lt;&gt;"", COUNTIFS(Beans!A:A, A519, Beans!C:C, "Bad" ), "")</f>
        <v>1</v>
      </c>
      <c r="E519" s="35">
        <f>if(A519&lt;&gt;"", COUNTIFS(Beans!A:A, A519, Beans!C:C, "Spicy" ), "")</f>
        <v>0</v>
      </c>
    </row>
    <row r="520">
      <c r="A520" s="34">
        <f t="shared" si="2"/>
        <v>45370</v>
      </c>
      <c r="B520" s="35">
        <f>if(A520&lt;&gt;"", COUNTIFS(Beans!A:A, A520), "")</f>
        <v>0</v>
      </c>
      <c r="C520" s="35">
        <f>if(A520&lt;&gt;"", COUNTIFS(Beans!A:A, A520, Beans!C:C, "Good" ), "")</f>
        <v>0</v>
      </c>
      <c r="D520" s="35">
        <f>if(A520&lt;&gt;"", COUNTIFS(Beans!A:A, A520, Beans!C:C, "Bad" ), "")</f>
        <v>0</v>
      </c>
      <c r="E520" s="35">
        <f>if(A520&lt;&gt;"", COUNTIFS(Beans!A:A, A520, Beans!C:C, "Spicy" ), "")</f>
        <v>0</v>
      </c>
    </row>
    <row r="521">
      <c r="A521" s="34">
        <f t="shared" si="2"/>
        <v>45371</v>
      </c>
      <c r="B521" s="35">
        <f>if(A521&lt;&gt;"", COUNTIFS(Beans!A:A, A521), "")</f>
        <v>0</v>
      </c>
      <c r="C521" s="35">
        <f>if(A521&lt;&gt;"", COUNTIFS(Beans!A:A, A521, Beans!C:C, "Good" ), "")</f>
        <v>0</v>
      </c>
      <c r="D521" s="35">
        <f>if(A521&lt;&gt;"", COUNTIFS(Beans!A:A, A521, Beans!C:C, "Bad" ), "")</f>
        <v>0</v>
      </c>
      <c r="E521" s="35">
        <f>if(A521&lt;&gt;"", COUNTIFS(Beans!A:A, A521, Beans!C:C, "Spicy" ), "")</f>
        <v>0</v>
      </c>
    </row>
    <row r="522">
      <c r="A522" s="34">
        <f t="shared" si="2"/>
        <v>45372</v>
      </c>
      <c r="B522" s="35">
        <f>if(A522&lt;&gt;"", COUNTIFS(Beans!A:A, A522), "")</f>
        <v>0</v>
      </c>
      <c r="C522" s="35">
        <f>if(A522&lt;&gt;"", COUNTIFS(Beans!A:A, A522, Beans!C:C, "Good" ), "")</f>
        <v>0</v>
      </c>
      <c r="D522" s="35">
        <f>if(A522&lt;&gt;"", COUNTIFS(Beans!A:A, A522, Beans!C:C, "Bad" ), "")</f>
        <v>0</v>
      </c>
      <c r="E522" s="35">
        <f>if(A522&lt;&gt;"", COUNTIFS(Beans!A:A, A522, Beans!C:C, "Spicy" ), "")</f>
        <v>0</v>
      </c>
    </row>
    <row r="523">
      <c r="A523" s="34">
        <f t="shared" si="2"/>
        <v>45373</v>
      </c>
      <c r="B523" s="35">
        <f>if(A523&lt;&gt;"", COUNTIFS(Beans!A:A, A523), "")</f>
        <v>1</v>
      </c>
      <c r="C523" s="35">
        <f>if(A523&lt;&gt;"", COUNTIFS(Beans!A:A, A523, Beans!C:C, "Good" ), "")</f>
        <v>0</v>
      </c>
      <c r="D523" s="35">
        <f>if(A523&lt;&gt;"", COUNTIFS(Beans!A:A, A523, Beans!C:C, "Bad" ), "")</f>
        <v>1</v>
      </c>
      <c r="E523" s="35">
        <f>if(A523&lt;&gt;"", COUNTIFS(Beans!A:A, A523, Beans!C:C, "Spicy" ), "")</f>
        <v>0</v>
      </c>
    </row>
    <row r="524">
      <c r="A524" s="34">
        <f t="shared" si="2"/>
        <v>45374</v>
      </c>
      <c r="B524" s="35">
        <f>if(A524&lt;&gt;"", COUNTIFS(Beans!A:A, A524), "")</f>
        <v>0</v>
      </c>
      <c r="C524" s="35">
        <f>if(A524&lt;&gt;"", COUNTIFS(Beans!A:A, A524, Beans!C:C, "Good" ), "")</f>
        <v>0</v>
      </c>
      <c r="D524" s="35">
        <f>if(A524&lt;&gt;"", COUNTIFS(Beans!A:A, A524, Beans!C:C, "Bad" ), "")</f>
        <v>0</v>
      </c>
      <c r="E524" s="35">
        <f>if(A524&lt;&gt;"", COUNTIFS(Beans!A:A, A524, Beans!C:C, "Spicy" ), "")</f>
        <v>0</v>
      </c>
    </row>
    <row r="525">
      <c r="A525" s="34">
        <f t="shared" si="2"/>
        <v>45375</v>
      </c>
      <c r="B525" s="35">
        <f>if(A525&lt;&gt;"", COUNTIFS(Beans!A:A, A525), "")</f>
        <v>0</v>
      </c>
      <c r="C525" s="35">
        <f>if(A525&lt;&gt;"", COUNTIFS(Beans!A:A, A525, Beans!C:C, "Good" ), "")</f>
        <v>0</v>
      </c>
      <c r="D525" s="35">
        <f>if(A525&lt;&gt;"", COUNTIFS(Beans!A:A, A525, Beans!C:C, "Bad" ), "")</f>
        <v>0</v>
      </c>
      <c r="E525" s="35">
        <f>if(A525&lt;&gt;"", COUNTIFS(Beans!A:A, A525, Beans!C:C, "Spicy" ), "")</f>
        <v>0</v>
      </c>
    </row>
    <row r="526">
      <c r="A526" s="34">
        <f t="shared" si="2"/>
        <v>45376</v>
      </c>
      <c r="B526" s="35">
        <f>if(A526&lt;&gt;"", COUNTIFS(Beans!A:A, A526), "")</f>
        <v>0</v>
      </c>
      <c r="C526" s="35">
        <f>if(A526&lt;&gt;"", COUNTIFS(Beans!A:A, A526, Beans!C:C, "Good" ), "")</f>
        <v>0</v>
      </c>
      <c r="D526" s="35">
        <f>if(A526&lt;&gt;"", COUNTIFS(Beans!A:A, A526, Beans!C:C, "Bad" ), "")</f>
        <v>0</v>
      </c>
      <c r="E526" s="35">
        <f>if(A526&lt;&gt;"", COUNTIFS(Beans!A:A, A526, Beans!C:C, "Spicy" ), "")</f>
        <v>0</v>
      </c>
    </row>
    <row r="527">
      <c r="A527" s="34">
        <f t="shared" si="2"/>
        <v>45377</v>
      </c>
      <c r="B527" s="35">
        <f>if(A527&lt;&gt;"", COUNTIFS(Beans!A:A, A527), "")</f>
        <v>0</v>
      </c>
      <c r="C527" s="35">
        <f>if(A527&lt;&gt;"", COUNTIFS(Beans!A:A, A527, Beans!C:C, "Good" ), "")</f>
        <v>0</v>
      </c>
      <c r="D527" s="35">
        <f>if(A527&lt;&gt;"", COUNTIFS(Beans!A:A, A527, Beans!C:C, "Bad" ), "")</f>
        <v>0</v>
      </c>
      <c r="E527" s="35">
        <f>if(A527&lt;&gt;"", COUNTIFS(Beans!A:A, A527, Beans!C:C, "Spicy" ), "")</f>
        <v>0</v>
      </c>
    </row>
    <row r="528">
      <c r="A528" s="34">
        <f t="shared" si="2"/>
        <v>45378</v>
      </c>
      <c r="B528" s="35">
        <f>if(A528&lt;&gt;"", COUNTIFS(Beans!A:A, A528), "")</f>
        <v>1</v>
      </c>
      <c r="C528" s="35">
        <f>if(A528&lt;&gt;"", COUNTIFS(Beans!A:A, A528, Beans!C:C, "Good" ), "")</f>
        <v>1</v>
      </c>
      <c r="D528" s="35">
        <f>if(A528&lt;&gt;"", COUNTIFS(Beans!A:A, A528, Beans!C:C, "Bad" ), "")</f>
        <v>0</v>
      </c>
      <c r="E528" s="35">
        <f>if(A528&lt;&gt;"", COUNTIFS(Beans!A:A, A528, Beans!C:C, "Spicy" ), "")</f>
        <v>0</v>
      </c>
    </row>
    <row r="529">
      <c r="A529" s="34">
        <f t="shared" si="2"/>
        <v>45379</v>
      </c>
      <c r="B529" s="35">
        <f>if(A529&lt;&gt;"", COUNTIFS(Beans!A:A, A529), "")</f>
        <v>1</v>
      </c>
      <c r="C529" s="35">
        <f>if(A529&lt;&gt;"", COUNTIFS(Beans!A:A, A529, Beans!C:C, "Good" ), "")</f>
        <v>0</v>
      </c>
      <c r="D529" s="35">
        <f>if(A529&lt;&gt;"", COUNTIFS(Beans!A:A, A529, Beans!C:C, "Bad" ), "")</f>
        <v>1</v>
      </c>
      <c r="E529" s="35">
        <f>if(A529&lt;&gt;"", COUNTIFS(Beans!A:A, A529, Beans!C:C, "Spicy" ), "")</f>
        <v>0</v>
      </c>
    </row>
    <row r="530">
      <c r="A530" s="34">
        <f t="shared" si="2"/>
        <v>45380</v>
      </c>
      <c r="B530" s="35">
        <f>if(A530&lt;&gt;"", COUNTIFS(Beans!A:A, A530), "")</f>
        <v>1</v>
      </c>
      <c r="C530" s="35">
        <f>if(A530&lt;&gt;"", COUNTIFS(Beans!A:A, A530, Beans!C:C, "Good" ), "")</f>
        <v>0</v>
      </c>
      <c r="D530" s="35">
        <f>if(A530&lt;&gt;"", COUNTIFS(Beans!A:A, A530, Beans!C:C, "Bad" ), "")</f>
        <v>1</v>
      </c>
      <c r="E530" s="35">
        <f>if(A530&lt;&gt;"", COUNTIFS(Beans!A:A, A530, Beans!C:C, "Spicy" ), "")</f>
        <v>0</v>
      </c>
    </row>
    <row r="531">
      <c r="A531" s="34">
        <f t="shared" si="2"/>
        <v>45381</v>
      </c>
      <c r="B531" s="35">
        <f>if(A531&lt;&gt;"", COUNTIFS(Beans!A:A, A531), "")</f>
        <v>0</v>
      </c>
      <c r="C531" s="35">
        <f>if(A531&lt;&gt;"", COUNTIFS(Beans!A:A, A531, Beans!C:C, "Good" ), "")</f>
        <v>0</v>
      </c>
      <c r="D531" s="35">
        <f>if(A531&lt;&gt;"", COUNTIFS(Beans!A:A, A531, Beans!C:C, "Bad" ), "")</f>
        <v>0</v>
      </c>
      <c r="E531" s="35">
        <f>if(A531&lt;&gt;"", COUNTIFS(Beans!A:A, A531, Beans!C:C, "Spicy" ), "")</f>
        <v>0</v>
      </c>
    </row>
    <row r="532">
      <c r="A532" s="34">
        <f t="shared" si="2"/>
        <v>45382</v>
      </c>
      <c r="B532" s="35">
        <f>if(A532&lt;&gt;"", COUNTIFS(Beans!A:A, A532), "")</f>
        <v>0</v>
      </c>
      <c r="C532" s="35">
        <f>if(A532&lt;&gt;"", COUNTIFS(Beans!A:A, A532, Beans!C:C, "Good" ), "")</f>
        <v>0</v>
      </c>
      <c r="D532" s="35">
        <f>if(A532&lt;&gt;"", COUNTIFS(Beans!A:A, A532, Beans!C:C, "Bad" ), "")</f>
        <v>0</v>
      </c>
      <c r="E532" s="35">
        <f>if(A532&lt;&gt;"", COUNTIFS(Beans!A:A, A532, Beans!C:C, "Spicy" ), "")</f>
        <v>0</v>
      </c>
    </row>
    <row r="533">
      <c r="A533" s="34">
        <f t="shared" si="2"/>
        <v>45383</v>
      </c>
      <c r="B533" s="35">
        <f>if(A533&lt;&gt;"", COUNTIFS(Beans!A:A, A533), "")</f>
        <v>0</v>
      </c>
      <c r="C533" s="35">
        <f>if(A533&lt;&gt;"", COUNTIFS(Beans!A:A, A533, Beans!C:C, "Good" ), "")</f>
        <v>0</v>
      </c>
      <c r="D533" s="35">
        <f>if(A533&lt;&gt;"", COUNTIFS(Beans!A:A, A533, Beans!C:C, "Bad" ), "")</f>
        <v>0</v>
      </c>
      <c r="E533" s="35">
        <f>if(A533&lt;&gt;"", COUNTIFS(Beans!A:A, A533, Beans!C:C, "Spicy" ), "")</f>
        <v>0</v>
      </c>
    </row>
    <row r="534">
      <c r="A534" s="34">
        <f t="shared" si="2"/>
        <v>45384</v>
      </c>
      <c r="B534" s="35">
        <f>if(A534&lt;&gt;"", COUNTIFS(Beans!A:A, A534), "")</f>
        <v>0</v>
      </c>
      <c r="C534" s="35">
        <f>if(A534&lt;&gt;"", COUNTIFS(Beans!A:A, A534, Beans!C:C, "Good" ), "")</f>
        <v>0</v>
      </c>
      <c r="D534" s="35">
        <f>if(A534&lt;&gt;"", COUNTIFS(Beans!A:A, A534, Beans!C:C, "Bad" ), "")</f>
        <v>0</v>
      </c>
      <c r="E534" s="35">
        <f>if(A534&lt;&gt;"", COUNTIFS(Beans!A:A, A534, Beans!C:C, "Spicy" ), "")</f>
        <v>0</v>
      </c>
    </row>
    <row r="535">
      <c r="A535" s="34">
        <f t="shared" si="2"/>
        <v>45385</v>
      </c>
      <c r="B535" s="35">
        <f>if(A535&lt;&gt;"", COUNTIFS(Beans!A:A, A535), "")</f>
        <v>2</v>
      </c>
      <c r="C535" s="35">
        <f>if(A535&lt;&gt;"", COUNTIFS(Beans!A:A, A535, Beans!C:C, "Good" ), "")</f>
        <v>0</v>
      </c>
      <c r="D535" s="35">
        <f>if(A535&lt;&gt;"", COUNTIFS(Beans!A:A, A535, Beans!C:C, "Bad" ), "")</f>
        <v>2</v>
      </c>
      <c r="E535" s="35">
        <f>if(A535&lt;&gt;"", COUNTIFS(Beans!A:A, A535, Beans!C:C, "Spicy" ), "")</f>
        <v>0</v>
      </c>
    </row>
    <row r="536">
      <c r="A536" s="34">
        <f t="shared" si="2"/>
        <v>45386</v>
      </c>
      <c r="B536" s="35">
        <f>if(A536&lt;&gt;"", COUNTIFS(Beans!A:A, A536), "")</f>
        <v>1</v>
      </c>
      <c r="C536" s="35">
        <f>if(A536&lt;&gt;"", COUNTIFS(Beans!A:A, A536, Beans!C:C, "Good" ), "")</f>
        <v>0</v>
      </c>
      <c r="D536" s="35">
        <f>if(A536&lt;&gt;"", COUNTIFS(Beans!A:A, A536, Beans!C:C, "Bad" ), "")</f>
        <v>1</v>
      </c>
      <c r="E536" s="35">
        <f>if(A536&lt;&gt;"", COUNTIFS(Beans!A:A, A536, Beans!C:C, "Spicy" ), "")</f>
        <v>0</v>
      </c>
    </row>
    <row r="537">
      <c r="A537" s="34">
        <f t="shared" si="2"/>
        <v>45387</v>
      </c>
      <c r="B537" s="35">
        <f>if(A537&lt;&gt;"", COUNTIFS(Beans!A:A, A537), "")</f>
        <v>1</v>
      </c>
      <c r="C537" s="35">
        <f>if(A537&lt;&gt;"", COUNTIFS(Beans!A:A, A537, Beans!C:C, "Good" ), "")</f>
        <v>0</v>
      </c>
      <c r="D537" s="35">
        <f>if(A537&lt;&gt;"", COUNTIFS(Beans!A:A, A537, Beans!C:C, "Bad" ), "")</f>
        <v>1</v>
      </c>
      <c r="E537" s="35">
        <f>if(A537&lt;&gt;"", COUNTIFS(Beans!A:A, A537, Beans!C:C, "Spicy" ), "")</f>
        <v>0</v>
      </c>
    </row>
    <row r="538">
      <c r="A538" s="34">
        <f t="shared" si="2"/>
        <v>45388</v>
      </c>
      <c r="B538" s="35">
        <f>if(A538&lt;&gt;"", COUNTIFS(Beans!A:A, A538), "")</f>
        <v>0</v>
      </c>
      <c r="C538" s="35">
        <f>if(A538&lt;&gt;"", COUNTIFS(Beans!A:A, A538, Beans!C:C, "Good" ), "")</f>
        <v>0</v>
      </c>
      <c r="D538" s="35">
        <f>if(A538&lt;&gt;"", COUNTIFS(Beans!A:A, A538, Beans!C:C, "Bad" ), "")</f>
        <v>0</v>
      </c>
      <c r="E538" s="35">
        <f>if(A538&lt;&gt;"", COUNTIFS(Beans!A:A, A538, Beans!C:C, "Spicy" ), "")</f>
        <v>0</v>
      </c>
    </row>
    <row r="539">
      <c r="A539" s="34">
        <f t="shared" si="2"/>
        <v>45389</v>
      </c>
      <c r="B539" s="35">
        <f>if(A539&lt;&gt;"", COUNTIFS(Beans!A:A, A539), "")</f>
        <v>0</v>
      </c>
      <c r="C539" s="35">
        <f>if(A539&lt;&gt;"", COUNTIFS(Beans!A:A, A539, Beans!C:C, "Good" ), "")</f>
        <v>0</v>
      </c>
      <c r="D539" s="35">
        <f>if(A539&lt;&gt;"", COUNTIFS(Beans!A:A, A539, Beans!C:C, "Bad" ), "")</f>
        <v>0</v>
      </c>
      <c r="E539" s="35">
        <f>if(A539&lt;&gt;"", COUNTIFS(Beans!A:A, A539, Beans!C:C, "Spicy" ), "")</f>
        <v>0</v>
      </c>
    </row>
    <row r="540">
      <c r="A540" s="34">
        <f t="shared" si="2"/>
        <v>45390</v>
      </c>
      <c r="B540" s="35">
        <f>if(A540&lt;&gt;"", COUNTIFS(Beans!A:A, A540), "")</f>
        <v>1</v>
      </c>
      <c r="C540" s="35">
        <f>if(A540&lt;&gt;"", COUNTIFS(Beans!A:A, A540, Beans!C:C, "Good" ), "")</f>
        <v>1</v>
      </c>
      <c r="D540" s="35">
        <f>if(A540&lt;&gt;"", COUNTIFS(Beans!A:A, A540, Beans!C:C, "Bad" ), "")</f>
        <v>0</v>
      </c>
      <c r="E540" s="35">
        <f>if(A540&lt;&gt;"", COUNTIFS(Beans!A:A, A540, Beans!C:C, "Spicy" ), "")</f>
        <v>0</v>
      </c>
    </row>
    <row r="541">
      <c r="A541" s="34">
        <f t="shared" si="2"/>
        <v>45391</v>
      </c>
      <c r="B541" s="35">
        <f>if(A541&lt;&gt;"", COUNTIFS(Beans!A:A, A541), "")</f>
        <v>0</v>
      </c>
      <c r="C541" s="35">
        <f>if(A541&lt;&gt;"", COUNTIFS(Beans!A:A, A541, Beans!C:C, "Good" ), "")</f>
        <v>0</v>
      </c>
      <c r="D541" s="35">
        <f>if(A541&lt;&gt;"", COUNTIFS(Beans!A:A, A541, Beans!C:C, "Bad" ), "")</f>
        <v>0</v>
      </c>
      <c r="E541" s="35">
        <f>if(A541&lt;&gt;"", COUNTIFS(Beans!A:A, A541, Beans!C:C, "Spicy" ), "")</f>
        <v>0</v>
      </c>
    </row>
    <row r="542">
      <c r="A542" s="34">
        <f t="shared" si="2"/>
        <v>45392</v>
      </c>
      <c r="B542" s="35">
        <f>if(A542&lt;&gt;"", COUNTIFS(Beans!A:A, A542), "")</f>
        <v>0</v>
      </c>
      <c r="C542" s="35">
        <f>if(A542&lt;&gt;"", COUNTIFS(Beans!A:A, A542, Beans!C:C, "Good" ), "")</f>
        <v>0</v>
      </c>
      <c r="D542" s="35">
        <f>if(A542&lt;&gt;"", COUNTIFS(Beans!A:A, A542, Beans!C:C, "Bad" ), "")</f>
        <v>0</v>
      </c>
      <c r="E542" s="35">
        <f>if(A542&lt;&gt;"", COUNTIFS(Beans!A:A, A542, Beans!C:C, "Spicy" ), "")</f>
        <v>0</v>
      </c>
    </row>
    <row r="543">
      <c r="A543" s="34">
        <f t="shared" si="2"/>
        <v>45393</v>
      </c>
      <c r="B543" s="35">
        <f>if(A543&lt;&gt;"", COUNTIFS(Beans!A:A, A543), "")</f>
        <v>1</v>
      </c>
      <c r="C543" s="35">
        <f>if(A543&lt;&gt;"", COUNTIFS(Beans!A:A, A543, Beans!C:C, "Good" ), "")</f>
        <v>0</v>
      </c>
      <c r="D543" s="35">
        <f>if(A543&lt;&gt;"", COUNTIFS(Beans!A:A, A543, Beans!C:C, "Bad" ), "")</f>
        <v>1</v>
      </c>
      <c r="E543" s="35">
        <f>if(A543&lt;&gt;"", COUNTIFS(Beans!A:A, A543, Beans!C:C, "Spicy" ), "")</f>
        <v>0</v>
      </c>
    </row>
    <row r="544">
      <c r="A544" s="34">
        <f t="shared" si="2"/>
        <v>45394</v>
      </c>
      <c r="B544" s="35">
        <f>if(A544&lt;&gt;"", COUNTIFS(Beans!A:A, A544), "")</f>
        <v>0</v>
      </c>
      <c r="C544" s="35">
        <f>if(A544&lt;&gt;"", COUNTIFS(Beans!A:A, A544, Beans!C:C, "Good" ), "")</f>
        <v>0</v>
      </c>
      <c r="D544" s="35">
        <f>if(A544&lt;&gt;"", COUNTIFS(Beans!A:A, A544, Beans!C:C, "Bad" ), "")</f>
        <v>0</v>
      </c>
      <c r="E544" s="35">
        <f>if(A544&lt;&gt;"", COUNTIFS(Beans!A:A, A544, Beans!C:C, "Spicy" ), "")</f>
        <v>0</v>
      </c>
    </row>
    <row r="545">
      <c r="A545" s="34">
        <f t="shared" si="2"/>
        <v>45395</v>
      </c>
      <c r="B545" s="35">
        <f>if(A545&lt;&gt;"", COUNTIFS(Beans!A:A, A545), "")</f>
        <v>0</v>
      </c>
      <c r="C545" s="35">
        <f>if(A545&lt;&gt;"", COUNTIFS(Beans!A:A, A545, Beans!C:C, "Good" ), "")</f>
        <v>0</v>
      </c>
      <c r="D545" s="35">
        <f>if(A545&lt;&gt;"", COUNTIFS(Beans!A:A, A545, Beans!C:C, "Bad" ), "")</f>
        <v>0</v>
      </c>
      <c r="E545" s="35">
        <f>if(A545&lt;&gt;"", COUNTIFS(Beans!A:A, A545, Beans!C:C, "Spicy" ), "")</f>
        <v>0</v>
      </c>
    </row>
    <row r="546">
      <c r="A546" s="34">
        <f t="shared" si="2"/>
        <v>45396</v>
      </c>
      <c r="B546" s="35">
        <f>if(A546&lt;&gt;"", COUNTIFS(Beans!A:A, A546), "")</f>
        <v>0</v>
      </c>
      <c r="C546" s="35">
        <f>if(A546&lt;&gt;"", COUNTIFS(Beans!A:A, A546, Beans!C:C, "Good" ), "")</f>
        <v>0</v>
      </c>
      <c r="D546" s="35">
        <f>if(A546&lt;&gt;"", COUNTIFS(Beans!A:A, A546, Beans!C:C, "Bad" ), "")</f>
        <v>0</v>
      </c>
      <c r="E546" s="35">
        <f>if(A546&lt;&gt;"", COUNTIFS(Beans!A:A, A546, Beans!C:C, "Spicy" ), "")</f>
        <v>0</v>
      </c>
    </row>
    <row r="547">
      <c r="A547" s="34">
        <f t="shared" si="2"/>
        <v>45397</v>
      </c>
      <c r="B547" s="35">
        <f>if(A547&lt;&gt;"", COUNTIFS(Beans!A:A, A547), "")</f>
        <v>0</v>
      </c>
      <c r="C547" s="35">
        <f>if(A547&lt;&gt;"", COUNTIFS(Beans!A:A, A547, Beans!C:C, "Good" ), "")</f>
        <v>0</v>
      </c>
      <c r="D547" s="35">
        <f>if(A547&lt;&gt;"", COUNTIFS(Beans!A:A, A547, Beans!C:C, "Bad" ), "")</f>
        <v>0</v>
      </c>
      <c r="E547" s="35">
        <f>if(A547&lt;&gt;"", COUNTIFS(Beans!A:A, A547, Beans!C:C, "Spicy" ), "")</f>
        <v>0</v>
      </c>
    </row>
    <row r="548">
      <c r="A548" s="34">
        <f t="shared" si="2"/>
        <v>45398</v>
      </c>
      <c r="B548" s="35">
        <f>if(A548&lt;&gt;"", COUNTIFS(Beans!A:A, A548), "")</f>
        <v>1</v>
      </c>
      <c r="C548" s="35">
        <f>if(A548&lt;&gt;"", COUNTIFS(Beans!A:A, A548, Beans!C:C, "Good" ), "")</f>
        <v>0</v>
      </c>
      <c r="D548" s="35">
        <f>if(A548&lt;&gt;"", COUNTIFS(Beans!A:A, A548, Beans!C:C, "Bad" ), "")</f>
        <v>1</v>
      </c>
      <c r="E548" s="35">
        <f>if(A548&lt;&gt;"", COUNTIFS(Beans!A:A, A548, Beans!C:C, "Spicy" ), "")</f>
        <v>0</v>
      </c>
    </row>
    <row r="549">
      <c r="A549" s="34">
        <f t="shared" si="2"/>
        <v>45399</v>
      </c>
      <c r="B549" s="35">
        <f>if(A549&lt;&gt;"", COUNTIFS(Beans!A:A, A549), "")</f>
        <v>1</v>
      </c>
      <c r="C549" s="35">
        <f>if(A549&lt;&gt;"", COUNTIFS(Beans!A:A, A549, Beans!C:C, "Good" ), "")</f>
        <v>0</v>
      </c>
      <c r="D549" s="35">
        <f>if(A549&lt;&gt;"", COUNTIFS(Beans!A:A, A549, Beans!C:C, "Bad" ), "")</f>
        <v>1</v>
      </c>
      <c r="E549" s="35">
        <f>if(A549&lt;&gt;"", COUNTIFS(Beans!A:A, A549, Beans!C:C, "Spicy" ), "")</f>
        <v>0</v>
      </c>
    </row>
    <row r="550">
      <c r="A550" s="34">
        <f t="shared" si="2"/>
        <v>45400</v>
      </c>
      <c r="B550" s="35">
        <f>if(A550&lt;&gt;"", COUNTIFS(Beans!A:A, A550), "")</f>
        <v>8</v>
      </c>
      <c r="C550" s="35">
        <f>if(A550&lt;&gt;"", COUNTIFS(Beans!A:A, A550, Beans!C:C, "Good" ), "")</f>
        <v>3</v>
      </c>
      <c r="D550" s="35">
        <f>if(A550&lt;&gt;"", COUNTIFS(Beans!A:A, A550, Beans!C:C, "Bad" ), "")</f>
        <v>5</v>
      </c>
      <c r="E550" s="35">
        <f>if(A550&lt;&gt;"", COUNTIFS(Beans!A:A, A550, Beans!C:C, "Spicy" ), "")</f>
        <v>0</v>
      </c>
    </row>
    <row r="551">
      <c r="A551" s="34">
        <f t="shared" si="2"/>
        <v>45401</v>
      </c>
      <c r="B551" s="35">
        <f>if(A551&lt;&gt;"", COUNTIFS(Beans!A:A, A551), "")</f>
        <v>3</v>
      </c>
      <c r="C551" s="35">
        <f>if(A551&lt;&gt;"", COUNTIFS(Beans!A:A, A551, Beans!C:C, "Good" ), "")</f>
        <v>1</v>
      </c>
      <c r="D551" s="35">
        <f>if(A551&lt;&gt;"", COUNTIFS(Beans!A:A, A551, Beans!C:C, "Bad" ), "")</f>
        <v>2</v>
      </c>
      <c r="E551" s="35">
        <f>if(A551&lt;&gt;"", COUNTIFS(Beans!A:A, A551, Beans!C:C, "Spicy" ), "")</f>
        <v>0</v>
      </c>
    </row>
    <row r="552">
      <c r="A552" s="34">
        <f t="shared" si="2"/>
        <v>45402</v>
      </c>
      <c r="B552" s="35">
        <f>if(A552&lt;&gt;"", COUNTIFS(Beans!A:A, A552), "")</f>
        <v>0</v>
      </c>
      <c r="C552" s="35">
        <f>if(A552&lt;&gt;"", COUNTIFS(Beans!A:A, A552, Beans!C:C, "Good" ), "")</f>
        <v>0</v>
      </c>
      <c r="D552" s="35">
        <f>if(A552&lt;&gt;"", COUNTIFS(Beans!A:A, A552, Beans!C:C, "Bad" ), "")</f>
        <v>0</v>
      </c>
      <c r="E552" s="35">
        <f>if(A552&lt;&gt;"", COUNTIFS(Beans!A:A, A552, Beans!C:C, "Spicy" ), "")</f>
        <v>0</v>
      </c>
    </row>
    <row r="553">
      <c r="A553" s="34">
        <f t="shared" si="2"/>
        <v>45403</v>
      </c>
      <c r="B553" s="35">
        <f>if(A553&lt;&gt;"", COUNTIFS(Beans!A:A, A553), "")</f>
        <v>0</v>
      </c>
      <c r="C553" s="35">
        <f>if(A553&lt;&gt;"", COUNTIFS(Beans!A:A, A553, Beans!C:C, "Good" ), "")</f>
        <v>0</v>
      </c>
      <c r="D553" s="35">
        <f>if(A553&lt;&gt;"", COUNTIFS(Beans!A:A, A553, Beans!C:C, "Bad" ), "")</f>
        <v>0</v>
      </c>
      <c r="E553" s="35">
        <f>if(A553&lt;&gt;"", COUNTIFS(Beans!A:A, A553, Beans!C:C, "Spicy" ), "")</f>
        <v>0</v>
      </c>
    </row>
    <row r="554">
      <c r="A554" s="34">
        <f t="shared" si="2"/>
        <v>45404</v>
      </c>
      <c r="B554" s="35">
        <f>if(A554&lt;&gt;"", COUNTIFS(Beans!A:A, A554), "")</f>
        <v>2</v>
      </c>
      <c r="C554" s="35">
        <f>if(A554&lt;&gt;"", COUNTIFS(Beans!A:A, A554, Beans!C:C, "Good" ), "")</f>
        <v>0</v>
      </c>
      <c r="D554" s="35">
        <f>if(A554&lt;&gt;"", COUNTIFS(Beans!A:A, A554, Beans!C:C, "Bad" ), "")</f>
        <v>2</v>
      </c>
      <c r="E554" s="35">
        <f>if(A554&lt;&gt;"", COUNTIFS(Beans!A:A, A554, Beans!C:C, "Spicy" ), "")</f>
        <v>0</v>
      </c>
    </row>
    <row r="555">
      <c r="A555" s="34">
        <f t="shared" si="2"/>
        <v>45405</v>
      </c>
      <c r="B555" s="35">
        <f>if(A555&lt;&gt;"", COUNTIFS(Beans!A:A, A555), "")</f>
        <v>0</v>
      </c>
      <c r="C555" s="35">
        <f>if(A555&lt;&gt;"", COUNTIFS(Beans!A:A, A555, Beans!C:C, "Good" ), "")</f>
        <v>0</v>
      </c>
      <c r="D555" s="35">
        <f>if(A555&lt;&gt;"", COUNTIFS(Beans!A:A, A555, Beans!C:C, "Bad" ), "")</f>
        <v>0</v>
      </c>
      <c r="E555" s="35">
        <f>if(A555&lt;&gt;"", COUNTIFS(Beans!A:A, A555, Beans!C:C, "Spicy" ), "")</f>
        <v>0</v>
      </c>
    </row>
    <row r="556">
      <c r="A556" s="34">
        <f t="shared" si="2"/>
        <v>45406</v>
      </c>
      <c r="B556" s="35">
        <f>if(A556&lt;&gt;"", COUNTIFS(Beans!A:A, A556), "")</f>
        <v>1</v>
      </c>
      <c r="C556" s="35">
        <f>if(A556&lt;&gt;"", COUNTIFS(Beans!A:A, A556, Beans!C:C, "Good" ), "")</f>
        <v>0</v>
      </c>
      <c r="D556" s="35">
        <f>if(A556&lt;&gt;"", COUNTIFS(Beans!A:A, A556, Beans!C:C, "Bad" ), "")</f>
        <v>1</v>
      </c>
      <c r="E556" s="35">
        <f>if(A556&lt;&gt;"", COUNTIFS(Beans!A:A, A556, Beans!C:C, "Spicy" ), "")</f>
        <v>0</v>
      </c>
    </row>
    <row r="557">
      <c r="A557" s="34">
        <f t="shared" si="2"/>
        <v>45407</v>
      </c>
      <c r="B557" s="35">
        <f>if(A557&lt;&gt;"", COUNTIFS(Beans!A:A, A557), "")</f>
        <v>2</v>
      </c>
      <c r="C557" s="35">
        <f>if(A557&lt;&gt;"", COUNTIFS(Beans!A:A, A557, Beans!C:C, "Good" ), "")</f>
        <v>0</v>
      </c>
      <c r="D557" s="35">
        <f>if(A557&lt;&gt;"", COUNTIFS(Beans!A:A, A557, Beans!C:C, "Bad" ), "")</f>
        <v>2</v>
      </c>
      <c r="E557" s="35">
        <f>if(A557&lt;&gt;"", COUNTIFS(Beans!A:A, A557, Beans!C:C, "Spicy" ), "")</f>
        <v>0</v>
      </c>
    </row>
    <row r="558">
      <c r="A558" s="34">
        <f t="shared" si="2"/>
        <v>45408</v>
      </c>
      <c r="B558" s="35">
        <f>if(A558&lt;&gt;"", COUNTIFS(Beans!A:A, A558), "")</f>
        <v>0</v>
      </c>
      <c r="C558" s="35">
        <f>if(A558&lt;&gt;"", COUNTIFS(Beans!A:A, A558, Beans!C:C, "Good" ), "")</f>
        <v>0</v>
      </c>
      <c r="D558" s="35">
        <f>if(A558&lt;&gt;"", COUNTIFS(Beans!A:A, A558, Beans!C:C, "Bad" ), "")</f>
        <v>0</v>
      </c>
      <c r="E558" s="35">
        <f>if(A558&lt;&gt;"", COUNTIFS(Beans!A:A, A558, Beans!C:C, "Spicy" ), "")</f>
        <v>0</v>
      </c>
    </row>
    <row r="559">
      <c r="A559" s="34">
        <f t="shared" si="2"/>
        <v>45409</v>
      </c>
      <c r="B559" s="35">
        <f>if(A559&lt;&gt;"", COUNTIFS(Beans!A:A, A559), "")</f>
        <v>0</v>
      </c>
      <c r="C559" s="35">
        <f>if(A559&lt;&gt;"", COUNTIFS(Beans!A:A, A559, Beans!C:C, "Good" ), "")</f>
        <v>0</v>
      </c>
      <c r="D559" s="35">
        <f>if(A559&lt;&gt;"", COUNTIFS(Beans!A:A, A559, Beans!C:C, "Bad" ), "")</f>
        <v>0</v>
      </c>
      <c r="E559" s="35">
        <f>if(A559&lt;&gt;"", COUNTIFS(Beans!A:A, A559, Beans!C:C, "Spicy" ), "")</f>
        <v>0</v>
      </c>
    </row>
    <row r="560">
      <c r="A560" s="34">
        <f t="shared" si="2"/>
        <v>45410</v>
      </c>
      <c r="B560" s="35">
        <f>if(A560&lt;&gt;"", COUNTIFS(Beans!A:A, A560), "")</f>
        <v>0</v>
      </c>
      <c r="C560" s="35">
        <f>if(A560&lt;&gt;"", COUNTIFS(Beans!A:A, A560, Beans!C:C, "Good" ), "")</f>
        <v>0</v>
      </c>
      <c r="D560" s="35">
        <f>if(A560&lt;&gt;"", COUNTIFS(Beans!A:A, A560, Beans!C:C, "Bad" ), "")</f>
        <v>0</v>
      </c>
      <c r="E560" s="35">
        <f>if(A560&lt;&gt;"", COUNTIFS(Beans!A:A, A560, Beans!C:C, "Spicy" ), "")</f>
        <v>0</v>
      </c>
    </row>
    <row r="561">
      <c r="A561" s="34">
        <f t="shared" si="2"/>
        <v>45411</v>
      </c>
      <c r="B561" s="35">
        <f>if(A561&lt;&gt;"", COUNTIFS(Beans!A:A, A561), "")</f>
        <v>3</v>
      </c>
      <c r="C561" s="35">
        <f>if(A561&lt;&gt;"", COUNTIFS(Beans!A:A, A561, Beans!C:C, "Good" ), "")</f>
        <v>0</v>
      </c>
      <c r="D561" s="35">
        <f>if(A561&lt;&gt;"", COUNTIFS(Beans!A:A, A561, Beans!C:C, "Bad" ), "")</f>
        <v>3</v>
      </c>
      <c r="E561" s="35">
        <f>if(A561&lt;&gt;"", COUNTIFS(Beans!A:A, A561, Beans!C:C, "Spicy" ), "")</f>
        <v>0</v>
      </c>
    </row>
    <row r="562">
      <c r="A562" s="34">
        <f t="shared" si="2"/>
        <v>45412</v>
      </c>
      <c r="B562" s="35">
        <f>if(A562&lt;&gt;"", COUNTIFS(Beans!A:A, A562), "")</f>
        <v>0</v>
      </c>
      <c r="C562" s="35">
        <f>if(A562&lt;&gt;"", COUNTIFS(Beans!A:A, A562, Beans!C:C, "Good" ), "")</f>
        <v>0</v>
      </c>
      <c r="D562" s="35">
        <f>if(A562&lt;&gt;"", COUNTIFS(Beans!A:A, A562, Beans!C:C, "Bad" ), "")</f>
        <v>0</v>
      </c>
      <c r="E562" s="35">
        <f>if(A562&lt;&gt;"", COUNTIFS(Beans!A:A, A562, Beans!C:C, "Spicy" ), "")</f>
        <v>0</v>
      </c>
    </row>
    <row r="563">
      <c r="A563" s="34">
        <f t="shared" si="2"/>
        <v>45413</v>
      </c>
      <c r="B563" s="35">
        <f>if(A563&lt;&gt;"", COUNTIFS(Beans!A:A, A563), "")</f>
        <v>7</v>
      </c>
      <c r="C563" s="35">
        <f>if(A563&lt;&gt;"", COUNTIFS(Beans!A:A, A563, Beans!C:C, "Good" ), "")</f>
        <v>1</v>
      </c>
      <c r="D563" s="35">
        <f>if(A563&lt;&gt;"", COUNTIFS(Beans!A:A, A563, Beans!C:C, "Bad" ), "")</f>
        <v>6</v>
      </c>
      <c r="E563" s="35">
        <f>if(A563&lt;&gt;"", COUNTIFS(Beans!A:A, A563, Beans!C:C, "Spicy" ), "")</f>
        <v>0</v>
      </c>
    </row>
    <row r="564">
      <c r="A564" s="34">
        <f t="shared" si="2"/>
        <v>45414</v>
      </c>
      <c r="B564" s="35">
        <f>if(A564&lt;&gt;"", COUNTIFS(Beans!A:A, A564), "")</f>
        <v>1</v>
      </c>
      <c r="C564" s="35">
        <f>if(A564&lt;&gt;"", COUNTIFS(Beans!A:A, A564, Beans!C:C, "Good" ), "")</f>
        <v>1</v>
      </c>
      <c r="D564" s="35">
        <f>if(A564&lt;&gt;"", COUNTIFS(Beans!A:A, A564, Beans!C:C, "Bad" ), "")</f>
        <v>0</v>
      </c>
      <c r="E564" s="35">
        <f>if(A564&lt;&gt;"", COUNTIFS(Beans!A:A, A564, Beans!C:C, "Spicy" ), "")</f>
        <v>0</v>
      </c>
    </row>
    <row r="565">
      <c r="A565" s="34">
        <f t="shared" si="2"/>
        <v>45415</v>
      </c>
      <c r="B565" s="35">
        <f>if(A565&lt;&gt;"", COUNTIFS(Beans!A:A, A565), "")</f>
        <v>4</v>
      </c>
      <c r="C565" s="35">
        <f>if(A565&lt;&gt;"", COUNTIFS(Beans!A:A, A565, Beans!C:C, "Good" ), "")</f>
        <v>2</v>
      </c>
      <c r="D565" s="35">
        <f>if(A565&lt;&gt;"", COUNTIFS(Beans!A:A, A565, Beans!C:C, "Bad" ), "")</f>
        <v>2</v>
      </c>
      <c r="E565" s="35">
        <f>if(A565&lt;&gt;"", COUNTIFS(Beans!A:A, A565, Beans!C:C, "Spicy" ), "")</f>
        <v>0</v>
      </c>
    </row>
    <row r="566">
      <c r="A566" s="34">
        <f t="shared" si="2"/>
        <v>45416</v>
      </c>
      <c r="B566" s="35">
        <f>if(A566&lt;&gt;"", COUNTIFS(Beans!A:A, A566), "")</f>
        <v>0</v>
      </c>
      <c r="C566" s="35">
        <f>if(A566&lt;&gt;"", COUNTIFS(Beans!A:A, A566, Beans!C:C, "Good" ), "")</f>
        <v>0</v>
      </c>
      <c r="D566" s="35">
        <f>if(A566&lt;&gt;"", COUNTIFS(Beans!A:A, A566, Beans!C:C, "Bad" ), "")</f>
        <v>0</v>
      </c>
      <c r="E566" s="35">
        <f>if(A566&lt;&gt;"", COUNTIFS(Beans!A:A, A566, Beans!C:C, "Spicy" ), "")</f>
        <v>0</v>
      </c>
    </row>
    <row r="567">
      <c r="A567" s="34">
        <f t="shared" si="2"/>
        <v>45417</v>
      </c>
      <c r="B567" s="35">
        <f>if(A567&lt;&gt;"", COUNTIFS(Beans!A:A, A567), "")</f>
        <v>0</v>
      </c>
      <c r="C567" s="35">
        <f>if(A567&lt;&gt;"", COUNTIFS(Beans!A:A, A567, Beans!C:C, "Good" ), "")</f>
        <v>0</v>
      </c>
      <c r="D567" s="35">
        <f>if(A567&lt;&gt;"", COUNTIFS(Beans!A:A, A567, Beans!C:C, "Bad" ), "")</f>
        <v>0</v>
      </c>
      <c r="E567" s="35">
        <f>if(A567&lt;&gt;"", COUNTIFS(Beans!A:A, A567, Beans!C:C, "Spicy" ), "")</f>
        <v>0</v>
      </c>
    </row>
    <row r="568">
      <c r="A568" s="34">
        <f t="shared" si="2"/>
        <v>45418</v>
      </c>
      <c r="B568" s="35">
        <f>if(A568&lt;&gt;"", COUNTIFS(Beans!A:A, A568), "")</f>
        <v>0</v>
      </c>
      <c r="C568" s="35">
        <f>if(A568&lt;&gt;"", COUNTIFS(Beans!A:A, A568, Beans!C:C, "Good" ), "")</f>
        <v>0</v>
      </c>
      <c r="D568" s="35">
        <f>if(A568&lt;&gt;"", COUNTIFS(Beans!A:A, A568, Beans!C:C, "Bad" ), "")</f>
        <v>0</v>
      </c>
      <c r="E568" s="35">
        <f>if(A568&lt;&gt;"", COUNTIFS(Beans!A:A, A568, Beans!C:C, "Spicy" ), "")</f>
        <v>0</v>
      </c>
    </row>
    <row r="569">
      <c r="A569" s="34">
        <f t="shared" si="2"/>
        <v>45419</v>
      </c>
      <c r="B569" s="35">
        <f>if(A569&lt;&gt;"", COUNTIFS(Beans!A:A, A569), "")</f>
        <v>1</v>
      </c>
      <c r="C569" s="35">
        <f>if(A569&lt;&gt;"", COUNTIFS(Beans!A:A, A569, Beans!C:C, "Good" ), "")</f>
        <v>1</v>
      </c>
      <c r="D569" s="35">
        <f>if(A569&lt;&gt;"", COUNTIFS(Beans!A:A, A569, Beans!C:C, "Bad" ), "")</f>
        <v>0</v>
      </c>
      <c r="E569" s="35">
        <f>if(A569&lt;&gt;"", COUNTIFS(Beans!A:A, A569, Beans!C:C, "Spicy" ), "")</f>
        <v>0</v>
      </c>
    </row>
    <row r="570">
      <c r="A570" s="34">
        <f t="shared" si="2"/>
        <v>45420</v>
      </c>
      <c r="B570" s="35">
        <f>if(A570&lt;&gt;"", COUNTIFS(Beans!A:A, A570), "")</f>
        <v>1</v>
      </c>
      <c r="C570" s="35">
        <f>if(A570&lt;&gt;"", COUNTIFS(Beans!A:A, A570, Beans!C:C, "Good" ), "")</f>
        <v>0</v>
      </c>
      <c r="D570" s="35">
        <f>if(A570&lt;&gt;"", COUNTIFS(Beans!A:A, A570, Beans!C:C, "Bad" ), "")</f>
        <v>1</v>
      </c>
      <c r="E570" s="35">
        <f>if(A570&lt;&gt;"", COUNTIFS(Beans!A:A, A570, Beans!C:C, "Spicy" ), "")</f>
        <v>0</v>
      </c>
    </row>
    <row r="571">
      <c r="A571" s="34">
        <f t="shared" si="2"/>
        <v>45421</v>
      </c>
      <c r="B571" s="35">
        <f>if(A571&lt;&gt;"", COUNTIFS(Beans!A:A, A571), "")</f>
        <v>2</v>
      </c>
      <c r="C571" s="35">
        <f>if(A571&lt;&gt;"", COUNTIFS(Beans!A:A, A571, Beans!C:C, "Good" ), "")</f>
        <v>0</v>
      </c>
      <c r="D571" s="35">
        <f>if(A571&lt;&gt;"", COUNTIFS(Beans!A:A, A571, Beans!C:C, "Bad" ), "")</f>
        <v>2</v>
      </c>
      <c r="E571" s="35">
        <f>if(A571&lt;&gt;"", COUNTIFS(Beans!A:A, A571, Beans!C:C, "Spicy" ), "")</f>
        <v>0</v>
      </c>
    </row>
    <row r="572">
      <c r="A572" s="34">
        <f t="shared" si="2"/>
        <v>45422</v>
      </c>
      <c r="B572" s="35">
        <f>if(A572&lt;&gt;"", COUNTIFS(Beans!A:A, A572), "")</f>
        <v>2</v>
      </c>
      <c r="C572" s="35">
        <f>if(A572&lt;&gt;"", COUNTIFS(Beans!A:A, A572, Beans!C:C, "Good" ), "")</f>
        <v>0</v>
      </c>
      <c r="D572" s="35">
        <f>if(A572&lt;&gt;"", COUNTIFS(Beans!A:A, A572, Beans!C:C, "Bad" ), "")</f>
        <v>2</v>
      </c>
      <c r="E572" s="35">
        <f>if(A572&lt;&gt;"", COUNTIFS(Beans!A:A, A572, Beans!C:C, "Spicy" ), "")</f>
        <v>0</v>
      </c>
    </row>
    <row r="573">
      <c r="A573" s="34">
        <f t="shared" si="2"/>
        <v>45423</v>
      </c>
      <c r="B573" s="35">
        <f>if(A573&lt;&gt;"", COUNTIFS(Beans!A:A, A573), "")</f>
        <v>0</v>
      </c>
      <c r="C573" s="35">
        <f>if(A573&lt;&gt;"", COUNTIFS(Beans!A:A, A573, Beans!C:C, "Good" ), "")</f>
        <v>0</v>
      </c>
      <c r="D573" s="35">
        <f>if(A573&lt;&gt;"", COUNTIFS(Beans!A:A, A573, Beans!C:C, "Bad" ), "")</f>
        <v>0</v>
      </c>
      <c r="E573" s="35">
        <f>if(A573&lt;&gt;"", COUNTIFS(Beans!A:A, A573, Beans!C:C, "Spicy" ), "")</f>
        <v>0</v>
      </c>
    </row>
    <row r="574">
      <c r="A574" s="34">
        <f t="shared" si="2"/>
        <v>45424</v>
      </c>
      <c r="B574" s="35">
        <f>if(A574&lt;&gt;"", COUNTIFS(Beans!A:A, A574), "")</f>
        <v>0</v>
      </c>
      <c r="C574" s="35">
        <f>if(A574&lt;&gt;"", COUNTIFS(Beans!A:A, A574, Beans!C:C, "Good" ), "")</f>
        <v>0</v>
      </c>
      <c r="D574" s="35">
        <f>if(A574&lt;&gt;"", COUNTIFS(Beans!A:A, A574, Beans!C:C, "Bad" ), "")</f>
        <v>0</v>
      </c>
      <c r="E574" s="35">
        <f>if(A574&lt;&gt;"", COUNTIFS(Beans!A:A, A574, Beans!C:C, "Spicy" ), "")</f>
        <v>0</v>
      </c>
    </row>
    <row r="575">
      <c r="A575" s="34">
        <f t="shared" si="2"/>
        <v>45425</v>
      </c>
      <c r="B575" s="35">
        <f>if(A575&lt;&gt;"", COUNTIFS(Beans!A:A, A575), "")</f>
        <v>1</v>
      </c>
      <c r="C575" s="35">
        <f>if(A575&lt;&gt;"", COUNTIFS(Beans!A:A, A575, Beans!C:C, "Good" ), "")</f>
        <v>0</v>
      </c>
      <c r="D575" s="35">
        <f>if(A575&lt;&gt;"", COUNTIFS(Beans!A:A, A575, Beans!C:C, "Bad" ), "")</f>
        <v>1</v>
      </c>
      <c r="E575" s="35">
        <f>if(A575&lt;&gt;"", COUNTIFS(Beans!A:A, A575, Beans!C:C, "Spicy" ), "")</f>
        <v>0</v>
      </c>
    </row>
    <row r="576">
      <c r="A576" s="34">
        <f t="shared" si="2"/>
        <v>45426</v>
      </c>
      <c r="B576" s="35">
        <f>if(A576&lt;&gt;"", COUNTIFS(Beans!A:A, A576), "")</f>
        <v>0</v>
      </c>
      <c r="C576" s="35">
        <f>if(A576&lt;&gt;"", COUNTIFS(Beans!A:A, A576, Beans!C:C, "Good" ), "")</f>
        <v>0</v>
      </c>
      <c r="D576" s="35">
        <f>if(A576&lt;&gt;"", COUNTIFS(Beans!A:A, A576, Beans!C:C, "Bad" ), "")</f>
        <v>0</v>
      </c>
      <c r="E576" s="35">
        <f>if(A576&lt;&gt;"", COUNTIFS(Beans!A:A, A576, Beans!C:C, "Spicy" ), "")</f>
        <v>0</v>
      </c>
    </row>
    <row r="577">
      <c r="A577" s="34">
        <f t="shared" si="2"/>
        <v>45427</v>
      </c>
      <c r="B577" s="35">
        <f>if(A577&lt;&gt;"", COUNTIFS(Beans!A:A, A577), "")</f>
        <v>3</v>
      </c>
      <c r="C577" s="35">
        <f>if(A577&lt;&gt;"", COUNTIFS(Beans!A:A, A577, Beans!C:C, "Good" ), "")</f>
        <v>0</v>
      </c>
      <c r="D577" s="35">
        <f>if(A577&lt;&gt;"", COUNTIFS(Beans!A:A, A577, Beans!C:C, "Bad" ), "")</f>
        <v>3</v>
      </c>
      <c r="E577" s="35">
        <f>if(A577&lt;&gt;"", COUNTIFS(Beans!A:A, A577, Beans!C:C, "Spicy" ), "")</f>
        <v>0</v>
      </c>
    </row>
    <row r="578">
      <c r="A578" s="34">
        <f t="shared" si="2"/>
        <v>45428</v>
      </c>
      <c r="B578" s="35">
        <f>if(A578&lt;&gt;"", COUNTIFS(Beans!A:A, A578), "")</f>
        <v>2</v>
      </c>
      <c r="C578" s="35">
        <f>if(A578&lt;&gt;"", COUNTIFS(Beans!A:A, A578, Beans!C:C, "Good" ), "")</f>
        <v>0</v>
      </c>
      <c r="D578" s="35">
        <f>if(A578&lt;&gt;"", COUNTIFS(Beans!A:A, A578, Beans!C:C, "Bad" ), "")</f>
        <v>2</v>
      </c>
      <c r="E578" s="35">
        <f>if(A578&lt;&gt;"", COUNTIFS(Beans!A:A, A578, Beans!C:C, "Spicy" ), "")</f>
        <v>0</v>
      </c>
    </row>
    <row r="579">
      <c r="A579" s="34">
        <f t="shared" si="2"/>
        <v>45429</v>
      </c>
      <c r="B579" s="35">
        <f>if(A579&lt;&gt;"", COUNTIFS(Beans!A:A, A579), "")</f>
        <v>2</v>
      </c>
      <c r="C579" s="35">
        <f>if(A579&lt;&gt;"", COUNTIFS(Beans!A:A, A579, Beans!C:C, "Good" ), "")</f>
        <v>0</v>
      </c>
      <c r="D579" s="35">
        <f>if(A579&lt;&gt;"", COUNTIFS(Beans!A:A, A579, Beans!C:C, "Bad" ), "")</f>
        <v>2</v>
      </c>
      <c r="E579" s="35">
        <f>if(A579&lt;&gt;"", COUNTIFS(Beans!A:A, A579, Beans!C:C, "Spicy" ), "")</f>
        <v>0</v>
      </c>
    </row>
    <row r="580">
      <c r="A580" s="34">
        <f t="shared" si="2"/>
        <v>45430</v>
      </c>
      <c r="B580" s="35">
        <f>if(A580&lt;&gt;"", COUNTIFS(Beans!A:A, A580), "")</f>
        <v>0</v>
      </c>
      <c r="C580" s="35">
        <f>if(A580&lt;&gt;"", COUNTIFS(Beans!A:A, A580, Beans!C:C, "Good" ), "")</f>
        <v>0</v>
      </c>
      <c r="D580" s="35">
        <f>if(A580&lt;&gt;"", COUNTIFS(Beans!A:A, A580, Beans!C:C, "Bad" ), "")</f>
        <v>0</v>
      </c>
      <c r="E580" s="35">
        <f>if(A580&lt;&gt;"", COUNTIFS(Beans!A:A, A580, Beans!C:C, "Spicy" ), "")</f>
        <v>0</v>
      </c>
    </row>
    <row r="581">
      <c r="A581" s="34">
        <f t="shared" si="2"/>
        <v>45431</v>
      </c>
      <c r="B581" s="35">
        <f>if(A581&lt;&gt;"", COUNTIFS(Beans!A:A, A581), "")</f>
        <v>0</v>
      </c>
      <c r="C581" s="35">
        <f>if(A581&lt;&gt;"", COUNTIFS(Beans!A:A, A581, Beans!C:C, "Good" ), "")</f>
        <v>0</v>
      </c>
      <c r="D581" s="35">
        <f>if(A581&lt;&gt;"", COUNTIFS(Beans!A:A, A581, Beans!C:C, "Bad" ), "")</f>
        <v>0</v>
      </c>
      <c r="E581" s="35">
        <f>if(A581&lt;&gt;"", COUNTIFS(Beans!A:A, A581, Beans!C:C, "Spicy" ), "")</f>
        <v>0</v>
      </c>
    </row>
    <row r="582">
      <c r="A582" s="34">
        <f t="shared" si="2"/>
        <v>45432</v>
      </c>
      <c r="B582" s="35">
        <f>if(A582&lt;&gt;"", COUNTIFS(Beans!A:A, A582), "")</f>
        <v>1</v>
      </c>
      <c r="C582" s="35">
        <f>if(A582&lt;&gt;"", COUNTIFS(Beans!A:A, A582, Beans!C:C, "Good" ), "")</f>
        <v>0</v>
      </c>
      <c r="D582" s="35">
        <f>if(A582&lt;&gt;"", COUNTIFS(Beans!A:A, A582, Beans!C:C, "Bad" ), "")</f>
        <v>1</v>
      </c>
      <c r="E582" s="35">
        <f>if(A582&lt;&gt;"", COUNTIFS(Beans!A:A, A582, Beans!C:C, "Spicy" ), "")</f>
        <v>0</v>
      </c>
    </row>
    <row r="583">
      <c r="A583" s="34">
        <f t="shared" si="2"/>
        <v>45433</v>
      </c>
      <c r="B583" s="35">
        <f>if(A583&lt;&gt;"", COUNTIFS(Beans!A:A, A583), "")</f>
        <v>0</v>
      </c>
      <c r="C583" s="35">
        <f>if(A583&lt;&gt;"", COUNTIFS(Beans!A:A, A583, Beans!C:C, "Good" ), "")</f>
        <v>0</v>
      </c>
      <c r="D583" s="35">
        <f>if(A583&lt;&gt;"", COUNTIFS(Beans!A:A, A583, Beans!C:C, "Bad" ), "")</f>
        <v>0</v>
      </c>
      <c r="E583" s="35">
        <f>if(A583&lt;&gt;"", COUNTIFS(Beans!A:A, A583, Beans!C:C, "Spicy" ), "")</f>
        <v>0</v>
      </c>
    </row>
    <row r="584">
      <c r="A584" s="34">
        <f t="shared" si="2"/>
        <v>45434</v>
      </c>
      <c r="B584" s="35">
        <f>if(A584&lt;&gt;"", COUNTIFS(Beans!A:A, A584), "")</f>
        <v>0</v>
      </c>
      <c r="C584" s="35">
        <f>if(A584&lt;&gt;"", COUNTIFS(Beans!A:A, A584, Beans!C:C, "Good" ), "")</f>
        <v>0</v>
      </c>
      <c r="D584" s="35">
        <f>if(A584&lt;&gt;"", COUNTIFS(Beans!A:A, A584, Beans!C:C, "Bad" ), "")</f>
        <v>0</v>
      </c>
      <c r="E584" s="35">
        <f>if(A584&lt;&gt;"", COUNTIFS(Beans!A:A, A584, Beans!C:C, "Spicy" ), "")</f>
        <v>0</v>
      </c>
    </row>
    <row r="585">
      <c r="A585" s="34">
        <f t="shared" si="2"/>
        <v>45435</v>
      </c>
      <c r="B585" s="35">
        <f>if(A585&lt;&gt;"", COUNTIFS(Beans!A:A, A585), "")</f>
        <v>0</v>
      </c>
      <c r="C585" s="35">
        <f>if(A585&lt;&gt;"", COUNTIFS(Beans!A:A, A585, Beans!C:C, "Good" ), "")</f>
        <v>0</v>
      </c>
      <c r="D585" s="35">
        <f>if(A585&lt;&gt;"", COUNTIFS(Beans!A:A, A585, Beans!C:C, "Bad" ), "")</f>
        <v>0</v>
      </c>
      <c r="E585" s="35">
        <f>if(A585&lt;&gt;"", COUNTIFS(Beans!A:A, A585, Beans!C:C, "Spicy" ), "")</f>
        <v>0</v>
      </c>
    </row>
    <row r="586">
      <c r="A586" s="34">
        <f t="shared" si="2"/>
        <v>45436</v>
      </c>
      <c r="B586" s="35">
        <f>if(A586&lt;&gt;"", COUNTIFS(Beans!A:A, A586), "")</f>
        <v>0</v>
      </c>
      <c r="C586" s="35">
        <f>if(A586&lt;&gt;"", COUNTIFS(Beans!A:A, A586, Beans!C:C, "Good" ), "")</f>
        <v>0</v>
      </c>
      <c r="D586" s="35">
        <f>if(A586&lt;&gt;"", COUNTIFS(Beans!A:A, A586, Beans!C:C, "Bad" ), "")</f>
        <v>0</v>
      </c>
      <c r="E586" s="35">
        <f>if(A586&lt;&gt;"", COUNTIFS(Beans!A:A, A586, Beans!C:C, "Spicy" ), "")</f>
        <v>0</v>
      </c>
    </row>
    <row r="587">
      <c r="A587" s="34">
        <f t="shared" si="2"/>
        <v>45437</v>
      </c>
      <c r="B587" s="35">
        <f>if(A587&lt;&gt;"", COUNTIFS(Beans!A:A, A587), "")</f>
        <v>0</v>
      </c>
      <c r="C587" s="35">
        <f>if(A587&lt;&gt;"", COUNTIFS(Beans!A:A, A587, Beans!C:C, "Good" ), "")</f>
        <v>0</v>
      </c>
      <c r="D587" s="35">
        <f>if(A587&lt;&gt;"", COUNTIFS(Beans!A:A, A587, Beans!C:C, "Bad" ), "")</f>
        <v>0</v>
      </c>
      <c r="E587" s="35">
        <f>if(A587&lt;&gt;"", COUNTIFS(Beans!A:A, A587, Beans!C:C, "Spicy" ), "")</f>
        <v>0</v>
      </c>
    </row>
    <row r="588">
      <c r="A588" s="34">
        <f t="shared" si="2"/>
        <v>45438</v>
      </c>
      <c r="B588" s="35">
        <f>if(A588&lt;&gt;"", COUNTIFS(Beans!A:A, A588), "")</f>
        <v>0</v>
      </c>
      <c r="C588" s="35">
        <f>if(A588&lt;&gt;"", COUNTIFS(Beans!A:A, A588, Beans!C:C, "Good" ), "")</f>
        <v>0</v>
      </c>
      <c r="D588" s="35">
        <f>if(A588&lt;&gt;"", COUNTIFS(Beans!A:A, A588, Beans!C:C, "Bad" ), "")</f>
        <v>0</v>
      </c>
      <c r="E588" s="35">
        <f>if(A588&lt;&gt;"", COUNTIFS(Beans!A:A, A588, Beans!C:C, "Spicy" ), "")</f>
        <v>0</v>
      </c>
    </row>
    <row r="589">
      <c r="A589" s="34">
        <f t="shared" si="2"/>
        <v>45439</v>
      </c>
      <c r="B589" s="35">
        <f>if(A589&lt;&gt;"", COUNTIFS(Beans!A:A, A589), "")</f>
        <v>0</v>
      </c>
      <c r="C589" s="35">
        <f>if(A589&lt;&gt;"", COUNTIFS(Beans!A:A, A589, Beans!C:C, "Good" ), "")</f>
        <v>0</v>
      </c>
      <c r="D589" s="35">
        <f>if(A589&lt;&gt;"", COUNTIFS(Beans!A:A, A589, Beans!C:C, "Bad" ), "")</f>
        <v>0</v>
      </c>
      <c r="E589" s="35">
        <f>if(A589&lt;&gt;"", COUNTIFS(Beans!A:A, A589, Beans!C:C, "Spicy" ), "")</f>
        <v>0</v>
      </c>
    </row>
    <row r="590">
      <c r="A590" s="34">
        <f t="shared" si="2"/>
        <v>45440</v>
      </c>
      <c r="B590" s="35">
        <f>if(A590&lt;&gt;"", COUNTIFS(Beans!A:A, A590), "")</f>
        <v>0</v>
      </c>
      <c r="C590" s="35">
        <f>if(A590&lt;&gt;"", COUNTIFS(Beans!A:A, A590, Beans!C:C, "Good" ), "")</f>
        <v>0</v>
      </c>
      <c r="D590" s="35">
        <f>if(A590&lt;&gt;"", COUNTIFS(Beans!A:A, A590, Beans!C:C, "Bad" ), "")</f>
        <v>0</v>
      </c>
      <c r="E590" s="35">
        <f>if(A590&lt;&gt;"", COUNTIFS(Beans!A:A, A590, Beans!C:C, "Spicy" ), "")</f>
        <v>0</v>
      </c>
    </row>
    <row r="591">
      <c r="A591" s="34">
        <f t="shared" si="2"/>
        <v>45441</v>
      </c>
      <c r="B591" s="35">
        <f>if(A591&lt;&gt;"", COUNTIFS(Beans!A:A, A591), "")</f>
        <v>0</v>
      </c>
      <c r="C591" s="35">
        <f>if(A591&lt;&gt;"", COUNTIFS(Beans!A:A, A591, Beans!C:C, "Good" ), "")</f>
        <v>0</v>
      </c>
      <c r="D591" s="35">
        <f>if(A591&lt;&gt;"", COUNTIFS(Beans!A:A, A591, Beans!C:C, "Bad" ), "")</f>
        <v>0</v>
      </c>
      <c r="E591" s="35">
        <f>if(A591&lt;&gt;"", COUNTIFS(Beans!A:A, A591, Beans!C:C, "Spicy" ), "")</f>
        <v>0</v>
      </c>
    </row>
    <row r="592">
      <c r="A592" s="34">
        <f t="shared" si="2"/>
        <v>45442</v>
      </c>
      <c r="B592" s="35">
        <f>if(A592&lt;&gt;"", COUNTIFS(Beans!A:A, A592), "")</f>
        <v>4</v>
      </c>
      <c r="C592" s="35">
        <f>if(A592&lt;&gt;"", COUNTIFS(Beans!A:A, A592, Beans!C:C, "Good" ), "")</f>
        <v>2</v>
      </c>
      <c r="D592" s="35">
        <f>if(A592&lt;&gt;"", COUNTIFS(Beans!A:A, A592, Beans!C:C, "Bad" ), "")</f>
        <v>2</v>
      </c>
      <c r="E592" s="35">
        <f>if(A592&lt;&gt;"", COUNTIFS(Beans!A:A, A592, Beans!C:C, "Spicy" ), "")</f>
        <v>0</v>
      </c>
    </row>
    <row r="593">
      <c r="A593" s="34">
        <f t="shared" si="2"/>
        <v>45443</v>
      </c>
      <c r="B593" s="35">
        <f>if(A593&lt;&gt;"", COUNTIFS(Beans!A:A, A593), "")</f>
        <v>0</v>
      </c>
      <c r="C593" s="35">
        <f>if(A593&lt;&gt;"", COUNTIFS(Beans!A:A, A593, Beans!C:C, "Good" ), "")</f>
        <v>0</v>
      </c>
      <c r="D593" s="35">
        <f>if(A593&lt;&gt;"", COUNTIFS(Beans!A:A, A593, Beans!C:C, "Bad" ), "")</f>
        <v>0</v>
      </c>
      <c r="E593" s="35">
        <f>if(A593&lt;&gt;"", COUNTIFS(Beans!A:A, A593, Beans!C:C, "Spicy" ), "")</f>
        <v>0</v>
      </c>
    </row>
    <row r="594">
      <c r="A594" s="34">
        <f t="shared" si="2"/>
        <v>45444</v>
      </c>
      <c r="B594" s="35">
        <f>if(A594&lt;&gt;"", COUNTIFS(Beans!A:A, A594), "")</f>
        <v>0</v>
      </c>
      <c r="C594" s="35">
        <f>if(A594&lt;&gt;"", COUNTIFS(Beans!A:A, A594, Beans!C:C, "Good" ), "")</f>
        <v>0</v>
      </c>
      <c r="D594" s="35">
        <f>if(A594&lt;&gt;"", COUNTIFS(Beans!A:A, A594, Beans!C:C, "Bad" ), "")</f>
        <v>0</v>
      </c>
      <c r="E594" s="35">
        <f>if(A594&lt;&gt;"", COUNTIFS(Beans!A:A, A594, Beans!C:C, "Spicy" ), "")</f>
        <v>0</v>
      </c>
    </row>
    <row r="595">
      <c r="A595" s="34">
        <f t="shared" si="2"/>
        <v>45445</v>
      </c>
      <c r="B595" s="35">
        <f>if(A595&lt;&gt;"", COUNTIFS(Beans!A:A, A595), "")</f>
        <v>0</v>
      </c>
      <c r="C595" s="35">
        <f>if(A595&lt;&gt;"", COUNTIFS(Beans!A:A, A595, Beans!C:C, "Good" ), "")</f>
        <v>0</v>
      </c>
      <c r="D595" s="35">
        <f>if(A595&lt;&gt;"", COUNTIFS(Beans!A:A, A595, Beans!C:C, "Bad" ), "")</f>
        <v>0</v>
      </c>
      <c r="E595" s="35">
        <f>if(A595&lt;&gt;"", COUNTIFS(Beans!A:A, A595, Beans!C:C, "Spicy" ), "")</f>
        <v>0</v>
      </c>
    </row>
    <row r="596">
      <c r="A596" s="34">
        <f t="shared" si="2"/>
        <v>45446</v>
      </c>
      <c r="B596" s="35">
        <f>if(A596&lt;&gt;"", COUNTIFS(Beans!A:A, A596), "")</f>
        <v>0</v>
      </c>
      <c r="C596" s="35">
        <f>if(A596&lt;&gt;"", COUNTIFS(Beans!A:A, A596, Beans!C:C, "Good" ), "")</f>
        <v>0</v>
      </c>
      <c r="D596" s="35">
        <f>if(A596&lt;&gt;"", COUNTIFS(Beans!A:A, A596, Beans!C:C, "Bad" ), "")</f>
        <v>0</v>
      </c>
      <c r="E596" s="35">
        <f>if(A596&lt;&gt;"", COUNTIFS(Beans!A:A, A596, Beans!C:C, "Spicy" ), "")</f>
        <v>0</v>
      </c>
    </row>
    <row r="597">
      <c r="A597" s="34">
        <f t="shared" si="2"/>
        <v>45447</v>
      </c>
      <c r="B597" s="35">
        <f>if(A597&lt;&gt;"", COUNTIFS(Beans!A:A, A597), "")</f>
        <v>0</v>
      </c>
      <c r="C597" s="35">
        <f>if(A597&lt;&gt;"", COUNTIFS(Beans!A:A, A597, Beans!C:C, "Good" ), "")</f>
        <v>0</v>
      </c>
      <c r="D597" s="35">
        <f>if(A597&lt;&gt;"", COUNTIFS(Beans!A:A, A597, Beans!C:C, "Bad" ), "")</f>
        <v>0</v>
      </c>
      <c r="E597" s="35">
        <f>if(A597&lt;&gt;"", COUNTIFS(Beans!A:A, A597, Beans!C:C, "Spicy" ), "")</f>
        <v>0</v>
      </c>
    </row>
    <row r="598">
      <c r="A598" s="34">
        <f t="shared" si="2"/>
        <v>45448</v>
      </c>
      <c r="B598" s="35">
        <f>if(A598&lt;&gt;"", COUNTIFS(Beans!A:A, A598), "")</f>
        <v>0</v>
      </c>
      <c r="C598" s="35">
        <f>if(A598&lt;&gt;"", COUNTIFS(Beans!A:A, A598, Beans!C:C, "Good" ), "")</f>
        <v>0</v>
      </c>
      <c r="D598" s="35">
        <f>if(A598&lt;&gt;"", COUNTIFS(Beans!A:A, A598, Beans!C:C, "Bad" ), "")</f>
        <v>0</v>
      </c>
      <c r="E598" s="35">
        <f>if(A598&lt;&gt;"", COUNTIFS(Beans!A:A, A598, Beans!C:C, "Spicy" ), "")</f>
        <v>0</v>
      </c>
    </row>
    <row r="599">
      <c r="A599" s="34">
        <f t="shared" si="2"/>
        <v>45449</v>
      </c>
      <c r="B599" s="35">
        <f>if(A599&lt;&gt;"", COUNTIFS(Beans!A:A, A599), "")</f>
        <v>0</v>
      </c>
      <c r="C599" s="35">
        <f>if(A599&lt;&gt;"", COUNTIFS(Beans!A:A, A599, Beans!C:C, "Good" ), "")</f>
        <v>0</v>
      </c>
      <c r="D599" s="35">
        <f>if(A599&lt;&gt;"", COUNTIFS(Beans!A:A, A599, Beans!C:C, "Bad" ), "")</f>
        <v>0</v>
      </c>
      <c r="E599" s="35">
        <f>if(A599&lt;&gt;"", COUNTIFS(Beans!A:A, A599, Beans!C:C, "Spicy" ), "")</f>
        <v>0</v>
      </c>
    </row>
    <row r="600">
      <c r="A600" s="34">
        <f t="shared" si="2"/>
        <v>45450</v>
      </c>
      <c r="B600" s="35">
        <f>if(A600&lt;&gt;"", COUNTIFS(Beans!A:A, A600), "")</f>
        <v>0</v>
      </c>
      <c r="C600" s="35">
        <f>if(A600&lt;&gt;"", COUNTIFS(Beans!A:A, A600, Beans!C:C, "Good" ), "")</f>
        <v>0</v>
      </c>
      <c r="D600" s="35">
        <f>if(A600&lt;&gt;"", COUNTIFS(Beans!A:A, A600, Beans!C:C, "Bad" ), "")</f>
        <v>0</v>
      </c>
      <c r="E600" s="35">
        <f>if(A600&lt;&gt;"", COUNTIFS(Beans!A:A, A600, Beans!C:C, "Spicy" ), "")</f>
        <v>0</v>
      </c>
    </row>
    <row r="601">
      <c r="A601" s="34">
        <f t="shared" si="2"/>
        <v>45451</v>
      </c>
      <c r="B601" s="35">
        <f>if(A601&lt;&gt;"", COUNTIFS(Beans!A:A, A601), "")</f>
        <v>0</v>
      </c>
      <c r="C601" s="35">
        <f>if(A601&lt;&gt;"", COUNTIFS(Beans!A:A, A601, Beans!C:C, "Good" ), "")</f>
        <v>0</v>
      </c>
      <c r="D601" s="35">
        <f>if(A601&lt;&gt;"", COUNTIFS(Beans!A:A, A601, Beans!C:C, "Bad" ), "")</f>
        <v>0</v>
      </c>
      <c r="E601" s="35">
        <f>if(A601&lt;&gt;"", COUNTIFS(Beans!A:A, A601, Beans!C:C, "Spicy" ), "")</f>
        <v>0</v>
      </c>
    </row>
    <row r="602">
      <c r="A602" s="34">
        <f t="shared" si="2"/>
        <v>45452</v>
      </c>
      <c r="B602" s="35">
        <f>if(A602&lt;&gt;"", COUNTIFS(Beans!A:A, A602), "")</f>
        <v>0</v>
      </c>
      <c r="C602" s="35">
        <f>if(A602&lt;&gt;"", COUNTIFS(Beans!A:A, A602, Beans!C:C, "Good" ), "")</f>
        <v>0</v>
      </c>
      <c r="D602" s="35">
        <f>if(A602&lt;&gt;"", COUNTIFS(Beans!A:A, A602, Beans!C:C, "Bad" ), "")</f>
        <v>0</v>
      </c>
      <c r="E602" s="35">
        <f>if(A602&lt;&gt;"", COUNTIFS(Beans!A:A, A602, Beans!C:C, "Spicy" ), "")</f>
        <v>0</v>
      </c>
    </row>
    <row r="603">
      <c r="A603" s="34">
        <f t="shared" si="2"/>
        <v>45453</v>
      </c>
      <c r="B603" s="35">
        <f>if(A603&lt;&gt;"", COUNTIFS(Beans!A:A, A603), "")</f>
        <v>3</v>
      </c>
      <c r="C603" s="35">
        <f>if(A603&lt;&gt;"", COUNTIFS(Beans!A:A, A603, Beans!C:C, "Good" ), "")</f>
        <v>1</v>
      </c>
      <c r="D603" s="35">
        <f>if(A603&lt;&gt;"", COUNTIFS(Beans!A:A, A603, Beans!C:C, "Bad" ), "")</f>
        <v>2</v>
      </c>
      <c r="E603" s="35">
        <f>if(A603&lt;&gt;"", COUNTIFS(Beans!A:A, A603, Beans!C:C, "Spicy" ), "")</f>
        <v>0</v>
      </c>
    </row>
    <row r="604">
      <c r="A604" s="34">
        <f t="shared" si="2"/>
        <v>45454</v>
      </c>
      <c r="B604" s="35">
        <f>if(A604&lt;&gt;"", COUNTIFS(Beans!A:A, A604), "")</f>
        <v>0</v>
      </c>
      <c r="C604" s="35">
        <f>if(A604&lt;&gt;"", COUNTIFS(Beans!A:A, A604, Beans!C:C, "Good" ), "")</f>
        <v>0</v>
      </c>
      <c r="D604" s="35">
        <f>if(A604&lt;&gt;"", COUNTIFS(Beans!A:A, A604, Beans!C:C, "Bad" ), "")</f>
        <v>0</v>
      </c>
      <c r="E604" s="35">
        <f>if(A604&lt;&gt;"", COUNTIFS(Beans!A:A, A604, Beans!C:C, "Spicy" ), "")</f>
        <v>0</v>
      </c>
    </row>
    <row r="605">
      <c r="A605" s="34">
        <f t="shared" si="2"/>
        <v>45455</v>
      </c>
      <c r="B605" s="35">
        <f>if(A605&lt;&gt;"", COUNTIFS(Beans!A:A, A605), "")</f>
        <v>2</v>
      </c>
      <c r="C605" s="35">
        <f>if(A605&lt;&gt;"", COUNTIFS(Beans!A:A, A605, Beans!C:C, "Good" ), "")</f>
        <v>1</v>
      </c>
      <c r="D605" s="35">
        <f>if(A605&lt;&gt;"", COUNTIFS(Beans!A:A, A605, Beans!C:C, "Bad" ), "")</f>
        <v>1</v>
      </c>
      <c r="E605" s="35">
        <f>if(A605&lt;&gt;"", COUNTIFS(Beans!A:A, A605, Beans!C:C, "Spicy" ), "")</f>
        <v>0</v>
      </c>
    </row>
    <row r="606">
      <c r="A606" s="34">
        <f t="shared" si="2"/>
        <v>45456</v>
      </c>
      <c r="B606" s="35">
        <f>if(A606&lt;&gt;"", COUNTIFS(Beans!A:A, A606), "")</f>
        <v>1</v>
      </c>
      <c r="C606" s="35">
        <f>if(A606&lt;&gt;"", COUNTIFS(Beans!A:A, A606, Beans!C:C, "Good" ), "")</f>
        <v>1</v>
      </c>
      <c r="D606" s="35">
        <f>if(A606&lt;&gt;"", COUNTIFS(Beans!A:A, A606, Beans!C:C, "Bad" ), "")</f>
        <v>0</v>
      </c>
      <c r="E606" s="35">
        <f>if(A606&lt;&gt;"", COUNTIFS(Beans!A:A, A606, Beans!C:C, "Spicy" ), "")</f>
        <v>0</v>
      </c>
    </row>
    <row r="607">
      <c r="A607" s="34">
        <f t="shared" si="2"/>
        <v>45457</v>
      </c>
      <c r="B607" s="35">
        <f>if(A607&lt;&gt;"", COUNTIFS(Beans!A:A, A607), "")</f>
        <v>1</v>
      </c>
      <c r="C607" s="35">
        <f>if(A607&lt;&gt;"", COUNTIFS(Beans!A:A, A607, Beans!C:C, "Good" ), "")</f>
        <v>1</v>
      </c>
      <c r="D607" s="35">
        <f>if(A607&lt;&gt;"", COUNTIFS(Beans!A:A, A607, Beans!C:C, "Bad" ), "")</f>
        <v>0</v>
      </c>
      <c r="E607" s="35">
        <f>if(A607&lt;&gt;"", COUNTIFS(Beans!A:A, A607, Beans!C:C, "Spicy" ), "")</f>
        <v>0</v>
      </c>
    </row>
    <row r="608">
      <c r="A608" s="34">
        <f t="shared" si="2"/>
        <v>45458</v>
      </c>
      <c r="B608" s="35">
        <f>if(A608&lt;&gt;"", COUNTIFS(Beans!A:A, A608), "")</f>
        <v>0</v>
      </c>
      <c r="C608" s="35">
        <f>if(A608&lt;&gt;"", COUNTIFS(Beans!A:A, A608, Beans!C:C, "Good" ), "")</f>
        <v>0</v>
      </c>
      <c r="D608" s="35">
        <f>if(A608&lt;&gt;"", COUNTIFS(Beans!A:A, A608, Beans!C:C, "Bad" ), "")</f>
        <v>0</v>
      </c>
      <c r="E608" s="35">
        <f>if(A608&lt;&gt;"", COUNTIFS(Beans!A:A, A608, Beans!C:C, "Spicy" ), "")</f>
        <v>0</v>
      </c>
    </row>
    <row r="609">
      <c r="A609" s="34">
        <f t="shared" si="2"/>
        <v>45459</v>
      </c>
      <c r="B609" s="35">
        <f>if(A609&lt;&gt;"", COUNTIFS(Beans!A:A, A609), "")</f>
        <v>0</v>
      </c>
      <c r="C609" s="35">
        <f>if(A609&lt;&gt;"", COUNTIFS(Beans!A:A, A609, Beans!C:C, "Good" ), "")</f>
        <v>0</v>
      </c>
      <c r="D609" s="35">
        <f>if(A609&lt;&gt;"", COUNTIFS(Beans!A:A, A609, Beans!C:C, "Bad" ), "")</f>
        <v>0</v>
      </c>
      <c r="E609" s="35">
        <f>if(A609&lt;&gt;"", COUNTIFS(Beans!A:A, A609, Beans!C:C, "Spicy" ), "")</f>
        <v>0</v>
      </c>
    </row>
    <row r="610">
      <c r="A610" s="34">
        <f t="shared" si="2"/>
        <v>45460</v>
      </c>
      <c r="B610" s="35">
        <f>if(A610&lt;&gt;"", COUNTIFS(Beans!A:A, A610), "")</f>
        <v>4</v>
      </c>
      <c r="C610" s="35">
        <f>if(A610&lt;&gt;"", COUNTIFS(Beans!A:A, A610, Beans!C:C, "Good" ), "")</f>
        <v>1</v>
      </c>
      <c r="D610" s="35">
        <f>if(A610&lt;&gt;"", COUNTIFS(Beans!A:A, A610, Beans!C:C, "Bad" ), "")</f>
        <v>3</v>
      </c>
      <c r="E610" s="35">
        <f>if(A610&lt;&gt;"", COUNTIFS(Beans!A:A, A610, Beans!C:C, "Spicy" ), "")</f>
        <v>0</v>
      </c>
    </row>
    <row r="611">
      <c r="A611" s="34">
        <f t="shared" si="2"/>
        <v>45461</v>
      </c>
      <c r="B611" s="35">
        <f>if(A611&lt;&gt;"", COUNTIFS(Beans!A:A, A611), "")</f>
        <v>0</v>
      </c>
      <c r="C611" s="35">
        <f>if(A611&lt;&gt;"", COUNTIFS(Beans!A:A, A611, Beans!C:C, "Good" ), "")</f>
        <v>0</v>
      </c>
      <c r="D611" s="35">
        <f>if(A611&lt;&gt;"", COUNTIFS(Beans!A:A, A611, Beans!C:C, "Bad" ), "")</f>
        <v>0</v>
      </c>
      <c r="E611" s="35">
        <f>if(A611&lt;&gt;"", COUNTIFS(Beans!A:A, A611, Beans!C:C, "Spicy" ), "")</f>
        <v>0</v>
      </c>
    </row>
    <row r="612">
      <c r="A612" s="34">
        <f t="shared" si="2"/>
        <v>45462</v>
      </c>
      <c r="B612" s="35">
        <f>if(A612&lt;&gt;"", COUNTIFS(Beans!A:A, A612), "")</f>
        <v>0</v>
      </c>
      <c r="C612" s="35">
        <f>if(A612&lt;&gt;"", COUNTIFS(Beans!A:A, A612, Beans!C:C, "Good" ), "")</f>
        <v>0</v>
      </c>
      <c r="D612" s="35">
        <f>if(A612&lt;&gt;"", COUNTIFS(Beans!A:A, A612, Beans!C:C, "Bad" ), "")</f>
        <v>0</v>
      </c>
      <c r="E612" s="35">
        <f>if(A612&lt;&gt;"", COUNTIFS(Beans!A:A, A612, Beans!C:C, "Spicy" ), "")</f>
        <v>0</v>
      </c>
    </row>
    <row r="613">
      <c r="A613" s="34">
        <f t="shared" si="2"/>
        <v>45463</v>
      </c>
      <c r="B613" s="35">
        <f>if(A613&lt;&gt;"", COUNTIFS(Beans!A:A, A613), "")</f>
        <v>1</v>
      </c>
      <c r="C613" s="35">
        <f>if(A613&lt;&gt;"", COUNTIFS(Beans!A:A, A613, Beans!C:C, "Good" ), "")</f>
        <v>0</v>
      </c>
      <c r="D613" s="35">
        <f>if(A613&lt;&gt;"", COUNTIFS(Beans!A:A, A613, Beans!C:C, "Bad" ), "")</f>
        <v>1</v>
      </c>
      <c r="E613" s="35">
        <f>if(A613&lt;&gt;"", COUNTIFS(Beans!A:A, A613, Beans!C:C, "Spicy" ), "")</f>
        <v>0</v>
      </c>
    </row>
    <row r="614">
      <c r="A614" s="34">
        <f t="shared" si="2"/>
        <v>45464</v>
      </c>
      <c r="B614" s="35">
        <f>if(A614&lt;&gt;"", COUNTIFS(Beans!A:A, A614), "")</f>
        <v>1</v>
      </c>
      <c r="C614" s="35">
        <f>if(A614&lt;&gt;"", COUNTIFS(Beans!A:A, A614, Beans!C:C, "Good" ), "")</f>
        <v>0</v>
      </c>
      <c r="D614" s="35">
        <f>if(A614&lt;&gt;"", COUNTIFS(Beans!A:A, A614, Beans!C:C, "Bad" ), "")</f>
        <v>1</v>
      </c>
      <c r="E614" s="35">
        <f>if(A614&lt;&gt;"", COUNTIFS(Beans!A:A, A614, Beans!C:C, "Spicy" ), "")</f>
        <v>0</v>
      </c>
    </row>
    <row r="615">
      <c r="A615" s="34">
        <f t="shared" si="2"/>
        <v>45465</v>
      </c>
      <c r="B615" s="35">
        <f>if(A615&lt;&gt;"", COUNTIFS(Beans!A:A, A615), "")</f>
        <v>0</v>
      </c>
      <c r="C615" s="35">
        <f>if(A615&lt;&gt;"", COUNTIFS(Beans!A:A, A615, Beans!C:C, "Good" ), "")</f>
        <v>0</v>
      </c>
      <c r="D615" s="35">
        <f>if(A615&lt;&gt;"", COUNTIFS(Beans!A:A, A615, Beans!C:C, "Bad" ), "")</f>
        <v>0</v>
      </c>
      <c r="E615" s="35">
        <f>if(A615&lt;&gt;"", COUNTIFS(Beans!A:A, A615, Beans!C:C, "Spicy" ), "")</f>
        <v>0</v>
      </c>
    </row>
    <row r="616">
      <c r="A616" s="34">
        <f t="shared" si="2"/>
        <v>45466</v>
      </c>
      <c r="B616" s="35">
        <f>if(A616&lt;&gt;"", COUNTIFS(Beans!A:A, A616), "")</f>
        <v>0</v>
      </c>
      <c r="C616" s="35">
        <f>if(A616&lt;&gt;"", COUNTIFS(Beans!A:A, A616, Beans!C:C, "Good" ), "")</f>
        <v>0</v>
      </c>
      <c r="D616" s="35">
        <f>if(A616&lt;&gt;"", COUNTIFS(Beans!A:A, A616, Beans!C:C, "Bad" ), "")</f>
        <v>0</v>
      </c>
      <c r="E616" s="35">
        <f>if(A616&lt;&gt;"", COUNTIFS(Beans!A:A, A616, Beans!C:C, "Spicy" ), "")</f>
        <v>0</v>
      </c>
    </row>
    <row r="617">
      <c r="A617" s="34">
        <f t="shared" si="2"/>
        <v>45467</v>
      </c>
      <c r="B617" s="35">
        <f>if(A617&lt;&gt;"", COUNTIFS(Beans!A:A, A617), "")</f>
        <v>0</v>
      </c>
      <c r="C617" s="35">
        <f>if(A617&lt;&gt;"", COUNTIFS(Beans!A:A, A617, Beans!C:C, "Good" ), "")</f>
        <v>0</v>
      </c>
      <c r="D617" s="35">
        <f>if(A617&lt;&gt;"", COUNTIFS(Beans!A:A, A617, Beans!C:C, "Bad" ), "")</f>
        <v>0</v>
      </c>
      <c r="E617" s="35">
        <f>if(A617&lt;&gt;"", COUNTIFS(Beans!A:A, A617, Beans!C:C, "Spicy" ), "")</f>
        <v>0</v>
      </c>
    </row>
    <row r="618">
      <c r="A618" s="34">
        <f t="shared" si="2"/>
        <v>45468</v>
      </c>
      <c r="B618" s="35">
        <f>if(A618&lt;&gt;"", COUNTIFS(Beans!A:A, A618), "")</f>
        <v>0</v>
      </c>
      <c r="C618" s="35">
        <f>if(A618&lt;&gt;"", COUNTIFS(Beans!A:A, A618, Beans!C:C, "Good" ), "")</f>
        <v>0</v>
      </c>
      <c r="D618" s="35">
        <f>if(A618&lt;&gt;"", COUNTIFS(Beans!A:A, A618, Beans!C:C, "Bad" ), "")</f>
        <v>0</v>
      </c>
      <c r="E618" s="35">
        <f>if(A618&lt;&gt;"", COUNTIFS(Beans!A:A, A618, Beans!C:C, "Spicy" ), "")</f>
        <v>0</v>
      </c>
    </row>
    <row r="619">
      <c r="A619" s="34">
        <f t="shared" si="2"/>
        <v>45469</v>
      </c>
      <c r="B619" s="35">
        <f>if(A619&lt;&gt;"", COUNTIFS(Beans!A:A, A619), "")</f>
        <v>0</v>
      </c>
      <c r="C619" s="35">
        <f>if(A619&lt;&gt;"", COUNTIFS(Beans!A:A, A619, Beans!C:C, "Good" ), "")</f>
        <v>0</v>
      </c>
      <c r="D619" s="35">
        <f>if(A619&lt;&gt;"", COUNTIFS(Beans!A:A, A619, Beans!C:C, "Bad" ), "")</f>
        <v>0</v>
      </c>
      <c r="E619" s="35">
        <f>if(A619&lt;&gt;"", COUNTIFS(Beans!A:A, A619, Beans!C:C, "Spicy" ), "")</f>
        <v>0</v>
      </c>
    </row>
    <row r="620">
      <c r="A620" s="34">
        <f t="shared" si="2"/>
        <v>45470</v>
      </c>
      <c r="B620" s="35">
        <f>if(A620&lt;&gt;"", COUNTIFS(Beans!A:A, A620), "")</f>
        <v>1</v>
      </c>
      <c r="C620" s="35">
        <f>if(A620&lt;&gt;"", COUNTIFS(Beans!A:A, A620, Beans!C:C, "Good" ), "")</f>
        <v>0</v>
      </c>
      <c r="D620" s="35">
        <f>if(A620&lt;&gt;"", COUNTIFS(Beans!A:A, A620, Beans!C:C, "Bad" ), "")</f>
        <v>1</v>
      </c>
      <c r="E620" s="35">
        <f>if(A620&lt;&gt;"", COUNTIFS(Beans!A:A, A620, Beans!C:C, "Spicy" ), "")</f>
        <v>0</v>
      </c>
    </row>
    <row r="621">
      <c r="A621" s="34">
        <f t="shared" si="2"/>
        <v>45471</v>
      </c>
      <c r="B621" s="35">
        <f>if(A621&lt;&gt;"", COUNTIFS(Beans!A:A, A621), "")</f>
        <v>0</v>
      </c>
      <c r="C621" s="35">
        <f>if(A621&lt;&gt;"", COUNTIFS(Beans!A:A, A621, Beans!C:C, "Good" ), "")</f>
        <v>0</v>
      </c>
      <c r="D621" s="35">
        <f>if(A621&lt;&gt;"", COUNTIFS(Beans!A:A, A621, Beans!C:C, "Bad" ), "")</f>
        <v>0</v>
      </c>
      <c r="E621" s="35">
        <f>if(A621&lt;&gt;"", COUNTIFS(Beans!A:A, A621, Beans!C:C, "Spicy" ), "")</f>
        <v>0</v>
      </c>
    </row>
    <row r="622">
      <c r="A622" s="34">
        <f t="shared" si="2"/>
        <v>45472</v>
      </c>
      <c r="B622" s="35">
        <f>if(A622&lt;&gt;"", COUNTIFS(Beans!A:A, A622), "")</f>
        <v>0</v>
      </c>
      <c r="C622" s="35">
        <f>if(A622&lt;&gt;"", COUNTIFS(Beans!A:A, A622, Beans!C:C, "Good" ), "")</f>
        <v>0</v>
      </c>
      <c r="D622" s="35">
        <f>if(A622&lt;&gt;"", COUNTIFS(Beans!A:A, A622, Beans!C:C, "Bad" ), "")</f>
        <v>0</v>
      </c>
      <c r="E622" s="35">
        <f>if(A622&lt;&gt;"", COUNTIFS(Beans!A:A, A622, Beans!C:C, "Spicy" ), "")</f>
        <v>0</v>
      </c>
    </row>
    <row r="623">
      <c r="A623" s="34">
        <f t="shared" si="2"/>
        <v>45473</v>
      </c>
      <c r="B623" s="35">
        <f>if(A623&lt;&gt;"", COUNTIFS(Beans!A:A, A623), "")</f>
        <v>0</v>
      </c>
      <c r="C623" s="35">
        <f>if(A623&lt;&gt;"", COUNTIFS(Beans!A:A, A623, Beans!C:C, "Good" ), "")</f>
        <v>0</v>
      </c>
      <c r="D623" s="35">
        <f>if(A623&lt;&gt;"", COUNTIFS(Beans!A:A, A623, Beans!C:C, "Bad" ), "")</f>
        <v>0</v>
      </c>
      <c r="E623" s="35">
        <f>if(A623&lt;&gt;"", COUNTIFS(Beans!A:A, A623, Beans!C:C, "Spicy" ), "")</f>
        <v>0</v>
      </c>
    </row>
    <row r="624">
      <c r="A624" s="34">
        <f t="shared" si="2"/>
        <v>45474</v>
      </c>
      <c r="B624" s="35">
        <f>if(A624&lt;&gt;"", COUNTIFS(Beans!A:A, A624), "")</f>
        <v>0</v>
      </c>
      <c r="C624" s="35">
        <f>if(A624&lt;&gt;"", COUNTIFS(Beans!A:A, A624, Beans!C:C, "Good" ), "")</f>
        <v>0</v>
      </c>
      <c r="D624" s="35">
        <f>if(A624&lt;&gt;"", COUNTIFS(Beans!A:A, A624, Beans!C:C, "Bad" ), "")</f>
        <v>0</v>
      </c>
      <c r="E624" s="35">
        <f>if(A624&lt;&gt;"", COUNTIFS(Beans!A:A, A624, Beans!C:C, "Spicy" ), "")</f>
        <v>0</v>
      </c>
    </row>
    <row r="625">
      <c r="A625" s="34">
        <f t="shared" si="2"/>
        <v>45475</v>
      </c>
      <c r="B625" s="35">
        <f>if(A625&lt;&gt;"", COUNTIFS(Beans!A:A, A625), "")</f>
        <v>0</v>
      </c>
      <c r="C625" s="35">
        <f>if(A625&lt;&gt;"", COUNTIFS(Beans!A:A, A625, Beans!C:C, "Good" ), "")</f>
        <v>0</v>
      </c>
      <c r="D625" s="35">
        <f>if(A625&lt;&gt;"", COUNTIFS(Beans!A:A, A625, Beans!C:C, "Bad" ), "")</f>
        <v>0</v>
      </c>
      <c r="E625" s="35">
        <f>if(A625&lt;&gt;"", COUNTIFS(Beans!A:A, A625, Beans!C:C, "Spicy" ), "")</f>
        <v>0</v>
      </c>
    </row>
    <row r="626">
      <c r="A626" s="34">
        <f t="shared" si="2"/>
        <v>45476</v>
      </c>
      <c r="B626" s="35">
        <f>if(A626&lt;&gt;"", COUNTIFS(Beans!A:A, A626), "")</f>
        <v>2</v>
      </c>
      <c r="C626" s="35">
        <f>if(A626&lt;&gt;"", COUNTIFS(Beans!A:A, A626, Beans!C:C, "Good" ), "")</f>
        <v>0</v>
      </c>
      <c r="D626" s="35">
        <f>if(A626&lt;&gt;"", COUNTIFS(Beans!A:A, A626, Beans!C:C, "Bad" ), "")</f>
        <v>2</v>
      </c>
      <c r="E626" s="35">
        <f>if(A626&lt;&gt;"", COUNTIFS(Beans!A:A, A626, Beans!C:C, "Spicy" ), "")</f>
        <v>0</v>
      </c>
    </row>
    <row r="627">
      <c r="A627" s="34">
        <f t="shared" si="2"/>
        <v>45477</v>
      </c>
      <c r="B627" s="35">
        <f>if(A627&lt;&gt;"", COUNTIFS(Beans!A:A, A627), "")</f>
        <v>1</v>
      </c>
      <c r="C627" s="35">
        <f>if(A627&lt;&gt;"", COUNTIFS(Beans!A:A, A627, Beans!C:C, "Good" ), "")</f>
        <v>0</v>
      </c>
      <c r="D627" s="35">
        <f>if(A627&lt;&gt;"", COUNTIFS(Beans!A:A, A627, Beans!C:C, "Bad" ), "")</f>
        <v>1</v>
      </c>
      <c r="E627" s="35">
        <f>if(A627&lt;&gt;"", COUNTIFS(Beans!A:A, A627, Beans!C:C, "Spicy" ), "")</f>
        <v>0</v>
      </c>
    </row>
    <row r="628">
      <c r="A628" s="34">
        <f t="shared" si="2"/>
        <v>45478</v>
      </c>
      <c r="B628" s="35">
        <f>if(A628&lt;&gt;"", COUNTIFS(Beans!A:A, A628), "")</f>
        <v>1</v>
      </c>
      <c r="C628" s="35">
        <f>if(A628&lt;&gt;"", COUNTIFS(Beans!A:A, A628, Beans!C:C, "Good" ), "")</f>
        <v>0</v>
      </c>
      <c r="D628" s="35">
        <f>if(A628&lt;&gt;"", COUNTIFS(Beans!A:A, A628, Beans!C:C, "Bad" ), "")</f>
        <v>1</v>
      </c>
      <c r="E628" s="35">
        <f>if(A628&lt;&gt;"", COUNTIFS(Beans!A:A, A628, Beans!C:C, "Spicy" ), "")</f>
        <v>0</v>
      </c>
    </row>
    <row r="629">
      <c r="A629" s="34">
        <f t="shared" si="2"/>
        <v>45479</v>
      </c>
      <c r="B629" s="35">
        <f>if(A629&lt;&gt;"", COUNTIFS(Beans!A:A, A629), "")</f>
        <v>0</v>
      </c>
      <c r="C629" s="35">
        <f>if(A629&lt;&gt;"", COUNTIFS(Beans!A:A, A629, Beans!C:C, "Good" ), "")</f>
        <v>0</v>
      </c>
      <c r="D629" s="35">
        <f>if(A629&lt;&gt;"", COUNTIFS(Beans!A:A, A629, Beans!C:C, "Bad" ), "")</f>
        <v>0</v>
      </c>
      <c r="E629" s="35">
        <f>if(A629&lt;&gt;"", COUNTIFS(Beans!A:A, A629, Beans!C:C, "Spicy" ), "")</f>
        <v>0</v>
      </c>
    </row>
    <row r="630">
      <c r="A630" s="34">
        <f t="shared" si="2"/>
        <v>45480</v>
      </c>
      <c r="B630" s="35">
        <f>if(A630&lt;&gt;"", COUNTIFS(Beans!A:A, A630), "")</f>
        <v>0</v>
      </c>
      <c r="C630" s="35">
        <f>if(A630&lt;&gt;"", COUNTIFS(Beans!A:A, A630, Beans!C:C, "Good" ), "")</f>
        <v>0</v>
      </c>
      <c r="D630" s="35">
        <f>if(A630&lt;&gt;"", COUNTIFS(Beans!A:A, A630, Beans!C:C, "Bad" ), "")</f>
        <v>0</v>
      </c>
      <c r="E630" s="35">
        <f>if(A630&lt;&gt;"", COUNTIFS(Beans!A:A, A630, Beans!C:C, "Spicy" ), "")</f>
        <v>0</v>
      </c>
    </row>
    <row r="631">
      <c r="A631" s="34">
        <f t="shared" si="2"/>
        <v>45481</v>
      </c>
      <c r="B631" s="35">
        <f>if(A631&lt;&gt;"", COUNTIFS(Beans!A:A, A631), "")</f>
        <v>1</v>
      </c>
      <c r="C631" s="35">
        <f>if(A631&lt;&gt;"", COUNTIFS(Beans!A:A, A631, Beans!C:C, "Good" ), "")</f>
        <v>0</v>
      </c>
      <c r="D631" s="35">
        <f>if(A631&lt;&gt;"", COUNTIFS(Beans!A:A, A631, Beans!C:C, "Bad" ), "")</f>
        <v>1</v>
      </c>
      <c r="E631" s="35">
        <f>if(A631&lt;&gt;"", COUNTIFS(Beans!A:A, A631, Beans!C:C, "Spicy" ), "")</f>
        <v>0</v>
      </c>
    </row>
    <row r="632">
      <c r="A632" s="34">
        <f t="shared" si="2"/>
        <v>45482</v>
      </c>
      <c r="B632" s="35">
        <f>if(A632&lt;&gt;"", COUNTIFS(Beans!A:A, A632), "")</f>
        <v>0</v>
      </c>
      <c r="C632" s="35">
        <f>if(A632&lt;&gt;"", COUNTIFS(Beans!A:A, A632, Beans!C:C, "Good" ), "")</f>
        <v>0</v>
      </c>
      <c r="D632" s="35">
        <f>if(A632&lt;&gt;"", COUNTIFS(Beans!A:A, A632, Beans!C:C, "Bad" ), "")</f>
        <v>0</v>
      </c>
      <c r="E632" s="35">
        <f>if(A632&lt;&gt;"", COUNTIFS(Beans!A:A, A632, Beans!C:C, "Spicy" ), "")</f>
        <v>0</v>
      </c>
    </row>
    <row r="633">
      <c r="A633" s="34">
        <f t="shared" si="2"/>
        <v>45483</v>
      </c>
      <c r="B633" s="35">
        <f>if(A633&lt;&gt;"", COUNTIFS(Beans!A:A, A633), "")</f>
        <v>3</v>
      </c>
      <c r="C633" s="35">
        <f>if(A633&lt;&gt;"", COUNTIFS(Beans!A:A, A633, Beans!C:C, "Good" ), "")</f>
        <v>0</v>
      </c>
      <c r="D633" s="35">
        <f>if(A633&lt;&gt;"", COUNTIFS(Beans!A:A, A633, Beans!C:C, "Bad" ), "")</f>
        <v>3</v>
      </c>
      <c r="E633" s="35">
        <f>if(A633&lt;&gt;"", COUNTIFS(Beans!A:A, A633, Beans!C:C, "Spicy" ), "")</f>
        <v>0</v>
      </c>
    </row>
    <row r="634">
      <c r="A634" s="34">
        <f t="shared" si="2"/>
        <v>45484</v>
      </c>
      <c r="B634" s="35">
        <f>if(A634&lt;&gt;"", COUNTIFS(Beans!A:A, A634), "")</f>
        <v>3</v>
      </c>
      <c r="C634" s="35">
        <f>if(A634&lt;&gt;"", COUNTIFS(Beans!A:A, A634, Beans!C:C, "Good" ), "")</f>
        <v>1</v>
      </c>
      <c r="D634" s="35">
        <f>if(A634&lt;&gt;"", COUNTIFS(Beans!A:A, A634, Beans!C:C, "Bad" ), "")</f>
        <v>2</v>
      </c>
      <c r="E634" s="35">
        <f>if(A634&lt;&gt;"", COUNTIFS(Beans!A:A, A634, Beans!C:C, "Spicy" ), "")</f>
        <v>0</v>
      </c>
    </row>
    <row r="635">
      <c r="A635" s="34">
        <f t="shared" si="2"/>
        <v>45485</v>
      </c>
      <c r="B635" s="35">
        <f>if(A635&lt;&gt;"", COUNTIFS(Beans!A:A, A635), "")</f>
        <v>0</v>
      </c>
      <c r="C635" s="35">
        <f>if(A635&lt;&gt;"", COUNTIFS(Beans!A:A, A635, Beans!C:C, "Good" ), "")</f>
        <v>0</v>
      </c>
      <c r="D635" s="35">
        <f>if(A635&lt;&gt;"", COUNTIFS(Beans!A:A, A635, Beans!C:C, "Bad" ), "")</f>
        <v>0</v>
      </c>
      <c r="E635" s="35">
        <f>if(A635&lt;&gt;"", COUNTIFS(Beans!A:A, A635, Beans!C:C, "Spicy" ), "")</f>
        <v>0</v>
      </c>
    </row>
    <row r="636">
      <c r="A636" s="34">
        <f t="shared" si="2"/>
        <v>45486</v>
      </c>
      <c r="B636" s="35">
        <f>if(A636&lt;&gt;"", COUNTIFS(Beans!A:A, A636), "")</f>
        <v>0</v>
      </c>
      <c r="C636" s="35">
        <f>if(A636&lt;&gt;"", COUNTIFS(Beans!A:A, A636, Beans!C:C, "Good" ), "")</f>
        <v>0</v>
      </c>
      <c r="D636" s="35">
        <f>if(A636&lt;&gt;"", COUNTIFS(Beans!A:A, A636, Beans!C:C, "Bad" ), "")</f>
        <v>0</v>
      </c>
      <c r="E636" s="35">
        <f>if(A636&lt;&gt;"", COUNTIFS(Beans!A:A, A636, Beans!C:C, "Spicy" ), "")</f>
        <v>0</v>
      </c>
    </row>
    <row r="637">
      <c r="A637" s="34">
        <f t="shared" si="2"/>
        <v>45487</v>
      </c>
      <c r="B637" s="35">
        <f>if(A637&lt;&gt;"", COUNTIFS(Beans!A:A, A637), "")</f>
        <v>0</v>
      </c>
      <c r="C637" s="35">
        <f>if(A637&lt;&gt;"", COUNTIFS(Beans!A:A, A637, Beans!C:C, "Good" ), "")</f>
        <v>0</v>
      </c>
      <c r="D637" s="35">
        <f>if(A637&lt;&gt;"", COUNTIFS(Beans!A:A, A637, Beans!C:C, "Bad" ), "")</f>
        <v>0</v>
      </c>
      <c r="E637" s="35">
        <f>if(A637&lt;&gt;"", COUNTIFS(Beans!A:A, A637, Beans!C:C, "Spicy" ), "")</f>
        <v>0</v>
      </c>
    </row>
    <row r="638">
      <c r="A638" s="34">
        <f t="shared" si="2"/>
        <v>45488</v>
      </c>
      <c r="B638" s="35">
        <f>if(A638&lt;&gt;"", COUNTIFS(Beans!A:A, A638), "")</f>
        <v>0</v>
      </c>
      <c r="C638" s="35">
        <f>if(A638&lt;&gt;"", COUNTIFS(Beans!A:A, A638, Beans!C:C, "Good" ), "")</f>
        <v>0</v>
      </c>
      <c r="D638" s="35">
        <f>if(A638&lt;&gt;"", COUNTIFS(Beans!A:A, A638, Beans!C:C, "Bad" ), "")</f>
        <v>0</v>
      </c>
      <c r="E638" s="35">
        <f>if(A638&lt;&gt;"", COUNTIFS(Beans!A:A, A638, Beans!C:C, "Spicy" ), "")</f>
        <v>0</v>
      </c>
    </row>
    <row r="639">
      <c r="A639" s="34">
        <f t="shared" si="2"/>
        <v>45489</v>
      </c>
      <c r="B639" s="35">
        <f>if(A639&lt;&gt;"", COUNTIFS(Beans!A:A, A639), "")</f>
        <v>0</v>
      </c>
      <c r="C639" s="35">
        <f>if(A639&lt;&gt;"", COUNTIFS(Beans!A:A, A639, Beans!C:C, "Good" ), "")</f>
        <v>0</v>
      </c>
      <c r="D639" s="35">
        <f>if(A639&lt;&gt;"", COUNTIFS(Beans!A:A, A639, Beans!C:C, "Bad" ), "")</f>
        <v>0</v>
      </c>
      <c r="E639" s="35">
        <f>if(A639&lt;&gt;"", COUNTIFS(Beans!A:A, A639, Beans!C:C, "Spicy" ), "")</f>
        <v>0</v>
      </c>
    </row>
    <row r="640">
      <c r="A640" s="34">
        <f t="shared" si="2"/>
        <v>45490</v>
      </c>
      <c r="B640" s="35">
        <f>if(A640&lt;&gt;"", COUNTIFS(Beans!A:A, A640), "")</f>
        <v>1</v>
      </c>
      <c r="C640" s="35">
        <f>if(A640&lt;&gt;"", COUNTIFS(Beans!A:A, A640, Beans!C:C, "Good" ), "")</f>
        <v>0</v>
      </c>
      <c r="D640" s="35">
        <f>if(A640&lt;&gt;"", COUNTIFS(Beans!A:A, A640, Beans!C:C, "Bad" ), "")</f>
        <v>1</v>
      </c>
      <c r="E640" s="35">
        <f>if(A640&lt;&gt;"", COUNTIFS(Beans!A:A, A640, Beans!C:C, "Spicy" ), "")</f>
        <v>0</v>
      </c>
    </row>
    <row r="641">
      <c r="A641" s="34">
        <f t="shared" si="2"/>
        <v>45491</v>
      </c>
      <c r="B641" s="35">
        <f>if(A641&lt;&gt;"", COUNTIFS(Beans!A:A, A641), "")</f>
        <v>0</v>
      </c>
      <c r="C641" s="35">
        <f>if(A641&lt;&gt;"", COUNTIFS(Beans!A:A, A641, Beans!C:C, "Good" ), "")</f>
        <v>0</v>
      </c>
      <c r="D641" s="35">
        <f>if(A641&lt;&gt;"", COUNTIFS(Beans!A:A, A641, Beans!C:C, "Bad" ), "")</f>
        <v>0</v>
      </c>
      <c r="E641" s="35">
        <f>if(A641&lt;&gt;"", COUNTIFS(Beans!A:A, A641, Beans!C:C, "Spicy" ), "")</f>
        <v>0</v>
      </c>
    </row>
    <row r="642">
      <c r="A642" s="34">
        <f t="shared" si="2"/>
        <v>45492</v>
      </c>
      <c r="B642" s="35">
        <f>if(A642&lt;&gt;"", COUNTIFS(Beans!A:A, A642), "")</f>
        <v>0</v>
      </c>
      <c r="C642" s="35">
        <f>if(A642&lt;&gt;"", COUNTIFS(Beans!A:A, A642, Beans!C:C, "Good" ), "")</f>
        <v>0</v>
      </c>
      <c r="D642" s="35">
        <f>if(A642&lt;&gt;"", COUNTIFS(Beans!A:A, A642, Beans!C:C, "Bad" ), "")</f>
        <v>0</v>
      </c>
      <c r="E642" s="35">
        <f>if(A642&lt;&gt;"", COUNTIFS(Beans!A:A, A642, Beans!C:C, "Spicy" ), "")</f>
        <v>0</v>
      </c>
    </row>
    <row r="643">
      <c r="A643" s="34">
        <f t="shared" si="2"/>
        <v>45493</v>
      </c>
      <c r="B643" s="35">
        <f>if(A643&lt;&gt;"", COUNTIFS(Beans!A:A, A643), "")</f>
        <v>0</v>
      </c>
      <c r="C643" s="35">
        <f>if(A643&lt;&gt;"", COUNTIFS(Beans!A:A, A643, Beans!C:C, "Good" ), "")</f>
        <v>0</v>
      </c>
      <c r="D643" s="35">
        <f>if(A643&lt;&gt;"", COUNTIFS(Beans!A:A, A643, Beans!C:C, "Bad" ), "")</f>
        <v>0</v>
      </c>
      <c r="E643" s="35">
        <f>if(A643&lt;&gt;"", COUNTIFS(Beans!A:A, A643, Beans!C:C, "Spicy" ), "")</f>
        <v>0</v>
      </c>
    </row>
    <row r="644">
      <c r="A644" s="34">
        <f t="shared" si="2"/>
        <v>45494</v>
      </c>
      <c r="B644" s="35">
        <f>if(A644&lt;&gt;"", COUNTIFS(Beans!A:A, A644), "")</f>
        <v>0</v>
      </c>
      <c r="C644" s="35">
        <f>if(A644&lt;&gt;"", COUNTIFS(Beans!A:A, A644, Beans!C:C, "Good" ), "")</f>
        <v>0</v>
      </c>
      <c r="D644" s="35">
        <f>if(A644&lt;&gt;"", COUNTIFS(Beans!A:A, A644, Beans!C:C, "Bad" ), "")</f>
        <v>0</v>
      </c>
      <c r="E644" s="35">
        <f>if(A644&lt;&gt;"", COUNTIFS(Beans!A:A, A644, Beans!C:C, "Spicy" ), "")</f>
        <v>0</v>
      </c>
    </row>
    <row r="645">
      <c r="A645" s="34">
        <f t="shared" si="2"/>
        <v>45495</v>
      </c>
      <c r="B645" s="35">
        <f>if(A645&lt;&gt;"", COUNTIFS(Beans!A:A, A645), "")</f>
        <v>0</v>
      </c>
      <c r="C645" s="35">
        <f>if(A645&lt;&gt;"", COUNTIFS(Beans!A:A, A645, Beans!C:C, "Good" ), "")</f>
        <v>0</v>
      </c>
      <c r="D645" s="35">
        <f>if(A645&lt;&gt;"", COUNTIFS(Beans!A:A, A645, Beans!C:C, "Bad" ), "")</f>
        <v>0</v>
      </c>
      <c r="E645" s="35">
        <f>if(A645&lt;&gt;"", COUNTIFS(Beans!A:A, A645, Beans!C:C, "Spicy" ), "")</f>
        <v>0</v>
      </c>
    </row>
    <row r="646">
      <c r="A646" s="34">
        <f t="shared" si="2"/>
        <v>45496</v>
      </c>
      <c r="B646" s="35">
        <f>if(A646&lt;&gt;"", COUNTIFS(Beans!A:A, A646), "")</f>
        <v>0</v>
      </c>
      <c r="C646" s="35">
        <f>if(A646&lt;&gt;"", COUNTIFS(Beans!A:A, A646, Beans!C:C, "Good" ), "")</f>
        <v>0</v>
      </c>
      <c r="D646" s="35">
        <f>if(A646&lt;&gt;"", COUNTIFS(Beans!A:A, A646, Beans!C:C, "Bad" ), "")</f>
        <v>0</v>
      </c>
      <c r="E646" s="35">
        <f>if(A646&lt;&gt;"", COUNTIFS(Beans!A:A, A646, Beans!C:C, "Spicy" ), "")</f>
        <v>0</v>
      </c>
    </row>
    <row r="647">
      <c r="A647" s="34">
        <f t="shared" si="2"/>
        <v>45497</v>
      </c>
      <c r="B647" s="35">
        <f>if(A647&lt;&gt;"", COUNTIFS(Beans!A:A, A647), "")</f>
        <v>0</v>
      </c>
      <c r="C647" s="35">
        <f>if(A647&lt;&gt;"", COUNTIFS(Beans!A:A, A647, Beans!C:C, "Good" ), "")</f>
        <v>0</v>
      </c>
      <c r="D647" s="35">
        <f>if(A647&lt;&gt;"", COUNTIFS(Beans!A:A, A647, Beans!C:C, "Bad" ), "")</f>
        <v>0</v>
      </c>
      <c r="E647" s="35">
        <f>if(A647&lt;&gt;"", COUNTIFS(Beans!A:A, A647, Beans!C:C, "Spicy" ), "")</f>
        <v>0</v>
      </c>
    </row>
    <row r="648">
      <c r="A648" s="34">
        <f t="shared" si="2"/>
        <v>45498</v>
      </c>
      <c r="B648" s="35">
        <f>if(A648&lt;&gt;"", COUNTIFS(Beans!A:A, A648), "")</f>
        <v>0</v>
      </c>
      <c r="C648" s="35">
        <f>if(A648&lt;&gt;"", COUNTIFS(Beans!A:A, A648, Beans!C:C, "Good" ), "")</f>
        <v>0</v>
      </c>
      <c r="D648" s="35">
        <f>if(A648&lt;&gt;"", COUNTIFS(Beans!A:A, A648, Beans!C:C, "Bad" ), "")</f>
        <v>0</v>
      </c>
      <c r="E648" s="35">
        <f>if(A648&lt;&gt;"", COUNTIFS(Beans!A:A, A648, Beans!C:C, "Spicy" ), "")</f>
        <v>0</v>
      </c>
    </row>
    <row r="649">
      <c r="A649" s="34">
        <f t="shared" si="2"/>
        <v>45499</v>
      </c>
      <c r="B649" s="35">
        <f>if(A649&lt;&gt;"", COUNTIFS(Beans!A:A, A649), "")</f>
        <v>0</v>
      </c>
      <c r="C649" s="35">
        <f>if(A649&lt;&gt;"", COUNTIFS(Beans!A:A, A649, Beans!C:C, "Good" ), "")</f>
        <v>0</v>
      </c>
      <c r="D649" s="35">
        <f>if(A649&lt;&gt;"", COUNTIFS(Beans!A:A, A649, Beans!C:C, "Bad" ), "")</f>
        <v>0</v>
      </c>
      <c r="E649" s="35">
        <f>if(A649&lt;&gt;"", COUNTIFS(Beans!A:A, A649, Beans!C:C, "Spicy" ), "")</f>
        <v>0</v>
      </c>
    </row>
    <row r="650">
      <c r="A650" s="34">
        <f t="shared" si="2"/>
        <v>45500</v>
      </c>
      <c r="B650" s="35">
        <f>if(A650&lt;&gt;"", COUNTIFS(Beans!A:A, A650), "")</f>
        <v>0</v>
      </c>
      <c r="C650" s="35">
        <f>if(A650&lt;&gt;"", COUNTIFS(Beans!A:A, A650, Beans!C:C, "Good" ), "")</f>
        <v>0</v>
      </c>
      <c r="D650" s="35">
        <f>if(A650&lt;&gt;"", COUNTIFS(Beans!A:A, A650, Beans!C:C, "Bad" ), "")</f>
        <v>0</v>
      </c>
      <c r="E650" s="35">
        <f>if(A650&lt;&gt;"", COUNTIFS(Beans!A:A, A650, Beans!C:C, "Spicy" ), "")</f>
        <v>0</v>
      </c>
    </row>
    <row r="651">
      <c r="A651" s="34">
        <f t="shared" si="2"/>
        <v>45501</v>
      </c>
      <c r="B651" s="35">
        <f>if(A651&lt;&gt;"", COUNTIFS(Beans!A:A, A651), "")</f>
        <v>0</v>
      </c>
      <c r="C651" s="35">
        <f>if(A651&lt;&gt;"", COUNTIFS(Beans!A:A, A651, Beans!C:C, "Good" ), "")</f>
        <v>0</v>
      </c>
      <c r="D651" s="35">
        <f>if(A651&lt;&gt;"", COUNTIFS(Beans!A:A, A651, Beans!C:C, "Bad" ), "")</f>
        <v>0</v>
      </c>
      <c r="E651" s="35">
        <f>if(A651&lt;&gt;"", COUNTIFS(Beans!A:A, A651, Beans!C:C, "Spicy" ), "")</f>
        <v>0</v>
      </c>
    </row>
    <row r="652">
      <c r="A652" s="34">
        <f t="shared" si="2"/>
        <v>45502</v>
      </c>
      <c r="B652" s="35">
        <f>if(A652&lt;&gt;"", COUNTIFS(Beans!A:A, A652), "")</f>
        <v>0</v>
      </c>
      <c r="C652" s="35">
        <f>if(A652&lt;&gt;"", COUNTIFS(Beans!A:A, A652, Beans!C:C, "Good" ), "")</f>
        <v>0</v>
      </c>
      <c r="D652" s="35">
        <f>if(A652&lt;&gt;"", COUNTIFS(Beans!A:A, A652, Beans!C:C, "Bad" ), "")</f>
        <v>0</v>
      </c>
      <c r="E652" s="35">
        <f>if(A652&lt;&gt;"", COUNTIFS(Beans!A:A, A652, Beans!C:C, "Spicy" ), "")</f>
        <v>0</v>
      </c>
    </row>
    <row r="653">
      <c r="A653" s="34">
        <f t="shared" si="2"/>
        <v>45503</v>
      </c>
      <c r="B653" s="35">
        <f>if(A653&lt;&gt;"", COUNTIFS(Beans!A:A, A653), "")</f>
        <v>0</v>
      </c>
      <c r="C653" s="35">
        <f>if(A653&lt;&gt;"", COUNTIFS(Beans!A:A, A653, Beans!C:C, "Good" ), "")</f>
        <v>0</v>
      </c>
      <c r="D653" s="35">
        <f>if(A653&lt;&gt;"", COUNTIFS(Beans!A:A, A653, Beans!C:C, "Bad" ), "")</f>
        <v>0</v>
      </c>
      <c r="E653" s="35">
        <f>if(A653&lt;&gt;"", COUNTIFS(Beans!A:A, A653, Beans!C:C, "Spicy" ), "")</f>
        <v>0</v>
      </c>
    </row>
    <row r="654">
      <c r="A654" s="34">
        <f t="shared" si="2"/>
        <v>45504</v>
      </c>
      <c r="B654" s="35">
        <f>if(A654&lt;&gt;"", COUNTIFS(Beans!A:A, A654), "")</f>
        <v>0</v>
      </c>
      <c r="C654" s="35">
        <f>if(A654&lt;&gt;"", COUNTIFS(Beans!A:A, A654, Beans!C:C, "Good" ), "")</f>
        <v>0</v>
      </c>
      <c r="D654" s="35">
        <f>if(A654&lt;&gt;"", COUNTIFS(Beans!A:A, A654, Beans!C:C, "Bad" ), "")</f>
        <v>0</v>
      </c>
      <c r="E654" s="35">
        <f>if(A654&lt;&gt;"", COUNTIFS(Beans!A:A, A654, Beans!C:C, "Spicy" ), "")</f>
        <v>0</v>
      </c>
    </row>
    <row r="655">
      <c r="A655" s="34">
        <f t="shared" si="2"/>
        <v>45505</v>
      </c>
      <c r="B655" s="35">
        <f>if(A655&lt;&gt;"", COUNTIFS(Beans!A:A, A655), "")</f>
        <v>0</v>
      </c>
      <c r="C655" s="35">
        <f>if(A655&lt;&gt;"", COUNTIFS(Beans!A:A, A655, Beans!C:C, "Good" ), "")</f>
        <v>0</v>
      </c>
      <c r="D655" s="35">
        <f>if(A655&lt;&gt;"", COUNTIFS(Beans!A:A, A655, Beans!C:C, "Bad" ), "")</f>
        <v>0</v>
      </c>
      <c r="E655" s="35">
        <f>if(A655&lt;&gt;"", COUNTIFS(Beans!A:A, A655, Beans!C:C, "Spicy" ), "")</f>
        <v>0</v>
      </c>
    </row>
    <row r="656">
      <c r="A656" s="34">
        <f t="shared" si="2"/>
        <v>45506</v>
      </c>
      <c r="B656" s="35">
        <f>if(A656&lt;&gt;"", COUNTIFS(Beans!A:A, A656), "")</f>
        <v>0</v>
      </c>
      <c r="C656" s="35">
        <f>if(A656&lt;&gt;"", COUNTIFS(Beans!A:A, A656, Beans!C:C, "Good" ), "")</f>
        <v>0</v>
      </c>
      <c r="D656" s="35">
        <f>if(A656&lt;&gt;"", COUNTIFS(Beans!A:A, A656, Beans!C:C, "Bad" ), "")</f>
        <v>0</v>
      </c>
      <c r="E656" s="35">
        <f>if(A656&lt;&gt;"", COUNTIFS(Beans!A:A, A656, Beans!C:C, "Spicy" ), "")</f>
        <v>0</v>
      </c>
    </row>
    <row r="657">
      <c r="A657" s="34">
        <f t="shared" si="2"/>
        <v>45507</v>
      </c>
      <c r="B657" s="35">
        <f>if(A657&lt;&gt;"", COUNTIFS(Beans!A:A, A657), "")</f>
        <v>0</v>
      </c>
      <c r="C657" s="35">
        <f>if(A657&lt;&gt;"", COUNTIFS(Beans!A:A, A657, Beans!C:C, "Good" ), "")</f>
        <v>0</v>
      </c>
      <c r="D657" s="35">
        <f>if(A657&lt;&gt;"", COUNTIFS(Beans!A:A, A657, Beans!C:C, "Bad" ), "")</f>
        <v>0</v>
      </c>
      <c r="E657" s="35">
        <f>if(A657&lt;&gt;"", COUNTIFS(Beans!A:A, A657, Beans!C:C, "Spicy" ), "")</f>
        <v>0</v>
      </c>
    </row>
    <row r="658">
      <c r="A658" s="34">
        <f t="shared" si="2"/>
        <v>45508</v>
      </c>
      <c r="B658" s="35">
        <f>if(A658&lt;&gt;"", COUNTIFS(Beans!A:A, A658), "")</f>
        <v>0</v>
      </c>
      <c r="C658" s="35">
        <f>if(A658&lt;&gt;"", COUNTIFS(Beans!A:A, A658, Beans!C:C, "Good" ), "")</f>
        <v>0</v>
      </c>
      <c r="D658" s="35">
        <f>if(A658&lt;&gt;"", COUNTIFS(Beans!A:A, A658, Beans!C:C, "Bad" ), "")</f>
        <v>0</v>
      </c>
      <c r="E658" s="35">
        <f>if(A658&lt;&gt;"", COUNTIFS(Beans!A:A, A658, Beans!C:C, "Spicy" ), "")</f>
        <v>0</v>
      </c>
    </row>
    <row r="659">
      <c r="A659" s="34">
        <f t="shared" si="2"/>
        <v>45509</v>
      </c>
      <c r="B659" s="35">
        <f>if(A659&lt;&gt;"", COUNTIFS(Beans!A:A, A659), "")</f>
        <v>0</v>
      </c>
      <c r="C659" s="35">
        <f>if(A659&lt;&gt;"", COUNTIFS(Beans!A:A, A659, Beans!C:C, "Good" ), "")</f>
        <v>0</v>
      </c>
      <c r="D659" s="35">
        <f>if(A659&lt;&gt;"", COUNTIFS(Beans!A:A, A659, Beans!C:C, "Bad" ), "")</f>
        <v>0</v>
      </c>
      <c r="E659" s="35">
        <f>if(A659&lt;&gt;"", COUNTIFS(Beans!A:A, A659, Beans!C:C, "Spicy" ), "")</f>
        <v>0</v>
      </c>
    </row>
    <row r="660">
      <c r="A660" s="34">
        <f t="shared" si="2"/>
        <v>45510</v>
      </c>
      <c r="B660" s="35">
        <f>if(A660&lt;&gt;"", COUNTIFS(Beans!A:A, A660), "")</f>
        <v>0</v>
      </c>
      <c r="C660" s="35">
        <f>if(A660&lt;&gt;"", COUNTIFS(Beans!A:A, A660, Beans!C:C, "Good" ), "")</f>
        <v>0</v>
      </c>
      <c r="D660" s="35">
        <f>if(A660&lt;&gt;"", COUNTIFS(Beans!A:A, A660, Beans!C:C, "Bad" ), "")</f>
        <v>0</v>
      </c>
      <c r="E660" s="35">
        <f>if(A660&lt;&gt;"", COUNTIFS(Beans!A:A, A660, Beans!C:C, "Spicy" ), "")</f>
        <v>0</v>
      </c>
    </row>
    <row r="661">
      <c r="A661" s="34">
        <f t="shared" si="2"/>
        <v>45511</v>
      </c>
      <c r="B661" s="35">
        <f>if(A661&lt;&gt;"", COUNTIFS(Beans!A:A, A661), "")</f>
        <v>0</v>
      </c>
      <c r="C661" s="35">
        <f>if(A661&lt;&gt;"", COUNTIFS(Beans!A:A, A661, Beans!C:C, "Good" ), "")</f>
        <v>0</v>
      </c>
      <c r="D661" s="35">
        <f>if(A661&lt;&gt;"", COUNTIFS(Beans!A:A, A661, Beans!C:C, "Bad" ), "")</f>
        <v>0</v>
      </c>
      <c r="E661" s="35">
        <f>if(A661&lt;&gt;"", COUNTIFS(Beans!A:A, A661, Beans!C:C, "Spicy" ), "")</f>
        <v>0</v>
      </c>
    </row>
    <row r="662">
      <c r="A662" s="34">
        <f t="shared" si="2"/>
        <v>45512</v>
      </c>
      <c r="B662" s="35">
        <f>if(A662&lt;&gt;"", COUNTIFS(Beans!A:A, A662), "")</f>
        <v>0</v>
      </c>
      <c r="C662" s="35">
        <f>if(A662&lt;&gt;"", COUNTIFS(Beans!A:A, A662, Beans!C:C, "Good" ), "")</f>
        <v>0</v>
      </c>
      <c r="D662" s="35">
        <f>if(A662&lt;&gt;"", COUNTIFS(Beans!A:A, A662, Beans!C:C, "Bad" ), "")</f>
        <v>0</v>
      </c>
      <c r="E662" s="35">
        <f>if(A662&lt;&gt;"", COUNTIFS(Beans!A:A, A662, Beans!C:C, "Spicy" ), "")</f>
        <v>0</v>
      </c>
    </row>
    <row r="663">
      <c r="A663" s="34">
        <f t="shared" si="2"/>
        <v>45513</v>
      </c>
      <c r="B663" s="35">
        <f>if(A663&lt;&gt;"", COUNTIFS(Beans!A:A, A663), "")</f>
        <v>0</v>
      </c>
      <c r="C663" s="35">
        <f>if(A663&lt;&gt;"", COUNTIFS(Beans!A:A, A663, Beans!C:C, "Good" ), "")</f>
        <v>0</v>
      </c>
      <c r="D663" s="35">
        <f>if(A663&lt;&gt;"", COUNTIFS(Beans!A:A, A663, Beans!C:C, "Bad" ), "")</f>
        <v>0</v>
      </c>
      <c r="E663" s="35">
        <f>if(A663&lt;&gt;"", COUNTIFS(Beans!A:A, A663, Beans!C:C, "Spicy" ), "")</f>
        <v>0</v>
      </c>
    </row>
    <row r="664">
      <c r="A664" s="34">
        <f t="shared" si="2"/>
        <v>45514</v>
      </c>
      <c r="B664" s="35">
        <f>if(A664&lt;&gt;"", COUNTIFS(Beans!A:A, A664), "")</f>
        <v>0</v>
      </c>
      <c r="C664" s="35">
        <f>if(A664&lt;&gt;"", COUNTIFS(Beans!A:A, A664, Beans!C:C, "Good" ), "")</f>
        <v>0</v>
      </c>
      <c r="D664" s="35">
        <f>if(A664&lt;&gt;"", COUNTIFS(Beans!A:A, A664, Beans!C:C, "Bad" ), "")</f>
        <v>0</v>
      </c>
      <c r="E664" s="35">
        <f>if(A664&lt;&gt;"", COUNTIFS(Beans!A:A, A664, Beans!C:C, "Spicy" ), "")</f>
        <v>0</v>
      </c>
    </row>
    <row r="665">
      <c r="A665" s="34">
        <f t="shared" si="2"/>
        <v>45515</v>
      </c>
      <c r="B665" s="35">
        <f>if(A665&lt;&gt;"", COUNTIFS(Beans!A:A, A665), "")</f>
        <v>0</v>
      </c>
      <c r="C665" s="35">
        <f>if(A665&lt;&gt;"", COUNTIFS(Beans!A:A, A665, Beans!C:C, "Good" ), "")</f>
        <v>0</v>
      </c>
      <c r="D665" s="35">
        <f>if(A665&lt;&gt;"", COUNTIFS(Beans!A:A, A665, Beans!C:C, "Bad" ), "")</f>
        <v>0</v>
      </c>
      <c r="E665" s="35">
        <f>if(A665&lt;&gt;"", COUNTIFS(Beans!A:A, A665, Beans!C:C, "Spicy" ), "")</f>
        <v>0</v>
      </c>
    </row>
    <row r="666">
      <c r="A666" s="34">
        <f t="shared" si="2"/>
        <v>45516</v>
      </c>
      <c r="B666" s="35">
        <f>if(A666&lt;&gt;"", COUNTIFS(Beans!A:A, A666), "")</f>
        <v>0</v>
      </c>
      <c r="C666" s="35">
        <f>if(A666&lt;&gt;"", COUNTIFS(Beans!A:A, A666, Beans!C:C, "Good" ), "")</f>
        <v>0</v>
      </c>
      <c r="D666" s="35">
        <f>if(A666&lt;&gt;"", COUNTIFS(Beans!A:A, A666, Beans!C:C, "Bad" ), "")</f>
        <v>0</v>
      </c>
      <c r="E666" s="35">
        <f>if(A666&lt;&gt;"", COUNTIFS(Beans!A:A, A666, Beans!C:C, "Spicy" ), "")</f>
        <v>0</v>
      </c>
    </row>
    <row r="667">
      <c r="A667" s="34">
        <f t="shared" si="2"/>
        <v>45517</v>
      </c>
      <c r="B667" s="35">
        <f>if(A667&lt;&gt;"", COUNTIFS(Beans!A:A, A667), "")</f>
        <v>0</v>
      </c>
      <c r="C667" s="35">
        <f>if(A667&lt;&gt;"", COUNTIFS(Beans!A:A, A667, Beans!C:C, "Good" ), "")</f>
        <v>0</v>
      </c>
      <c r="D667" s="35">
        <f>if(A667&lt;&gt;"", COUNTIFS(Beans!A:A, A667, Beans!C:C, "Bad" ), "")</f>
        <v>0</v>
      </c>
      <c r="E667" s="35">
        <f>if(A667&lt;&gt;"", COUNTIFS(Beans!A:A, A667, Beans!C:C, "Spicy" ), "")</f>
        <v>0</v>
      </c>
    </row>
    <row r="668">
      <c r="A668" s="34">
        <f t="shared" si="2"/>
        <v>45518</v>
      </c>
      <c r="B668" s="35">
        <f>if(A668&lt;&gt;"", COUNTIFS(Beans!A:A, A668), "")</f>
        <v>33</v>
      </c>
      <c r="C668" s="35">
        <f>if(A668&lt;&gt;"", COUNTIFS(Beans!A:A, A668, Beans!C:C, "Good" ), "")</f>
        <v>6</v>
      </c>
      <c r="D668" s="35">
        <f>if(A668&lt;&gt;"", COUNTIFS(Beans!A:A, A668, Beans!C:C, "Bad" ), "")</f>
        <v>27</v>
      </c>
      <c r="E668" s="35">
        <f>if(A668&lt;&gt;"", COUNTIFS(Beans!A:A, A668, Beans!C:C, "Spicy" ), "")</f>
        <v>0</v>
      </c>
    </row>
    <row r="669">
      <c r="A669" s="34">
        <f t="shared" si="2"/>
        <v>45519</v>
      </c>
      <c r="B669" s="35">
        <f>if(A669&lt;&gt;"", COUNTIFS(Beans!A:A, A669), "")</f>
        <v>1</v>
      </c>
      <c r="C669" s="35">
        <f>if(A669&lt;&gt;"", COUNTIFS(Beans!A:A, A669, Beans!C:C, "Good" ), "")</f>
        <v>0</v>
      </c>
      <c r="D669" s="35">
        <f>if(A669&lt;&gt;"", COUNTIFS(Beans!A:A, A669, Beans!C:C, "Bad" ), "")</f>
        <v>1</v>
      </c>
      <c r="E669" s="35">
        <f>if(A669&lt;&gt;"", COUNTIFS(Beans!A:A, A669, Beans!C:C, "Spicy" ), "")</f>
        <v>0</v>
      </c>
    </row>
    <row r="670">
      <c r="A670" s="34">
        <f t="shared" si="2"/>
        <v>45520</v>
      </c>
      <c r="B670" s="35">
        <f>if(A670&lt;&gt;"", COUNTIFS(Beans!A:A, A670), "")</f>
        <v>2</v>
      </c>
      <c r="C670" s="35">
        <f>if(A670&lt;&gt;"", COUNTIFS(Beans!A:A, A670, Beans!C:C, "Good" ), "")</f>
        <v>1</v>
      </c>
      <c r="D670" s="35">
        <f>if(A670&lt;&gt;"", COUNTIFS(Beans!A:A, A670, Beans!C:C, "Bad" ), "")</f>
        <v>1</v>
      </c>
      <c r="E670" s="35">
        <f>if(A670&lt;&gt;"", COUNTIFS(Beans!A:A, A670, Beans!C:C, "Spicy" ), "")</f>
        <v>0</v>
      </c>
    </row>
    <row r="671">
      <c r="A671" s="34">
        <f t="shared" si="2"/>
        <v>45521</v>
      </c>
      <c r="B671" s="35">
        <f>if(A671&lt;&gt;"", COUNTIFS(Beans!A:A, A671), "")</f>
        <v>0</v>
      </c>
      <c r="C671" s="35">
        <f>if(A671&lt;&gt;"", COUNTIFS(Beans!A:A, A671, Beans!C:C, "Good" ), "")</f>
        <v>0</v>
      </c>
      <c r="D671" s="35">
        <f>if(A671&lt;&gt;"", COUNTIFS(Beans!A:A, A671, Beans!C:C, "Bad" ), "")</f>
        <v>0</v>
      </c>
      <c r="E671" s="35">
        <f>if(A671&lt;&gt;"", COUNTIFS(Beans!A:A, A671, Beans!C:C, "Spicy" ), "")</f>
        <v>0</v>
      </c>
    </row>
    <row r="672">
      <c r="A672" s="34">
        <f t="shared" si="2"/>
        <v>45522</v>
      </c>
      <c r="B672" s="35">
        <f>if(A672&lt;&gt;"", COUNTIFS(Beans!A:A, A672), "")</f>
        <v>0</v>
      </c>
      <c r="C672" s="35">
        <f>if(A672&lt;&gt;"", COUNTIFS(Beans!A:A, A672, Beans!C:C, "Good" ), "")</f>
        <v>0</v>
      </c>
      <c r="D672" s="35">
        <f>if(A672&lt;&gt;"", COUNTIFS(Beans!A:A, A672, Beans!C:C, "Bad" ), "")</f>
        <v>0</v>
      </c>
      <c r="E672" s="35">
        <f>if(A672&lt;&gt;"", COUNTIFS(Beans!A:A, A672, Beans!C:C, "Spicy" ), "")</f>
        <v>0</v>
      </c>
    </row>
    <row r="673">
      <c r="A673" s="34">
        <f t="shared" si="2"/>
        <v>45523</v>
      </c>
      <c r="B673" s="35">
        <f>if(A673&lt;&gt;"", COUNTIFS(Beans!A:A, A673), "")</f>
        <v>2</v>
      </c>
      <c r="C673" s="35">
        <f>if(A673&lt;&gt;"", COUNTIFS(Beans!A:A, A673, Beans!C:C, "Good" ), "")</f>
        <v>0</v>
      </c>
      <c r="D673" s="35">
        <f>if(A673&lt;&gt;"", COUNTIFS(Beans!A:A, A673, Beans!C:C, "Bad" ), "")</f>
        <v>2</v>
      </c>
      <c r="E673" s="35">
        <f>if(A673&lt;&gt;"", COUNTIFS(Beans!A:A, A673, Beans!C:C, "Spicy" ), "")</f>
        <v>0</v>
      </c>
    </row>
    <row r="674">
      <c r="A674" s="34">
        <f t="shared" si="2"/>
        <v>45524</v>
      </c>
      <c r="B674" s="35">
        <f>if(A674&lt;&gt;"", COUNTIFS(Beans!A:A, A674), "")</f>
        <v>0</v>
      </c>
      <c r="C674" s="35">
        <f>if(A674&lt;&gt;"", COUNTIFS(Beans!A:A, A674, Beans!C:C, "Good" ), "")</f>
        <v>0</v>
      </c>
      <c r="D674" s="35">
        <f>if(A674&lt;&gt;"", COUNTIFS(Beans!A:A, A674, Beans!C:C, "Bad" ), "")</f>
        <v>0</v>
      </c>
      <c r="E674" s="35">
        <f>if(A674&lt;&gt;"", COUNTIFS(Beans!A:A, A674, Beans!C:C, "Spicy" ), "")</f>
        <v>0</v>
      </c>
    </row>
    <row r="675">
      <c r="A675" s="34">
        <f t="shared" si="2"/>
        <v>45525</v>
      </c>
      <c r="B675" s="35">
        <f>if(A675&lt;&gt;"", COUNTIFS(Beans!A:A, A675), "")</f>
        <v>0</v>
      </c>
      <c r="C675" s="35">
        <f>if(A675&lt;&gt;"", COUNTIFS(Beans!A:A, A675, Beans!C:C, "Good" ), "")</f>
        <v>0</v>
      </c>
      <c r="D675" s="35">
        <f>if(A675&lt;&gt;"", COUNTIFS(Beans!A:A, A675, Beans!C:C, "Bad" ), "")</f>
        <v>0</v>
      </c>
      <c r="E675" s="35">
        <f>if(A675&lt;&gt;"", COUNTIFS(Beans!A:A, A675, Beans!C:C, "Spicy" ), "")</f>
        <v>0</v>
      </c>
    </row>
    <row r="676">
      <c r="A676" s="34">
        <f t="shared" si="2"/>
        <v>45526</v>
      </c>
      <c r="B676" s="35">
        <f>if(A676&lt;&gt;"", COUNTIFS(Beans!A:A, A676), "")</f>
        <v>2</v>
      </c>
      <c r="C676" s="35">
        <f>if(A676&lt;&gt;"", COUNTIFS(Beans!A:A, A676, Beans!C:C, "Good" ), "")</f>
        <v>0</v>
      </c>
      <c r="D676" s="35">
        <f>if(A676&lt;&gt;"", COUNTIFS(Beans!A:A, A676, Beans!C:C, "Bad" ), "")</f>
        <v>2</v>
      </c>
      <c r="E676" s="35">
        <f>if(A676&lt;&gt;"", COUNTIFS(Beans!A:A, A676, Beans!C:C, "Spicy" ), "")</f>
        <v>0</v>
      </c>
    </row>
    <row r="677">
      <c r="A677" s="34">
        <f t="shared" si="2"/>
        <v>45527</v>
      </c>
      <c r="B677" s="35">
        <f>if(A677&lt;&gt;"", COUNTIFS(Beans!A:A, A677), "")</f>
        <v>1</v>
      </c>
      <c r="C677" s="35">
        <f>if(A677&lt;&gt;"", COUNTIFS(Beans!A:A, A677, Beans!C:C, "Good" ), "")</f>
        <v>0</v>
      </c>
      <c r="D677" s="35">
        <f>if(A677&lt;&gt;"", COUNTIFS(Beans!A:A, A677, Beans!C:C, "Bad" ), "")</f>
        <v>1</v>
      </c>
      <c r="E677" s="35">
        <f>if(A677&lt;&gt;"", COUNTIFS(Beans!A:A, A677, Beans!C:C, "Spicy" ), "")</f>
        <v>0</v>
      </c>
    </row>
    <row r="678">
      <c r="A678" s="34">
        <f t="shared" si="2"/>
        <v>45528</v>
      </c>
      <c r="B678" s="35">
        <f>if(A678&lt;&gt;"", COUNTIFS(Beans!A:A, A678), "")</f>
        <v>0</v>
      </c>
      <c r="C678" s="35">
        <f>if(A678&lt;&gt;"", COUNTIFS(Beans!A:A, A678, Beans!C:C, "Good" ), "")</f>
        <v>0</v>
      </c>
      <c r="D678" s="35">
        <f>if(A678&lt;&gt;"", COUNTIFS(Beans!A:A, A678, Beans!C:C, "Bad" ), "")</f>
        <v>0</v>
      </c>
      <c r="E678" s="35">
        <f>if(A678&lt;&gt;"", COUNTIFS(Beans!A:A, A678, Beans!C:C, "Spicy" ), "")</f>
        <v>0</v>
      </c>
    </row>
    <row r="679">
      <c r="A679" s="34">
        <f t="shared" si="2"/>
        <v>45529</v>
      </c>
      <c r="B679" s="35">
        <f>if(A679&lt;&gt;"", COUNTIFS(Beans!A:A, A679), "")</f>
        <v>0</v>
      </c>
      <c r="C679" s="35">
        <f>if(A679&lt;&gt;"", COUNTIFS(Beans!A:A, A679, Beans!C:C, "Good" ), "")</f>
        <v>0</v>
      </c>
      <c r="D679" s="35">
        <f>if(A679&lt;&gt;"", COUNTIFS(Beans!A:A, A679, Beans!C:C, "Bad" ), "")</f>
        <v>0</v>
      </c>
      <c r="E679" s="35">
        <f>if(A679&lt;&gt;"", COUNTIFS(Beans!A:A, A679, Beans!C:C, "Spicy" ), "")</f>
        <v>0</v>
      </c>
    </row>
    <row r="680">
      <c r="A680" s="34">
        <f t="shared" si="2"/>
        <v>45530</v>
      </c>
      <c r="B680" s="35">
        <f>if(A680&lt;&gt;"", COUNTIFS(Beans!A:A, A680), "")</f>
        <v>2</v>
      </c>
      <c r="C680" s="35">
        <f>if(A680&lt;&gt;"", COUNTIFS(Beans!A:A, A680, Beans!C:C, "Good" ), "")</f>
        <v>0</v>
      </c>
      <c r="D680" s="35">
        <f>if(A680&lt;&gt;"", COUNTIFS(Beans!A:A, A680, Beans!C:C, "Bad" ), "")</f>
        <v>2</v>
      </c>
      <c r="E680" s="35">
        <f>if(A680&lt;&gt;"", COUNTIFS(Beans!A:A, A680, Beans!C:C, "Spicy" ), "")</f>
        <v>0</v>
      </c>
    </row>
    <row r="681">
      <c r="A681" s="34">
        <f t="shared" si="2"/>
        <v>45531</v>
      </c>
      <c r="B681" s="35">
        <f>if(A681&lt;&gt;"", COUNTIFS(Beans!A:A, A681), "")</f>
        <v>0</v>
      </c>
      <c r="C681" s="35">
        <f>if(A681&lt;&gt;"", COUNTIFS(Beans!A:A, A681, Beans!C:C, "Good" ), "")</f>
        <v>0</v>
      </c>
      <c r="D681" s="35">
        <f>if(A681&lt;&gt;"", COUNTIFS(Beans!A:A, A681, Beans!C:C, "Bad" ), "")</f>
        <v>0</v>
      </c>
      <c r="E681" s="35">
        <f>if(A681&lt;&gt;"", COUNTIFS(Beans!A:A, A681, Beans!C:C, "Spicy" ), "")</f>
        <v>0</v>
      </c>
    </row>
    <row r="682">
      <c r="A682" s="34">
        <f t="shared" si="2"/>
        <v>45532</v>
      </c>
      <c r="B682" s="35">
        <f>if(A682&lt;&gt;"", COUNTIFS(Beans!A:A, A682), "")</f>
        <v>1</v>
      </c>
      <c r="C682" s="35">
        <f>if(A682&lt;&gt;"", COUNTIFS(Beans!A:A, A682, Beans!C:C, "Good" ), "")</f>
        <v>0</v>
      </c>
      <c r="D682" s="35">
        <f>if(A682&lt;&gt;"", COUNTIFS(Beans!A:A, A682, Beans!C:C, "Bad" ), "")</f>
        <v>1</v>
      </c>
      <c r="E682" s="35">
        <f>if(A682&lt;&gt;"", COUNTIFS(Beans!A:A, A682, Beans!C:C, "Spicy" ), "")</f>
        <v>0</v>
      </c>
    </row>
    <row r="683">
      <c r="A683" s="34">
        <f t="shared" si="2"/>
        <v>45533</v>
      </c>
      <c r="B683" s="35">
        <f>if(A683&lt;&gt;"", COUNTIFS(Beans!A:A, A683), "")</f>
        <v>4</v>
      </c>
      <c r="C683" s="35">
        <f>if(A683&lt;&gt;"", COUNTIFS(Beans!A:A, A683, Beans!C:C, "Good" ), "")</f>
        <v>0</v>
      </c>
      <c r="D683" s="35">
        <f>if(A683&lt;&gt;"", COUNTIFS(Beans!A:A, A683, Beans!C:C, "Bad" ), "")</f>
        <v>4</v>
      </c>
      <c r="E683" s="35">
        <f>if(A683&lt;&gt;"", COUNTIFS(Beans!A:A, A683, Beans!C:C, "Spicy" ), "")</f>
        <v>0</v>
      </c>
    </row>
    <row r="684">
      <c r="A684" s="34">
        <f t="shared" si="2"/>
        <v>45534</v>
      </c>
      <c r="B684" s="35">
        <f>if(A684&lt;&gt;"", COUNTIFS(Beans!A:A, A684), "")</f>
        <v>4</v>
      </c>
      <c r="C684" s="35">
        <f>if(A684&lt;&gt;"", COUNTIFS(Beans!A:A, A684, Beans!C:C, "Good" ), "")</f>
        <v>0</v>
      </c>
      <c r="D684" s="35">
        <f>if(A684&lt;&gt;"", COUNTIFS(Beans!A:A, A684, Beans!C:C, "Bad" ), "")</f>
        <v>4</v>
      </c>
      <c r="E684" s="35">
        <f>if(A684&lt;&gt;"", COUNTIFS(Beans!A:A, A684, Beans!C:C, "Spicy" ), "")</f>
        <v>0</v>
      </c>
    </row>
    <row r="685">
      <c r="A685" s="34">
        <f t="shared" si="2"/>
        <v>45535</v>
      </c>
      <c r="B685" s="35">
        <f>if(A685&lt;&gt;"", COUNTIFS(Beans!A:A, A685), "")</f>
        <v>0</v>
      </c>
      <c r="C685" s="35">
        <f>if(A685&lt;&gt;"", COUNTIFS(Beans!A:A, A685, Beans!C:C, "Good" ), "")</f>
        <v>0</v>
      </c>
      <c r="D685" s="35">
        <f>if(A685&lt;&gt;"", COUNTIFS(Beans!A:A, A685, Beans!C:C, "Bad" ), "")</f>
        <v>0</v>
      </c>
      <c r="E685" s="35">
        <f>if(A685&lt;&gt;"", COUNTIFS(Beans!A:A, A685, Beans!C:C, "Spicy" ), "")</f>
        <v>0</v>
      </c>
    </row>
    <row r="686">
      <c r="A686" s="34">
        <f t="shared" si="2"/>
        <v>45536</v>
      </c>
      <c r="B686" s="35">
        <f>if(A686&lt;&gt;"", COUNTIFS(Beans!A:A, A686), "")</f>
        <v>0</v>
      </c>
      <c r="C686" s="35">
        <f>if(A686&lt;&gt;"", COUNTIFS(Beans!A:A, A686, Beans!C:C, "Good" ), "")</f>
        <v>0</v>
      </c>
      <c r="D686" s="35">
        <f>if(A686&lt;&gt;"", COUNTIFS(Beans!A:A, A686, Beans!C:C, "Bad" ), "")</f>
        <v>0</v>
      </c>
      <c r="E686" s="35">
        <f>if(A686&lt;&gt;"", COUNTIFS(Beans!A:A, A686, Beans!C:C, "Spicy" ), "")</f>
        <v>0</v>
      </c>
    </row>
    <row r="687">
      <c r="A687" s="34">
        <f t="shared" si="2"/>
        <v>45537</v>
      </c>
      <c r="B687" s="35">
        <f>if(A687&lt;&gt;"", COUNTIFS(Beans!A:A, A687), "")</f>
        <v>0</v>
      </c>
      <c r="C687" s="35">
        <f>if(A687&lt;&gt;"", COUNTIFS(Beans!A:A, A687, Beans!C:C, "Good" ), "")</f>
        <v>0</v>
      </c>
      <c r="D687" s="35">
        <f>if(A687&lt;&gt;"", COUNTIFS(Beans!A:A, A687, Beans!C:C, "Bad" ), "")</f>
        <v>0</v>
      </c>
      <c r="E687" s="35">
        <f>if(A687&lt;&gt;"", COUNTIFS(Beans!A:A, A687, Beans!C:C, "Spicy" ), "")</f>
        <v>0</v>
      </c>
    </row>
    <row r="688">
      <c r="A688" s="34">
        <f t="shared" si="2"/>
        <v>45538</v>
      </c>
      <c r="B688" s="35">
        <f>if(A688&lt;&gt;"", COUNTIFS(Beans!A:A, A688), "")</f>
        <v>0</v>
      </c>
      <c r="C688" s="35">
        <f>if(A688&lt;&gt;"", COUNTIFS(Beans!A:A, A688, Beans!C:C, "Good" ), "")</f>
        <v>0</v>
      </c>
      <c r="D688" s="35">
        <f>if(A688&lt;&gt;"", COUNTIFS(Beans!A:A, A688, Beans!C:C, "Bad" ), "")</f>
        <v>0</v>
      </c>
      <c r="E688" s="35">
        <f>if(A688&lt;&gt;"", COUNTIFS(Beans!A:A, A688, Beans!C:C, "Spicy" ), "")</f>
        <v>0</v>
      </c>
    </row>
    <row r="689">
      <c r="A689" s="34">
        <f t="shared" si="2"/>
        <v>45539</v>
      </c>
      <c r="B689" s="35">
        <f>if(A689&lt;&gt;"", COUNTIFS(Beans!A:A, A689), "")</f>
        <v>2</v>
      </c>
      <c r="C689" s="35">
        <f>if(A689&lt;&gt;"", COUNTIFS(Beans!A:A, A689, Beans!C:C, "Good" ), "")</f>
        <v>0</v>
      </c>
      <c r="D689" s="35">
        <f>if(A689&lt;&gt;"", COUNTIFS(Beans!A:A, A689, Beans!C:C, "Bad" ), "")</f>
        <v>2</v>
      </c>
      <c r="E689" s="35">
        <f>if(A689&lt;&gt;"", COUNTIFS(Beans!A:A, A689, Beans!C:C, "Spicy" ), "")</f>
        <v>0</v>
      </c>
    </row>
    <row r="690">
      <c r="A690" s="34">
        <f t="shared" si="2"/>
        <v>45540</v>
      </c>
      <c r="B690" s="35">
        <f>if(A690&lt;&gt;"", COUNTIFS(Beans!A:A, A690), "")</f>
        <v>2</v>
      </c>
      <c r="C690" s="35">
        <f>if(A690&lt;&gt;"", COUNTIFS(Beans!A:A, A690, Beans!C:C, "Good" ), "")</f>
        <v>1</v>
      </c>
      <c r="D690" s="35">
        <f>if(A690&lt;&gt;"", COUNTIFS(Beans!A:A, A690, Beans!C:C, "Bad" ), "")</f>
        <v>1</v>
      </c>
      <c r="E690" s="35">
        <f>if(A690&lt;&gt;"", COUNTIFS(Beans!A:A, A690, Beans!C:C, "Spicy" ), "")</f>
        <v>0</v>
      </c>
    </row>
    <row r="691">
      <c r="A691" s="34">
        <f t="shared" si="2"/>
        <v>45541</v>
      </c>
      <c r="B691" s="35">
        <f>if(A691&lt;&gt;"", COUNTIFS(Beans!A:A, A691), "")</f>
        <v>1</v>
      </c>
      <c r="C691" s="35">
        <f>if(A691&lt;&gt;"", COUNTIFS(Beans!A:A, A691, Beans!C:C, "Good" ), "")</f>
        <v>0</v>
      </c>
      <c r="D691" s="35">
        <f>if(A691&lt;&gt;"", COUNTIFS(Beans!A:A, A691, Beans!C:C, "Bad" ), "")</f>
        <v>1</v>
      </c>
      <c r="E691" s="35">
        <f>if(A691&lt;&gt;"", COUNTIFS(Beans!A:A, A691, Beans!C:C, "Spicy" ), "")</f>
        <v>0</v>
      </c>
    </row>
    <row r="692">
      <c r="A692" s="34">
        <f t="shared" si="2"/>
        <v>45542</v>
      </c>
      <c r="B692" s="35">
        <f>if(A692&lt;&gt;"", COUNTIFS(Beans!A:A, A692), "")</f>
        <v>0</v>
      </c>
      <c r="C692" s="35">
        <f>if(A692&lt;&gt;"", COUNTIFS(Beans!A:A, A692, Beans!C:C, "Good" ), "")</f>
        <v>0</v>
      </c>
      <c r="D692" s="35">
        <f>if(A692&lt;&gt;"", COUNTIFS(Beans!A:A, A692, Beans!C:C, "Bad" ), "")</f>
        <v>0</v>
      </c>
      <c r="E692" s="35">
        <f>if(A692&lt;&gt;"", COUNTIFS(Beans!A:A, A692, Beans!C:C, "Spicy" ), "")</f>
        <v>0</v>
      </c>
    </row>
    <row r="693">
      <c r="A693" s="34">
        <f t="shared" si="2"/>
        <v>45543</v>
      </c>
      <c r="B693" s="35">
        <f>if(A693&lt;&gt;"", COUNTIFS(Beans!A:A, A693), "")</f>
        <v>0</v>
      </c>
      <c r="C693" s="35">
        <f>if(A693&lt;&gt;"", COUNTIFS(Beans!A:A, A693, Beans!C:C, "Good" ), "")</f>
        <v>0</v>
      </c>
      <c r="D693" s="35">
        <f>if(A693&lt;&gt;"", COUNTIFS(Beans!A:A, A693, Beans!C:C, "Bad" ), "")</f>
        <v>0</v>
      </c>
      <c r="E693" s="35">
        <f>if(A693&lt;&gt;"", COUNTIFS(Beans!A:A, A693, Beans!C:C, "Spicy" ), "")</f>
        <v>0</v>
      </c>
    </row>
    <row r="694">
      <c r="A694" s="34">
        <f t="shared" si="2"/>
        <v>45544</v>
      </c>
      <c r="B694" s="35">
        <f>if(A694&lt;&gt;"", COUNTIFS(Beans!A:A, A694), "")</f>
        <v>1</v>
      </c>
      <c r="C694" s="35">
        <f>if(A694&lt;&gt;"", COUNTIFS(Beans!A:A, A694, Beans!C:C, "Good" ), "")</f>
        <v>1</v>
      </c>
      <c r="D694" s="35">
        <f>if(A694&lt;&gt;"", COUNTIFS(Beans!A:A, A694, Beans!C:C, "Bad" ), "")</f>
        <v>0</v>
      </c>
      <c r="E694" s="35">
        <f>if(A694&lt;&gt;"", COUNTIFS(Beans!A:A, A694, Beans!C:C, "Spicy" ), "")</f>
        <v>0</v>
      </c>
    </row>
    <row r="695">
      <c r="A695" s="34">
        <f t="shared" si="2"/>
        <v>45545</v>
      </c>
      <c r="B695" s="35">
        <f>if(A695&lt;&gt;"", COUNTIFS(Beans!A:A, A695), "")</f>
        <v>0</v>
      </c>
      <c r="C695" s="35">
        <f>if(A695&lt;&gt;"", COUNTIFS(Beans!A:A, A695, Beans!C:C, "Good" ), "")</f>
        <v>0</v>
      </c>
      <c r="D695" s="35">
        <f>if(A695&lt;&gt;"", COUNTIFS(Beans!A:A, A695, Beans!C:C, "Bad" ), "")</f>
        <v>0</v>
      </c>
      <c r="E695" s="35">
        <f>if(A695&lt;&gt;"", COUNTIFS(Beans!A:A, A695, Beans!C:C, "Spicy" ), "")</f>
        <v>0</v>
      </c>
    </row>
    <row r="696">
      <c r="A696" s="34">
        <f t="shared" si="2"/>
        <v>45546</v>
      </c>
      <c r="B696" s="35">
        <f>if(A696&lt;&gt;"", COUNTIFS(Beans!A:A, A696), "")</f>
        <v>1</v>
      </c>
      <c r="C696" s="35">
        <f>if(A696&lt;&gt;"", COUNTIFS(Beans!A:A, A696, Beans!C:C, "Good" ), "")</f>
        <v>0</v>
      </c>
      <c r="D696" s="35">
        <f>if(A696&lt;&gt;"", COUNTIFS(Beans!A:A, A696, Beans!C:C, "Bad" ), "")</f>
        <v>1</v>
      </c>
      <c r="E696" s="35">
        <f>if(A696&lt;&gt;"", COUNTIFS(Beans!A:A, A696, Beans!C:C, "Spicy" ), "")</f>
        <v>0</v>
      </c>
    </row>
    <row r="697">
      <c r="A697" s="34">
        <f t="shared" si="2"/>
        <v>45547</v>
      </c>
      <c r="B697" s="35">
        <f>if(A697&lt;&gt;"", COUNTIFS(Beans!A:A, A697), "")</f>
        <v>3</v>
      </c>
      <c r="C697" s="35">
        <f>if(A697&lt;&gt;"", COUNTIFS(Beans!A:A, A697, Beans!C:C, "Good" ), "")</f>
        <v>3</v>
      </c>
      <c r="D697" s="35">
        <f>if(A697&lt;&gt;"", COUNTIFS(Beans!A:A, A697, Beans!C:C, "Bad" ), "")</f>
        <v>0</v>
      </c>
      <c r="E697" s="35">
        <f>if(A697&lt;&gt;"", COUNTIFS(Beans!A:A, A697, Beans!C:C, "Spicy" ), "")</f>
        <v>0</v>
      </c>
    </row>
    <row r="698">
      <c r="A698" s="34">
        <f t="shared" si="2"/>
        <v>45548</v>
      </c>
      <c r="B698" s="35">
        <f>if(A698&lt;&gt;"", COUNTIFS(Beans!A:A, A698), "")</f>
        <v>3</v>
      </c>
      <c r="C698" s="35">
        <f>if(A698&lt;&gt;"", COUNTIFS(Beans!A:A, A698, Beans!C:C, "Good" ), "")</f>
        <v>1</v>
      </c>
      <c r="D698" s="35">
        <f>if(A698&lt;&gt;"", COUNTIFS(Beans!A:A, A698, Beans!C:C, "Bad" ), "")</f>
        <v>2</v>
      </c>
      <c r="E698" s="35">
        <f>if(A698&lt;&gt;"", COUNTIFS(Beans!A:A, A698, Beans!C:C, "Spicy" ), "")</f>
        <v>0</v>
      </c>
    </row>
    <row r="699">
      <c r="A699" s="34">
        <f t="shared" si="2"/>
        <v>45549</v>
      </c>
      <c r="B699" s="35">
        <f>if(A699&lt;&gt;"", COUNTIFS(Beans!A:A, A699), "")</f>
        <v>0</v>
      </c>
      <c r="C699" s="35">
        <f>if(A699&lt;&gt;"", COUNTIFS(Beans!A:A, A699, Beans!C:C, "Good" ), "")</f>
        <v>0</v>
      </c>
      <c r="D699" s="35">
        <f>if(A699&lt;&gt;"", COUNTIFS(Beans!A:A, A699, Beans!C:C, "Bad" ), "")</f>
        <v>0</v>
      </c>
      <c r="E699" s="35">
        <f>if(A699&lt;&gt;"", COUNTIFS(Beans!A:A, A699, Beans!C:C, "Spicy" ), "")</f>
        <v>0</v>
      </c>
    </row>
    <row r="700">
      <c r="A700" s="34">
        <f t="shared" si="2"/>
        <v>45550</v>
      </c>
      <c r="B700" s="35">
        <f>if(A700&lt;&gt;"", COUNTIFS(Beans!A:A, A700), "")</f>
        <v>0</v>
      </c>
      <c r="C700" s="35">
        <f>if(A700&lt;&gt;"", COUNTIFS(Beans!A:A, A700, Beans!C:C, "Good" ), "")</f>
        <v>0</v>
      </c>
      <c r="D700" s="35">
        <f>if(A700&lt;&gt;"", COUNTIFS(Beans!A:A, A700, Beans!C:C, "Bad" ), "")</f>
        <v>0</v>
      </c>
      <c r="E700" s="35">
        <f>if(A700&lt;&gt;"", COUNTIFS(Beans!A:A, A700, Beans!C:C, "Spicy" ), "")</f>
        <v>0</v>
      </c>
    </row>
    <row r="701">
      <c r="A701" s="34">
        <f t="shared" si="2"/>
        <v>45551</v>
      </c>
      <c r="B701" s="35">
        <f>if(A701&lt;&gt;"", COUNTIFS(Beans!A:A, A701), "")</f>
        <v>2</v>
      </c>
      <c r="C701" s="35">
        <f>if(A701&lt;&gt;"", COUNTIFS(Beans!A:A, A701, Beans!C:C, "Good" ), "")</f>
        <v>0</v>
      </c>
      <c r="D701" s="35">
        <f>if(A701&lt;&gt;"", COUNTIFS(Beans!A:A, A701, Beans!C:C, "Bad" ), "")</f>
        <v>2</v>
      </c>
      <c r="E701" s="35">
        <f>if(A701&lt;&gt;"", COUNTIFS(Beans!A:A, A701, Beans!C:C, "Spicy" ), "")</f>
        <v>0</v>
      </c>
    </row>
    <row r="702">
      <c r="A702" s="34">
        <f t="shared" si="2"/>
        <v>45552</v>
      </c>
      <c r="B702" s="35">
        <f>if(A702&lt;&gt;"", COUNTIFS(Beans!A:A, A702), "")</f>
        <v>0</v>
      </c>
      <c r="C702" s="35">
        <f>if(A702&lt;&gt;"", COUNTIFS(Beans!A:A, A702, Beans!C:C, "Good" ), "")</f>
        <v>0</v>
      </c>
      <c r="D702" s="35">
        <f>if(A702&lt;&gt;"", COUNTIFS(Beans!A:A, A702, Beans!C:C, "Bad" ), "")</f>
        <v>0</v>
      </c>
      <c r="E702" s="35">
        <f>if(A702&lt;&gt;"", COUNTIFS(Beans!A:A, A702, Beans!C:C, "Spicy" ), "")</f>
        <v>0</v>
      </c>
    </row>
    <row r="703">
      <c r="A703" s="34">
        <f t="shared" si="2"/>
        <v>45553</v>
      </c>
      <c r="B703" s="35">
        <f>if(A703&lt;&gt;"", COUNTIFS(Beans!A:A, A703), "")</f>
        <v>6</v>
      </c>
      <c r="C703" s="35">
        <f>if(A703&lt;&gt;"", COUNTIFS(Beans!A:A, A703, Beans!C:C, "Good" ), "")</f>
        <v>3</v>
      </c>
      <c r="D703" s="35">
        <f>if(A703&lt;&gt;"", COUNTIFS(Beans!A:A, A703, Beans!C:C, "Bad" ), "")</f>
        <v>3</v>
      </c>
      <c r="E703" s="35">
        <f>if(A703&lt;&gt;"", COUNTIFS(Beans!A:A, A703, Beans!C:C, "Spicy" ), "")</f>
        <v>0</v>
      </c>
    </row>
    <row r="704">
      <c r="A704" s="34">
        <f t="shared" si="2"/>
        <v>45554</v>
      </c>
      <c r="B704" s="35">
        <f>if(A704&lt;&gt;"", COUNTIFS(Beans!A:A, A704), "")</f>
        <v>2</v>
      </c>
      <c r="C704" s="35">
        <f>if(A704&lt;&gt;"", COUNTIFS(Beans!A:A, A704, Beans!C:C, "Good" ), "")</f>
        <v>0</v>
      </c>
      <c r="D704" s="35">
        <f>if(A704&lt;&gt;"", COUNTIFS(Beans!A:A, A704, Beans!C:C, "Bad" ), "")</f>
        <v>2</v>
      </c>
      <c r="E704" s="35">
        <f>if(A704&lt;&gt;"", COUNTIFS(Beans!A:A, A704, Beans!C:C, "Spicy" ), "")</f>
        <v>0</v>
      </c>
    </row>
    <row r="705">
      <c r="A705" s="34">
        <f t="shared" si="2"/>
        <v>45555</v>
      </c>
      <c r="B705" s="35">
        <f>if(A705&lt;&gt;"", COUNTIFS(Beans!A:A, A705), "")</f>
        <v>4</v>
      </c>
      <c r="C705" s="35">
        <f>if(A705&lt;&gt;"", COUNTIFS(Beans!A:A, A705, Beans!C:C, "Good" ), "")</f>
        <v>0</v>
      </c>
      <c r="D705" s="35">
        <f>if(A705&lt;&gt;"", COUNTIFS(Beans!A:A, A705, Beans!C:C, "Bad" ), "")</f>
        <v>4</v>
      </c>
      <c r="E705" s="35">
        <f>if(A705&lt;&gt;"", COUNTIFS(Beans!A:A, A705, Beans!C:C, "Spicy" ), "")</f>
        <v>0</v>
      </c>
    </row>
    <row r="706">
      <c r="A706" s="34">
        <f t="shared" si="2"/>
        <v>45556</v>
      </c>
      <c r="B706" s="35">
        <f>if(A706&lt;&gt;"", COUNTIFS(Beans!A:A, A706), "")</f>
        <v>0</v>
      </c>
      <c r="C706" s="35">
        <f>if(A706&lt;&gt;"", COUNTIFS(Beans!A:A, A706, Beans!C:C, "Good" ), "")</f>
        <v>0</v>
      </c>
      <c r="D706" s="35">
        <f>if(A706&lt;&gt;"", COUNTIFS(Beans!A:A, A706, Beans!C:C, "Bad" ), "")</f>
        <v>0</v>
      </c>
      <c r="E706" s="35">
        <f>if(A706&lt;&gt;"", COUNTIFS(Beans!A:A, A706, Beans!C:C, "Spicy" ), "")</f>
        <v>0</v>
      </c>
    </row>
    <row r="707">
      <c r="A707" s="34">
        <f t="shared" si="2"/>
        <v>45557</v>
      </c>
      <c r="B707" s="35">
        <f>if(A707&lt;&gt;"", COUNTIFS(Beans!A:A, A707), "")</f>
        <v>0</v>
      </c>
      <c r="C707" s="35">
        <f>if(A707&lt;&gt;"", COUNTIFS(Beans!A:A, A707, Beans!C:C, "Good" ), "")</f>
        <v>0</v>
      </c>
      <c r="D707" s="35">
        <f>if(A707&lt;&gt;"", COUNTIFS(Beans!A:A, A707, Beans!C:C, "Bad" ), "")</f>
        <v>0</v>
      </c>
      <c r="E707" s="35">
        <f>if(A707&lt;&gt;"", COUNTIFS(Beans!A:A, A707, Beans!C:C, "Spicy" ), "")</f>
        <v>0</v>
      </c>
    </row>
    <row r="708">
      <c r="A708" s="34">
        <f t="shared" si="2"/>
        <v>45558</v>
      </c>
      <c r="B708" s="35">
        <f>if(A708&lt;&gt;"", COUNTIFS(Beans!A:A, A708), "")</f>
        <v>0</v>
      </c>
      <c r="C708" s="35">
        <f>if(A708&lt;&gt;"", COUNTIFS(Beans!A:A, A708, Beans!C:C, "Good" ), "")</f>
        <v>0</v>
      </c>
      <c r="D708" s="35">
        <f>if(A708&lt;&gt;"", COUNTIFS(Beans!A:A, A708, Beans!C:C, "Bad" ), "")</f>
        <v>0</v>
      </c>
      <c r="E708" s="35">
        <f>if(A708&lt;&gt;"", COUNTIFS(Beans!A:A, A708, Beans!C:C, "Spicy" ), "")</f>
        <v>0</v>
      </c>
    </row>
    <row r="709">
      <c r="A709" s="34">
        <f t="shared" si="2"/>
        <v>45559</v>
      </c>
      <c r="B709" s="35">
        <f>if(A709&lt;&gt;"", COUNTIFS(Beans!A:A, A709), "")</f>
        <v>0</v>
      </c>
      <c r="C709" s="35">
        <f>if(A709&lt;&gt;"", COUNTIFS(Beans!A:A, A709, Beans!C:C, "Good" ), "")</f>
        <v>0</v>
      </c>
      <c r="D709" s="35">
        <f>if(A709&lt;&gt;"", COUNTIFS(Beans!A:A, A709, Beans!C:C, "Bad" ), "")</f>
        <v>0</v>
      </c>
      <c r="E709" s="35">
        <f>if(A709&lt;&gt;"", COUNTIFS(Beans!A:A, A709, Beans!C:C, "Spicy" ), "")</f>
        <v>0</v>
      </c>
    </row>
    <row r="710">
      <c r="A710" s="34">
        <f t="shared" si="2"/>
        <v>45560</v>
      </c>
      <c r="B710" s="35">
        <f>if(A710&lt;&gt;"", COUNTIFS(Beans!A:A, A710), "")</f>
        <v>0</v>
      </c>
      <c r="C710" s="35">
        <f>if(A710&lt;&gt;"", COUNTIFS(Beans!A:A, A710, Beans!C:C, "Good" ), "")</f>
        <v>0</v>
      </c>
      <c r="D710" s="35">
        <f>if(A710&lt;&gt;"", COUNTIFS(Beans!A:A, A710, Beans!C:C, "Bad" ), "")</f>
        <v>0</v>
      </c>
      <c r="E710" s="35">
        <f>if(A710&lt;&gt;"", COUNTIFS(Beans!A:A, A710, Beans!C:C, "Spicy" ), "")</f>
        <v>0</v>
      </c>
    </row>
    <row r="711">
      <c r="A711" s="34">
        <f t="shared" si="2"/>
        <v>45561</v>
      </c>
      <c r="B711" s="35">
        <f>if(A711&lt;&gt;"", COUNTIFS(Beans!A:A, A711), "")</f>
        <v>0</v>
      </c>
      <c r="C711" s="35">
        <f>if(A711&lt;&gt;"", COUNTIFS(Beans!A:A, A711, Beans!C:C, "Good" ), "")</f>
        <v>0</v>
      </c>
      <c r="D711" s="35">
        <f>if(A711&lt;&gt;"", COUNTIFS(Beans!A:A, A711, Beans!C:C, "Bad" ), "")</f>
        <v>0</v>
      </c>
      <c r="E711" s="35">
        <f>if(A711&lt;&gt;"", COUNTIFS(Beans!A:A, A711, Beans!C:C, "Spicy" ), "")</f>
        <v>0</v>
      </c>
    </row>
    <row r="712">
      <c r="A712" s="34">
        <f t="shared" si="2"/>
        <v>45562</v>
      </c>
      <c r="B712" s="35">
        <f>if(A712&lt;&gt;"", COUNTIFS(Beans!A:A, A712), "")</f>
        <v>0</v>
      </c>
      <c r="C712" s="35">
        <f>if(A712&lt;&gt;"", COUNTIFS(Beans!A:A, A712, Beans!C:C, "Good" ), "")</f>
        <v>0</v>
      </c>
      <c r="D712" s="35">
        <f>if(A712&lt;&gt;"", COUNTIFS(Beans!A:A, A712, Beans!C:C, "Bad" ), "")</f>
        <v>0</v>
      </c>
      <c r="E712" s="35">
        <f>if(A712&lt;&gt;"", COUNTIFS(Beans!A:A, A712, Beans!C:C, "Spicy" ), "")</f>
        <v>0</v>
      </c>
    </row>
    <row r="713">
      <c r="A713" s="34">
        <f t="shared" si="2"/>
        <v>45563</v>
      </c>
      <c r="B713" s="35">
        <f>if(A713&lt;&gt;"", COUNTIFS(Beans!A:A, A713), "")</f>
        <v>0</v>
      </c>
      <c r="C713" s="35">
        <f>if(A713&lt;&gt;"", COUNTIFS(Beans!A:A, A713, Beans!C:C, "Good" ), "")</f>
        <v>0</v>
      </c>
      <c r="D713" s="35">
        <f>if(A713&lt;&gt;"", COUNTIFS(Beans!A:A, A713, Beans!C:C, "Bad" ), "")</f>
        <v>0</v>
      </c>
      <c r="E713" s="35">
        <f>if(A713&lt;&gt;"", COUNTIFS(Beans!A:A, A713, Beans!C:C, "Spicy" ), "")</f>
        <v>0</v>
      </c>
    </row>
    <row r="714">
      <c r="A714" s="34">
        <f t="shared" si="2"/>
        <v>45564</v>
      </c>
      <c r="B714" s="35">
        <f>if(A714&lt;&gt;"", COUNTIFS(Beans!A:A, A714), "")</f>
        <v>0</v>
      </c>
      <c r="C714" s="35">
        <f>if(A714&lt;&gt;"", COUNTIFS(Beans!A:A, A714, Beans!C:C, "Good" ), "")</f>
        <v>0</v>
      </c>
      <c r="D714" s="35">
        <f>if(A714&lt;&gt;"", COUNTIFS(Beans!A:A, A714, Beans!C:C, "Bad" ), "")</f>
        <v>0</v>
      </c>
      <c r="E714" s="35">
        <f>if(A714&lt;&gt;"", COUNTIFS(Beans!A:A, A714, Beans!C:C, "Spicy" ), "")</f>
        <v>0</v>
      </c>
    </row>
    <row r="715">
      <c r="A715" s="34">
        <f t="shared" si="2"/>
        <v>45565</v>
      </c>
      <c r="B715" s="35">
        <f>if(A715&lt;&gt;"", COUNTIFS(Beans!A:A, A715), "")</f>
        <v>0</v>
      </c>
      <c r="C715" s="35">
        <f>if(A715&lt;&gt;"", COUNTIFS(Beans!A:A, A715, Beans!C:C, "Good" ), "")</f>
        <v>0</v>
      </c>
      <c r="D715" s="35">
        <f>if(A715&lt;&gt;"", COUNTIFS(Beans!A:A, A715, Beans!C:C, "Bad" ), "")</f>
        <v>0</v>
      </c>
      <c r="E715" s="35">
        <f>if(A715&lt;&gt;"", COUNTIFS(Beans!A:A, A715, Beans!C:C, "Spicy" ), "")</f>
        <v>0</v>
      </c>
    </row>
    <row r="716">
      <c r="A716" s="34">
        <f t="shared" si="2"/>
        <v>45566</v>
      </c>
      <c r="B716" s="35">
        <f>if(A716&lt;&gt;"", COUNTIFS(Beans!A:A, A716), "")</f>
        <v>0</v>
      </c>
      <c r="C716" s="35">
        <f>if(A716&lt;&gt;"", COUNTIFS(Beans!A:A, A716, Beans!C:C, "Good" ), "")</f>
        <v>0</v>
      </c>
      <c r="D716" s="35">
        <f>if(A716&lt;&gt;"", COUNTIFS(Beans!A:A, A716, Beans!C:C, "Bad" ), "")</f>
        <v>0</v>
      </c>
      <c r="E716" s="35">
        <f>if(A716&lt;&gt;"", COUNTIFS(Beans!A:A, A716, Beans!C:C, "Spicy" ), "")</f>
        <v>0</v>
      </c>
    </row>
    <row r="717">
      <c r="A717" s="34">
        <f t="shared" si="2"/>
        <v>45567</v>
      </c>
      <c r="B717" s="35">
        <f>if(A717&lt;&gt;"", COUNTIFS(Beans!A:A, A717), "")</f>
        <v>0</v>
      </c>
      <c r="C717" s="35">
        <f>if(A717&lt;&gt;"", COUNTIFS(Beans!A:A, A717, Beans!C:C, "Good" ), "")</f>
        <v>0</v>
      </c>
      <c r="D717" s="35">
        <f>if(A717&lt;&gt;"", COUNTIFS(Beans!A:A, A717, Beans!C:C, "Bad" ), "")</f>
        <v>0</v>
      </c>
      <c r="E717" s="35">
        <f>if(A717&lt;&gt;"", COUNTIFS(Beans!A:A, A717, Beans!C:C, "Spicy" ), "")</f>
        <v>0</v>
      </c>
    </row>
    <row r="718">
      <c r="A718" s="34">
        <f t="shared" si="2"/>
        <v>45568</v>
      </c>
      <c r="B718" s="35">
        <f>if(A718&lt;&gt;"", COUNTIFS(Beans!A:A, A718), "")</f>
        <v>0</v>
      </c>
      <c r="C718" s="35">
        <f>if(A718&lt;&gt;"", COUNTIFS(Beans!A:A, A718, Beans!C:C, "Good" ), "")</f>
        <v>0</v>
      </c>
      <c r="D718" s="35">
        <f>if(A718&lt;&gt;"", COUNTIFS(Beans!A:A, A718, Beans!C:C, "Bad" ), "")</f>
        <v>0</v>
      </c>
      <c r="E718" s="35">
        <f>if(A718&lt;&gt;"", COUNTIFS(Beans!A:A, A718, Beans!C:C, "Spicy" ), "")</f>
        <v>0</v>
      </c>
    </row>
    <row r="719">
      <c r="A719" s="34">
        <f t="shared" si="2"/>
        <v>45569</v>
      </c>
      <c r="B719" s="35">
        <f>if(A719&lt;&gt;"", COUNTIFS(Beans!A:A, A719), "")</f>
        <v>0</v>
      </c>
      <c r="C719" s="35">
        <f>if(A719&lt;&gt;"", COUNTIFS(Beans!A:A, A719, Beans!C:C, "Good" ), "")</f>
        <v>0</v>
      </c>
      <c r="D719" s="35">
        <f>if(A719&lt;&gt;"", COUNTIFS(Beans!A:A, A719, Beans!C:C, "Bad" ), "")</f>
        <v>0</v>
      </c>
      <c r="E719" s="35">
        <f>if(A719&lt;&gt;"", COUNTIFS(Beans!A:A, A719, Beans!C:C, "Spicy" ), "")</f>
        <v>0</v>
      </c>
    </row>
    <row r="720">
      <c r="A720" s="34">
        <f t="shared" si="2"/>
        <v>45570</v>
      </c>
      <c r="B720" s="35">
        <f>if(A720&lt;&gt;"", COUNTIFS(Beans!A:A, A720), "")</f>
        <v>0</v>
      </c>
      <c r="C720" s="35">
        <f>if(A720&lt;&gt;"", COUNTIFS(Beans!A:A, A720, Beans!C:C, "Good" ), "")</f>
        <v>0</v>
      </c>
      <c r="D720" s="35">
        <f>if(A720&lt;&gt;"", COUNTIFS(Beans!A:A, A720, Beans!C:C, "Bad" ), "")</f>
        <v>0</v>
      </c>
      <c r="E720" s="35">
        <f>if(A720&lt;&gt;"", COUNTIFS(Beans!A:A, A720, Beans!C:C, "Spicy" ), "")</f>
        <v>0</v>
      </c>
    </row>
    <row r="721">
      <c r="A721" s="34">
        <f t="shared" si="2"/>
        <v>45571</v>
      </c>
      <c r="B721" s="35">
        <f>if(A721&lt;&gt;"", COUNTIFS(Beans!A:A, A721), "")</f>
        <v>0</v>
      </c>
      <c r="C721" s="35">
        <f>if(A721&lt;&gt;"", COUNTIFS(Beans!A:A, A721, Beans!C:C, "Good" ), "")</f>
        <v>0</v>
      </c>
      <c r="D721" s="35">
        <f>if(A721&lt;&gt;"", COUNTIFS(Beans!A:A, A721, Beans!C:C, "Bad" ), "")</f>
        <v>0</v>
      </c>
      <c r="E721" s="35">
        <f>if(A721&lt;&gt;"", COUNTIFS(Beans!A:A, A721, Beans!C:C, "Spicy" ), "")</f>
        <v>0</v>
      </c>
    </row>
    <row r="722">
      <c r="A722" s="34">
        <f t="shared" si="2"/>
        <v>45572</v>
      </c>
      <c r="B722" s="35">
        <f>if(A722&lt;&gt;"", COUNTIFS(Beans!A:A, A722), "")</f>
        <v>1</v>
      </c>
      <c r="C722" s="35">
        <f>if(A722&lt;&gt;"", COUNTIFS(Beans!A:A, A722, Beans!C:C, "Good" ), "")</f>
        <v>0</v>
      </c>
      <c r="D722" s="35">
        <f>if(A722&lt;&gt;"", COUNTIFS(Beans!A:A, A722, Beans!C:C, "Bad" ), "")</f>
        <v>1</v>
      </c>
      <c r="E722" s="35">
        <f>if(A722&lt;&gt;"", COUNTIFS(Beans!A:A, A722, Beans!C:C, "Spicy" ), "")</f>
        <v>0</v>
      </c>
    </row>
    <row r="723">
      <c r="A723" s="34">
        <f t="shared" si="2"/>
        <v>45573</v>
      </c>
      <c r="B723" s="35">
        <f>if(A723&lt;&gt;"", COUNTIFS(Beans!A:A, A723), "")</f>
        <v>1</v>
      </c>
      <c r="C723" s="35">
        <f>if(A723&lt;&gt;"", COUNTIFS(Beans!A:A, A723, Beans!C:C, "Good" ), "")</f>
        <v>0</v>
      </c>
      <c r="D723" s="35">
        <f>if(A723&lt;&gt;"", COUNTIFS(Beans!A:A, A723, Beans!C:C, "Bad" ), "")</f>
        <v>1</v>
      </c>
      <c r="E723" s="35">
        <f>if(A723&lt;&gt;"", COUNTIFS(Beans!A:A, A723, Beans!C:C, "Spicy" ), "")</f>
        <v>0</v>
      </c>
    </row>
    <row r="724">
      <c r="A724" s="34">
        <f t="shared" si="2"/>
        <v>45574</v>
      </c>
      <c r="B724" s="35">
        <f>if(A724&lt;&gt;"", COUNTIFS(Beans!A:A, A724), "")</f>
        <v>0</v>
      </c>
      <c r="C724" s="35">
        <f>if(A724&lt;&gt;"", COUNTIFS(Beans!A:A, A724, Beans!C:C, "Good" ), "")</f>
        <v>0</v>
      </c>
      <c r="D724" s="35">
        <f>if(A724&lt;&gt;"", COUNTIFS(Beans!A:A, A724, Beans!C:C, "Bad" ), "")</f>
        <v>0</v>
      </c>
      <c r="E724" s="35">
        <f>if(A724&lt;&gt;"", COUNTIFS(Beans!A:A, A724, Beans!C:C, "Spicy" ), "")</f>
        <v>0</v>
      </c>
    </row>
    <row r="725">
      <c r="A725" s="34">
        <f t="shared" si="2"/>
        <v>45575</v>
      </c>
      <c r="B725" s="35">
        <f>if(A725&lt;&gt;"", COUNTIFS(Beans!A:A, A725), "")</f>
        <v>0</v>
      </c>
      <c r="C725" s="35">
        <f>if(A725&lt;&gt;"", COUNTIFS(Beans!A:A, A725, Beans!C:C, "Good" ), "")</f>
        <v>0</v>
      </c>
      <c r="D725" s="35">
        <f>if(A725&lt;&gt;"", COUNTIFS(Beans!A:A, A725, Beans!C:C, "Bad" ), "")</f>
        <v>0</v>
      </c>
      <c r="E725" s="35">
        <f>if(A725&lt;&gt;"", COUNTIFS(Beans!A:A, A725, Beans!C:C, "Spicy" ), "")</f>
        <v>0</v>
      </c>
    </row>
    <row r="726">
      <c r="A726" s="34">
        <f t="shared" si="2"/>
        <v>45576</v>
      </c>
      <c r="B726" s="35">
        <f>if(A726&lt;&gt;"", COUNTIFS(Beans!A:A, A726), "")</f>
        <v>0</v>
      </c>
      <c r="C726" s="35">
        <f>if(A726&lt;&gt;"", COUNTIFS(Beans!A:A, A726, Beans!C:C, "Good" ), "")</f>
        <v>0</v>
      </c>
      <c r="D726" s="35">
        <f>if(A726&lt;&gt;"", COUNTIFS(Beans!A:A, A726, Beans!C:C, "Bad" ), "")</f>
        <v>0</v>
      </c>
      <c r="E726" s="35">
        <f>if(A726&lt;&gt;"", COUNTIFS(Beans!A:A, A726, Beans!C:C, "Spicy" ), "")</f>
        <v>0</v>
      </c>
    </row>
    <row r="727">
      <c r="A727" s="34">
        <f t="shared" si="2"/>
        <v>45577</v>
      </c>
      <c r="B727" s="35">
        <f>if(A727&lt;&gt;"", COUNTIFS(Beans!A:A, A727), "")</f>
        <v>0</v>
      </c>
      <c r="C727" s="35">
        <f>if(A727&lt;&gt;"", COUNTIFS(Beans!A:A, A727, Beans!C:C, "Good" ), "")</f>
        <v>0</v>
      </c>
      <c r="D727" s="35">
        <f>if(A727&lt;&gt;"", COUNTIFS(Beans!A:A, A727, Beans!C:C, "Bad" ), "")</f>
        <v>0</v>
      </c>
      <c r="E727" s="35">
        <f>if(A727&lt;&gt;"", COUNTIFS(Beans!A:A, A727, Beans!C:C, "Spicy" ), "")</f>
        <v>0</v>
      </c>
    </row>
    <row r="728">
      <c r="A728" s="34">
        <f t="shared" si="2"/>
        <v>45578</v>
      </c>
      <c r="B728" s="35">
        <f>if(A728&lt;&gt;"", COUNTIFS(Beans!A:A, A728), "")</f>
        <v>0</v>
      </c>
      <c r="C728" s="35">
        <f>if(A728&lt;&gt;"", COUNTIFS(Beans!A:A, A728, Beans!C:C, "Good" ), "")</f>
        <v>0</v>
      </c>
      <c r="D728" s="35">
        <f>if(A728&lt;&gt;"", COUNTIFS(Beans!A:A, A728, Beans!C:C, "Bad" ), "")</f>
        <v>0</v>
      </c>
      <c r="E728" s="35">
        <f>if(A728&lt;&gt;"", COUNTIFS(Beans!A:A, A728, Beans!C:C, "Spicy" ), "")</f>
        <v>0</v>
      </c>
    </row>
    <row r="729">
      <c r="A729" s="34">
        <f t="shared" si="2"/>
        <v>45579</v>
      </c>
      <c r="B729" s="35">
        <f>if(A729&lt;&gt;"", COUNTIFS(Beans!A:A, A729), "")</f>
        <v>0</v>
      </c>
      <c r="C729" s="35">
        <f>if(A729&lt;&gt;"", COUNTIFS(Beans!A:A, A729, Beans!C:C, "Good" ), "")</f>
        <v>0</v>
      </c>
      <c r="D729" s="35">
        <f>if(A729&lt;&gt;"", COUNTIFS(Beans!A:A, A729, Beans!C:C, "Bad" ), "")</f>
        <v>0</v>
      </c>
      <c r="E729" s="35">
        <f>if(A729&lt;&gt;"", COUNTIFS(Beans!A:A, A729, Beans!C:C, "Spicy" ), "")</f>
        <v>0</v>
      </c>
    </row>
    <row r="730">
      <c r="A730" s="34">
        <f t="shared" si="2"/>
        <v>45580</v>
      </c>
      <c r="B730" s="35">
        <f>if(A730&lt;&gt;"", COUNTIFS(Beans!A:A, A730), "")</f>
        <v>0</v>
      </c>
      <c r="C730" s="35">
        <f>if(A730&lt;&gt;"", COUNTIFS(Beans!A:A, A730, Beans!C:C, "Good" ), "")</f>
        <v>0</v>
      </c>
      <c r="D730" s="35">
        <f>if(A730&lt;&gt;"", COUNTIFS(Beans!A:A, A730, Beans!C:C, "Bad" ), "")</f>
        <v>0</v>
      </c>
      <c r="E730" s="35">
        <f>if(A730&lt;&gt;"", COUNTIFS(Beans!A:A, A730, Beans!C:C, "Spicy" ), "")</f>
        <v>0</v>
      </c>
    </row>
    <row r="731">
      <c r="A731" s="34">
        <f t="shared" si="2"/>
        <v>45581</v>
      </c>
      <c r="B731" s="35">
        <f>if(A731&lt;&gt;"", COUNTIFS(Beans!A:A, A731), "")</f>
        <v>1</v>
      </c>
      <c r="C731" s="35">
        <f>if(A731&lt;&gt;"", COUNTIFS(Beans!A:A, A731, Beans!C:C, "Good" ), "")</f>
        <v>0</v>
      </c>
      <c r="D731" s="35">
        <f>if(A731&lt;&gt;"", COUNTIFS(Beans!A:A, A731, Beans!C:C, "Bad" ), "")</f>
        <v>1</v>
      </c>
      <c r="E731" s="35">
        <f>if(A731&lt;&gt;"", COUNTIFS(Beans!A:A, A731, Beans!C:C, "Spicy" ), "")</f>
        <v>0</v>
      </c>
    </row>
    <row r="732">
      <c r="A732" s="34">
        <f t="shared" si="2"/>
        <v>45582</v>
      </c>
      <c r="B732" s="35">
        <f>if(A732&lt;&gt;"", COUNTIFS(Beans!A:A, A732), "")</f>
        <v>0</v>
      </c>
      <c r="C732" s="35">
        <f>if(A732&lt;&gt;"", COUNTIFS(Beans!A:A, A732, Beans!C:C, "Good" ), "")</f>
        <v>0</v>
      </c>
      <c r="D732" s="35">
        <f>if(A732&lt;&gt;"", COUNTIFS(Beans!A:A, A732, Beans!C:C, "Bad" ), "")</f>
        <v>0</v>
      </c>
      <c r="E732" s="35">
        <f>if(A732&lt;&gt;"", COUNTIFS(Beans!A:A, A732, Beans!C:C, "Spicy" ), "")</f>
        <v>0</v>
      </c>
    </row>
    <row r="733">
      <c r="A733" s="34">
        <f t="shared" si="2"/>
        <v>45583</v>
      </c>
      <c r="B733" s="35">
        <f>if(A733&lt;&gt;"", COUNTIFS(Beans!A:A, A733), "")</f>
        <v>3</v>
      </c>
      <c r="C733" s="35">
        <f>if(A733&lt;&gt;"", COUNTIFS(Beans!A:A, A733, Beans!C:C, "Good" ), "")</f>
        <v>0</v>
      </c>
      <c r="D733" s="35">
        <f>if(A733&lt;&gt;"", COUNTIFS(Beans!A:A, A733, Beans!C:C, "Bad" ), "")</f>
        <v>3</v>
      </c>
      <c r="E733" s="35">
        <f>if(A733&lt;&gt;"", COUNTIFS(Beans!A:A, A733, Beans!C:C, "Spicy" ), "")</f>
        <v>0</v>
      </c>
    </row>
    <row r="734">
      <c r="A734" s="34">
        <f t="shared" si="2"/>
        <v>45584</v>
      </c>
      <c r="B734" s="35">
        <f>if(A734&lt;&gt;"", COUNTIFS(Beans!A:A, A734), "")</f>
        <v>0</v>
      </c>
      <c r="C734" s="35">
        <f>if(A734&lt;&gt;"", COUNTIFS(Beans!A:A, A734, Beans!C:C, "Good" ), "")</f>
        <v>0</v>
      </c>
      <c r="D734" s="35">
        <f>if(A734&lt;&gt;"", COUNTIFS(Beans!A:A, A734, Beans!C:C, "Bad" ), "")</f>
        <v>0</v>
      </c>
      <c r="E734" s="35">
        <f>if(A734&lt;&gt;"", COUNTIFS(Beans!A:A, A734, Beans!C:C, "Spicy" ), "")</f>
        <v>0</v>
      </c>
    </row>
    <row r="735">
      <c r="A735" s="34">
        <f t="shared" si="2"/>
        <v>45585</v>
      </c>
      <c r="B735" s="35">
        <f>if(A735&lt;&gt;"", COUNTIFS(Beans!A:A, A735), "")</f>
        <v>0</v>
      </c>
      <c r="C735" s="35">
        <f>if(A735&lt;&gt;"", COUNTIFS(Beans!A:A, A735, Beans!C:C, "Good" ), "")</f>
        <v>0</v>
      </c>
      <c r="D735" s="35">
        <f>if(A735&lt;&gt;"", COUNTIFS(Beans!A:A, A735, Beans!C:C, "Bad" ), "")</f>
        <v>0</v>
      </c>
      <c r="E735" s="35">
        <f>if(A735&lt;&gt;"", COUNTIFS(Beans!A:A, A735, Beans!C:C, "Spicy" ), "")</f>
        <v>0</v>
      </c>
    </row>
    <row r="736">
      <c r="A736" s="34">
        <f t="shared" si="2"/>
        <v>45586</v>
      </c>
      <c r="B736" s="35">
        <f>if(A736&lt;&gt;"", COUNTIFS(Beans!A:A, A736), "")</f>
        <v>4</v>
      </c>
      <c r="C736" s="35">
        <f>if(A736&lt;&gt;"", COUNTIFS(Beans!A:A, A736, Beans!C:C, "Good" ), "")</f>
        <v>1</v>
      </c>
      <c r="D736" s="35">
        <f>if(A736&lt;&gt;"", COUNTIFS(Beans!A:A, A736, Beans!C:C, "Bad" ), "")</f>
        <v>3</v>
      </c>
      <c r="E736" s="35">
        <f>if(A736&lt;&gt;"", COUNTIFS(Beans!A:A, A736, Beans!C:C, "Spicy" ), "")</f>
        <v>0</v>
      </c>
    </row>
    <row r="737">
      <c r="A737" s="34">
        <f t="shared" si="2"/>
        <v>45587</v>
      </c>
      <c r="B737" s="35">
        <f>if(A737&lt;&gt;"", COUNTIFS(Beans!A:A, A737), "")</f>
        <v>2</v>
      </c>
      <c r="C737" s="35">
        <f>if(A737&lt;&gt;"", COUNTIFS(Beans!A:A, A737, Beans!C:C, "Good" ), "")</f>
        <v>0</v>
      </c>
      <c r="D737" s="35">
        <f>if(A737&lt;&gt;"", COUNTIFS(Beans!A:A, A737, Beans!C:C, "Bad" ), "")</f>
        <v>2</v>
      </c>
      <c r="E737" s="35">
        <f>if(A737&lt;&gt;"", COUNTIFS(Beans!A:A, A737, Beans!C:C, "Spicy" ), "")</f>
        <v>0</v>
      </c>
    </row>
    <row r="738">
      <c r="A738" s="34">
        <f t="shared" si="2"/>
        <v>45588</v>
      </c>
      <c r="B738" s="35">
        <f>if(A738&lt;&gt;"", COUNTIFS(Beans!A:A, A738), "")</f>
        <v>1</v>
      </c>
      <c r="C738" s="35">
        <f>if(A738&lt;&gt;"", COUNTIFS(Beans!A:A, A738, Beans!C:C, "Good" ), "")</f>
        <v>0</v>
      </c>
      <c r="D738" s="35">
        <f>if(A738&lt;&gt;"", COUNTIFS(Beans!A:A, A738, Beans!C:C, "Bad" ), "")</f>
        <v>1</v>
      </c>
      <c r="E738" s="35">
        <f>if(A738&lt;&gt;"", COUNTIFS(Beans!A:A, A738, Beans!C:C, "Spicy" ), "")</f>
        <v>0</v>
      </c>
    </row>
    <row r="739">
      <c r="A739" s="34">
        <f t="shared" si="2"/>
        <v>45589</v>
      </c>
      <c r="B739" s="35">
        <f>if(A739&lt;&gt;"", COUNTIFS(Beans!A:A, A739), "")</f>
        <v>1</v>
      </c>
      <c r="C739" s="35">
        <f>if(A739&lt;&gt;"", COUNTIFS(Beans!A:A, A739, Beans!C:C, "Good" ), "")</f>
        <v>0</v>
      </c>
      <c r="D739" s="35">
        <f>if(A739&lt;&gt;"", COUNTIFS(Beans!A:A, A739, Beans!C:C, "Bad" ), "")</f>
        <v>1</v>
      </c>
      <c r="E739" s="35">
        <f>if(A739&lt;&gt;"", COUNTIFS(Beans!A:A, A739, Beans!C:C, "Spicy" ), "")</f>
        <v>0</v>
      </c>
    </row>
    <row r="740">
      <c r="A740" s="34">
        <f t="shared" si="2"/>
        <v>45590</v>
      </c>
      <c r="B740" s="35">
        <f>if(A740&lt;&gt;"", COUNTIFS(Beans!A:A, A740), "")</f>
        <v>0</v>
      </c>
      <c r="C740" s="35">
        <f>if(A740&lt;&gt;"", COUNTIFS(Beans!A:A, A740, Beans!C:C, "Good" ), "")</f>
        <v>0</v>
      </c>
      <c r="D740" s="35">
        <f>if(A740&lt;&gt;"", COUNTIFS(Beans!A:A, A740, Beans!C:C, "Bad" ), "")</f>
        <v>0</v>
      </c>
      <c r="E740" s="35">
        <f>if(A740&lt;&gt;"", COUNTIFS(Beans!A:A, A740, Beans!C:C, "Spicy" ), "")</f>
        <v>0</v>
      </c>
    </row>
    <row r="741">
      <c r="A741" s="34">
        <f t="shared" si="2"/>
        <v>45591</v>
      </c>
      <c r="B741" s="35">
        <f>if(A741&lt;&gt;"", COUNTIFS(Beans!A:A, A741), "")</f>
        <v>0</v>
      </c>
      <c r="C741" s="35">
        <f>if(A741&lt;&gt;"", COUNTIFS(Beans!A:A, A741, Beans!C:C, "Good" ), "")</f>
        <v>0</v>
      </c>
      <c r="D741" s="35">
        <f>if(A741&lt;&gt;"", COUNTIFS(Beans!A:A, A741, Beans!C:C, "Bad" ), "")</f>
        <v>0</v>
      </c>
      <c r="E741" s="35">
        <f>if(A741&lt;&gt;"", COUNTIFS(Beans!A:A, A741, Beans!C:C, "Spicy" ), "")</f>
        <v>0</v>
      </c>
    </row>
    <row r="742">
      <c r="A742" s="34">
        <f t="shared" si="2"/>
        <v>45592</v>
      </c>
      <c r="B742" s="35">
        <f>if(A742&lt;&gt;"", COUNTIFS(Beans!A:A, A742), "")</f>
        <v>0</v>
      </c>
      <c r="C742" s="35">
        <f>if(A742&lt;&gt;"", COUNTIFS(Beans!A:A, A742, Beans!C:C, "Good" ), "")</f>
        <v>0</v>
      </c>
      <c r="D742" s="35">
        <f>if(A742&lt;&gt;"", COUNTIFS(Beans!A:A, A742, Beans!C:C, "Bad" ), "")</f>
        <v>0</v>
      </c>
      <c r="E742" s="35">
        <f>if(A742&lt;&gt;"", COUNTIFS(Beans!A:A, A742, Beans!C:C, "Spicy" ), "")</f>
        <v>0</v>
      </c>
    </row>
    <row r="743">
      <c r="A743" s="34">
        <f t="shared" si="2"/>
        <v>45593</v>
      </c>
      <c r="B743" s="35">
        <f>if(A743&lt;&gt;"", COUNTIFS(Beans!A:A, A743), "")</f>
        <v>1</v>
      </c>
      <c r="C743" s="35">
        <f>if(A743&lt;&gt;"", COUNTIFS(Beans!A:A, A743, Beans!C:C, "Good" ), "")</f>
        <v>0</v>
      </c>
      <c r="D743" s="35">
        <f>if(A743&lt;&gt;"", COUNTIFS(Beans!A:A, A743, Beans!C:C, "Bad" ), "")</f>
        <v>1</v>
      </c>
      <c r="E743" s="35">
        <f>if(A743&lt;&gt;"", COUNTIFS(Beans!A:A, A743, Beans!C:C, "Spicy" ), "")</f>
        <v>0</v>
      </c>
    </row>
    <row r="744">
      <c r="A744" s="34">
        <f t="shared" si="2"/>
        <v>45594</v>
      </c>
      <c r="B744" s="35">
        <f>if(A744&lt;&gt;"", COUNTIFS(Beans!A:A, A744), "")</f>
        <v>2</v>
      </c>
      <c r="C744" s="35">
        <f>if(A744&lt;&gt;"", COUNTIFS(Beans!A:A, A744, Beans!C:C, "Good" ), "")</f>
        <v>2</v>
      </c>
      <c r="D744" s="35">
        <f>if(A744&lt;&gt;"", COUNTIFS(Beans!A:A, A744, Beans!C:C, "Bad" ), "")</f>
        <v>0</v>
      </c>
      <c r="E744" s="35">
        <f>if(A744&lt;&gt;"", COUNTIFS(Beans!A:A, A744, Beans!C:C, "Spicy" ), "")</f>
        <v>0</v>
      </c>
    </row>
    <row r="745">
      <c r="A745" s="34">
        <f t="shared" si="2"/>
        <v>45595</v>
      </c>
      <c r="B745" s="35">
        <f>if(A745&lt;&gt;"", COUNTIFS(Beans!A:A, A745), "")</f>
        <v>0</v>
      </c>
      <c r="C745" s="35">
        <f>if(A745&lt;&gt;"", COUNTIFS(Beans!A:A, A745, Beans!C:C, "Good" ), "")</f>
        <v>0</v>
      </c>
      <c r="D745" s="35">
        <f>if(A745&lt;&gt;"", COUNTIFS(Beans!A:A, A745, Beans!C:C, "Bad" ), "")</f>
        <v>0</v>
      </c>
      <c r="E745" s="35">
        <f>if(A745&lt;&gt;"", COUNTIFS(Beans!A:A, A745, Beans!C:C, "Spicy" ), "")</f>
        <v>0</v>
      </c>
    </row>
    <row r="746">
      <c r="A746" s="34">
        <f t="shared" si="2"/>
        <v>45596</v>
      </c>
      <c r="B746" s="35">
        <f>if(A746&lt;&gt;"", COUNTIFS(Beans!A:A, A746), "")</f>
        <v>0</v>
      </c>
      <c r="C746" s="35">
        <f>if(A746&lt;&gt;"", COUNTIFS(Beans!A:A, A746, Beans!C:C, "Good" ), "")</f>
        <v>0</v>
      </c>
      <c r="D746" s="35">
        <f>if(A746&lt;&gt;"", COUNTIFS(Beans!A:A, A746, Beans!C:C, "Bad" ), "")</f>
        <v>0</v>
      </c>
      <c r="E746" s="35">
        <f>if(A746&lt;&gt;"", COUNTIFS(Beans!A:A, A746, Beans!C:C, "Spicy" ), "")</f>
        <v>0</v>
      </c>
    </row>
    <row r="747">
      <c r="A747" s="34">
        <f t="shared" si="2"/>
        <v>45597</v>
      </c>
      <c r="B747" s="35">
        <f>if(A747&lt;&gt;"", COUNTIFS(Beans!A:A, A747), "")</f>
        <v>3</v>
      </c>
      <c r="C747" s="35">
        <f>if(A747&lt;&gt;"", COUNTIFS(Beans!A:A, A747, Beans!C:C, "Good" ), "")</f>
        <v>1</v>
      </c>
      <c r="D747" s="35">
        <f>if(A747&lt;&gt;"", COUNTIFS(Beans!A:A, A747, Beans!C:C, "Bad" ), "")</f>
        <v>2</v>
      </c>
      <c r="E747" s="35">
        <f>if(A747&lt;&gt;"", COUNTIFS(Beans!A:A, A747, Beans!C:C, "Spicy" ), "")</f>
        <v>0</v>
      </c>
    </row>
    <row r="748">
      <c r="A748" s="34">
        <f t="shared" si="2"/>
        <v>45598</v>
      </c>
      <c r="B748" s="35">
        <f>if(A748&lt;&gt;"", COUNTIFS(Beans!A:A, A748), "")</f>
        <v>0</v>
      </c>
      <c r="C748" s="35">
        <f>if(A748&lt;&gt;"", COUNTIFS(Beans!A:A, A748, Beans!C:C, "Good" ), "")</f>
        <v>0</v>
      </c>
      <c r="D748" s="35">
        <f>if(A748&lt;&gt;"", COUNTIFS(Beans!A:A, A748, Beans!C:C, "Bad" ), "")</f>
        <v>0</v>
      </c>
      <c r="E748" s="35">
        <f>if(A748&lt;&gt;"", COUNTIFS(Beans!A:A, A748, Beans!C:C, "Spicy" ), "")</f>
        <v>0</v>
      </c>
    </row>
    <row r="749">
      <c r="A749" s="34">
        <f t="shared" si="2"/>
        <v>45599</v>
      </c>
      <c r="B749" s="35">
        <f>if(A749&lt;&gt;"", COUNTIFS(Beans!A:A, A749), "")</f>
        <v>0</v>
      </c>
      <c r="C749" s="35">
        <f>if(A749&lt;&gt;"", COUNTIFS(Beans!A:A, A749, Beans!C:C, "Good" ), "")</f>
        <v>0</v>
      </c>
      <c r="D749" s="35">
        <f>if(A749&lt;&gt;"", COUNTIFS(Beans!A:A, A749, Beans!C:C, "Bad" ), "")</f>
        <v>0</v>
      </c>
      <c r="E749" s="35">
        <f>if(A749&lt;&gt;"", COUNTIFS(Beans!A:A, A749, Beans!C:C, "Spicy" ), "")</f>
        <v>0</v>
      </c>
    </row>
    <row r="750">
      <c r="A750" s="34">
        <f t="shared" si="2"/>
        <v>45600</v>
      </c>
      <c r="B750" s="35">
        <f>if(A750&lt;&gt;"", COUNTIFS(Beans!A:A, A750), "")</f>
        <v>3</v>
      </c>
      <c r="C750" s="35">
        <f>if(A750&lt;&gt;"", COUNTIFS(Beans!A:A, A750, Beans!C:C, "Good" ), "")</f>
        <v>0</v>
      </c>
      <c r="D750" s="35">
        <f>if(A750&lt;&gt;"", COUNTIFS(Beans!A:A, A750, Beans!C:C, "Bad" ), "")</f>
        <v>3</v>
      </c>
      <c r="E750" s="35">
        <f>if(A750&lt;&gt;"", COUNTIFS(Beans!A:A, A750, Beans!C:C, "Spicy" ), "")</f>
        <v>0</v>
      </c>
    </row>
    <row r="751">
      <c r="A751" s="34">
        <f t="shared" si="2"/>
        <v>45601</v>
      </c>
      <c r="B751" s="35">
        <f>if(A751&lt;&gt;"", COUNTIFS(Beans!A:A, A751), "")</f>
        <v>0</v>
      </c>
      <c r="C751" s="35">
        <f>if(A751&lt;&gt;"", COUNTIFS(Beans!A:A, A751, Beans!C:C, "Good" ), "")</f>
        <v>0</v>
      </c>
      <c r="D751" s="35">
        <f>if(A751&lt;&gt;"", COUNTIFS(Beans!A:A, A751, Beans!C:C, "Bad" ), "")</f>
        <v>0</v>
      </c>
      <c r="E751" s="35">
        <f>if(A751&lt;&gt;"", COUNTIFS(Beans!A:A, A751, Beans!C:C, "Spicy" ), "")</f>
        <v>0</v>
      </c>
    </row>
    <row r="752">
      <c r="A752" s="34">
        <f t="shared" si="2"/>
        <v>45602</v>
      </c>
      <c r="B752" s="35">
        <f>if(A752&lt;&gt;"", COUNTIFS(Beans!A:A, A752), "")</f>
        <v>1</v>
      </c>
      <c r="C752" s="35">
        <f>if(A752&lt;&gt;"", COUNTIFS(Beans!A:A, A752, Beans!C:C, "Good" ), "")</f>
        <v>0</v>
      </c>
      <c r="D752" s="35">
        <f>if(A752&lt;&gt;"", COUNTIFS(Beans!A:A, A752, Beans!C:C, "Bad" ), "")</f>
        <v>1</v>
      </c>
      <c r="E752" s="35">
        <f>if(A752&lt;&gt;"", COUNTIFS(Beans!A:A, A752, Beans!C:C, "Spicy" ), "")</f>
        <v>0</v>
      </c>
    </row>
    <row r="753">
      <c r="A753" s="34">
        <f t="shared" si="2"/>
        <v>45603</v>
      </c>
      <c r="B753" s="35">
        <f>if(A753&lt;&gt;"", COUNTIFS(Beans!A:A, A753), "")</f>
        <v>5</v>
      </c>
      <c r="C753" s="35">
        <f>if(A753&lt;&gt;"", COUNTIFS(Beans!A:A, A753, Beans!C:C, "Good" ), "")</f>
        <v>2</v>
      </c>
      <c r="D753" s="35">
        <f>if(A753&lt;&gt;"", COUNTIFS(Beans!A:A, A753, Beans!C:C, "Bad" ), "")</f>
        <v>3</v>
      </c>
      <c r="E753" s="35">
        <f>if(A753&lt;&gt;"", COUNTIFS(Beans!A:A, A753, Beans!C:C, "Spicy" ), "")</f>
        <v>0</v>
      </c>
    </row>
    <row r="754">
      <c r="A754" s="34">
        <f t="shared" si="2"/>
        <v>45604</v>
      </c>
      <c r="B754" s="35">
        <f>if(A754&lt;&gt;"", COUNTIFS(Beans!A:A, A754), "")</f>
        <v>3</v>
      </c>
      <c r="C754" s="35">
        <f>if(A754&lt;&gt;"", COUNTIFS(Beans!A:A, A754, Beans!C:C, "Good" ), "")</f>
        <v>0</v>
      </c>
      <c r="D754" s="35">
        <f>if(A754&lt;&gt;"", COUNTIFS(Beans!A:A, A754, Beans!C:C, "Bad" ), "")</f>
        <v>3</v>
      </c>
      <c r="E754" s="35">
        <f>if(A754&lt;&gt;"", COUNTIFS(Beans!A:A, A754, Beans!C:C, "Spicy" ), "")</f>
        <v>0</v>
      </c>
    </row>
    <row r="755">
      <c r="A755" s="34">
        <f t="shared" si="2"/>
        <v>45605</v>
      </c>
      <c r="B755" s="35">
        <f>if(A755&lt;&gt;"", COUNTIFS(Beans!A:A, A755), "")</f>
        <v>0</v>
      </c>
      <c r="C755" s="35">
        <f>if(A755&lt;&gt;"", COUNTIFS(Beans!A:A, A755, Beans!C:C, "Good" ), "")</f>
        <v>0</v>
      </c>
      <c r="D755" s="35">
        <f>if(A755&lt;&gt;"", COUNTIFS(Beans!A:A, A755, Beans!C:C, "Bad" ), "")</f>
        <v>0</v>
      </c>
      <c r="E755" s="35">
        <f>if(A755&lt;&gt;"", COUNTIFS(Beans!A:A, A755, Beans!C:C, "Spicy" ), "")</f>
        <v>0</v>
      </c>
    </row>
    <row r="756">
      <c r="A756" s="34">
        <f t="shared" si="2"/>
        <v>45606</v>
      </c>
      <c r="B756" s="35">
        <f>if(A756&lt;&gt;"", COUNTIFS(Beans!A:A, A756), "")</f>
        <v>0</v>
      </c>
      <c r="C756" s="35">
        <f>if(A756&lt;&gt;"", COUNTIFS(Beans!A:A, A756, Beans!C:C, "Good" ), "")</f>
        <v>0</v>
      </c>
      <c r="D756" s="35">
        <f>if(A756&lt;&gt;"", COUNTIFS(Beans!A:A, A756, Beans!C:C, "Bad" ), "")</f>
        <v>0</v>
      </c>
      <c r="E756" s="35">
        <f>if(A756&lt;&gt;"", COUNTIFS(Beans!A:A, A756, Beans!C:C, "Spicy" ), "")</f>
        <v>0</v>
      </c>
    </row>
    <row r="757">
      <c r="A757" s="34">
        <f t="shared" si="2"/>
        <v>45607</v>
      </c>
      <c r="B757" s="35">
        <f>if(A757&lt;&gt;"", COUNTIFS(Beans!A:A, A757), "")</f>
        <v>1</v>
      </c>
      <c r="C757" s="35">
        <f>if(A757&lt;&gt;"", COUNTIFS(Beans!A:A, A757, Beans!C:C, "Good" ), "")</f>
        <v>1</v>
      </c>
      <c r="D757" s="35">
        <f>if(A757&lt;&gt;"", COUNTIFS(Beans!A:A, A757, Beans!C:C, "Bad" ), "")</f>
        <v>0</v>
      </c>
      <c r="E757" s="35">
        <f>if(A757&lt;&gt;"", COUNTIFS(Beans!A:A, A757, Beans!C:C, "Spicy" ), "")</f>
        <v>0</v>
      </c>
    </row>
    <row r="758">
      <c r="A758" s="34">
        <f t="shared" si="2"/>
        <v>45608</v>
      </c>
      <c r="B758" s="35">
        <f>if(A758&lt;&gt;"", COUNTIFS(Beans!A:A, A758), "")</f>
        <v>0</v>
      </c>
      <c r="C758" s="35">
        <f>if(A758&lt;&gt;"", COUNTIFS(Beans!A:A, A758, Beans!C:C, "Good" ), "")</f>
        <v>0</v>
      </c>
      <c r="D758" s="35">
        <f>if(A758&lt;&gt;"", COUNTIFS(Beans!A:A, A758, Beans!C:C, "Bad" ), "")</f>
        <v>0</v>
      </c>
      <c r="E758" s="35">
        <f>if(A758&lt;&gt;"", COUNTIFS(Beans!A:A, A758, Beans!C:C, "Spicy" ), "")</f>
        <v>0</v>
      </c>
    </row>
    <row r="759">
      <c r="A759" s="34">
        <f t="shared" si="2"/>
        <v>45609</v>
      </c>
      <c r="B759" s="35">
        <f>if(A759&lt;&gt;"", COUNTIFS(Beans!A:A, A759), "")</f>
        <v>3</v>
      </c>
      <c r="C759" s="35">
        <f>if(A759&lt;&gt;"", COUNTIFS(Beans!A:A, A759, Beans!C:C, "Good" ), "")</f>
        <v>1</v>
      </c>
      <c r="D759" s="35">
        <f>if(A759&lt;&gt;"", COUNTIFS(Beans!A:A, A759, Beans!C:C, "Bad" ), "")</f>
        <v>2</v>
      </c>
      <c r="E759" s="35">
        <f>if(A759&lt;&gt;"", COUNTIFS(Beans!A:A, A759, Beans!C:C, "Spicy" ), "")</f>
        <v>0</v>
      </c>
    </row>
    <row r="760">
      <c r="A760" s="34">
        <f t="shared" si="2"/>
        <v>45610</v>
      </c>
      <c r="B760" s="35">
        <f>if(A760&lt;&gt;"", COUNTIFS(Beans!A:A, A760), "")</f>
        <v>2</v>
      </c>
      <c r="C760" s="35">
        <f>if(A760&lt;&gt;"", COUNTIFS(Beans!A:A, A760, Beans!C:C, "Good" ), "")</f>
        <v>1</v>
      </c>
      <c r="D760" s="35">
        <f>if(A760&lt;&gt;"", COUNTIFS(Beans!A:A, A760, Beans!C:C, "Bad" ), "")</f>
        <v>1</v>
      </c>
      <c r="E760" s="35">
        <f>if(A760&lt;&gt;"", COUNTIFS(Beans!A:A, A760, Beans!C:C, "Spicy" ), "")</f>
        <v>0</v>
      </c>
    </row>
    <row r="761">
      <c r="A761" s="34">
        <f t="shared" si="2"/>
        <v>45611</v>
      </c>
      <c r="B761" s="35">
        <f>if(A761&lt;&gt;"", COUNTIFS(Beans!A:A, A761), "")</f>
        <v>2</v>
      </c>
      <c r="C761" s="35">
        <f>if(A761&lt;&gt;"", COUNTIFS(Beans!A:A, A761, Beans!C:C, "Good" ), "")</f>
        <v>0</v>
      </c>
      <c r="D761" s="35">
        <f>if(A761&lt;&gt;"", COUNTIFS(Beans!A:A, A761, Beans!C:C, "Bad" ), "")</f>
        <v>2</v>
      </c>
      <c r="E761" s="35">
        <f>if(A761&lt;&gt;"", COUNTIFS(Beans!A:A, A761, Beans!C:C, "Spicy" ), "")</f>
        <v>0</v>
      </c>
    </row>
    <row r="762">
      <c r="A762" s="34">
        <f t="shared" si="2"/>
        <v>45612</v>
      </c>
      <c r="B762" s="35">
        <f>if(A762&lt;&gt;"", COUNTIFS(Beans!A:A, A762), "")</f>
        <v>0</v>
      </c>
      <c r="C762" s="35">
        <f>if(A762&lt;&gt;"", COUNTIFS(Beans!A:A, A762, Beans!C:C, "Good" ), "")</f>
        <v>0</v>
      </c>
      <c r="D762" s="35">
        <f>if(A762&lt;&gt;"", COUNTIFS(Beans!A:A, A762, Beans!C:C, "Bad" ), "")</f>
        <v>0</v>
      </c>
      <c r="E762" s="35">
        <f>if(A762&lt;&gt;"", COUNTIFS(Beans!A:A, A762, Beans!C:C, "Spicy" ), "")</f>
        <v>0</v>
      </c>
    </row>
    <row r="763">
      <c r="A763" s="34">
        <f t="shared" si="2"/>
        <v>45613</v>
      </c>
      <c r="B763" s="35">
        <f>if(A763&lt;&gt;"", COUNTIFS(Beans!A:A, A763), "")</f>
        <v>0</v>
      </c>
      <c r="C763" s="35">
        <f>if(A763&lt;&gt;"", COUNTIFS(Beans!A:A, A763, Beans!C:C, "Good" ), "")</f>
        <v>0</v>
      </c>
      <c r="D763" s="35">
        <f>if(A763&lt;&gt;"", COUNTIFS(Beans!A:A, A763, Beans!C:C, "Bad" ), "")</f>
        <v>0</v>
      </c>
      <c r="E763" s="35">
        <f>if(A763&lt;&gt;"", COUNTIFS(Beans!A:A, A763, Beans!C:C, "Spicy" ), "")</f>
        <v>0</v>
      </c>
    </row>
    <row r="764">
      <c r="A764" s="34">
        <f t="shared" si="2"/>
        <v>45614</v>
      </c>
      <c r="B764" s="35">
        <f>if(A764&lt;&gt;"", COUNTIFS(Beans!A:A, A764), "")</f>
        <v>1</v>
      </c>
      <c r="C764" s="35">
        <f>if(A764&lt;&gt;"", COUNTIFS(Beans!A:A, A764, Beans!C:C, "Good" ), "")</f>
        <v>1</v>
      </c>
      <c r="D764" s="35">
        <f>if(A764&lt;&gt;"", COUNTIFS(Beans!A:A, A764, Beans!C:C, "Bad" ), "")</f>
        <v>0</v>
      </c>
      <c r="E764" s="35">
        <f>if(A764&lt;&gt;"", COUNTIFS(Beans!A:A, A764, Beans!C:C, "Spicy" ), "")</f>
        <v>0</v>
      </c>
    </row>
    <row r="765">
      <c r="A765" s="34">
        <f t="shared" si="2"/>
        <v>45615</v>
      </c>
      <c r="B765" s="35">
        <f>if(A765&lt;&gt;"", COUNTIFS(Beans!A:A, A765), "")</f>
        <v>0</v>
      </c>
      <c r="C765" s="35">
        <f>if(A765&lt;&gt;"", COUNTIFS(Beans!A:A, A765, Beans!C:C, "Good" ), "")</f>
        <v>0</v>
      </c>
      <c r="D765" s="35">
        <f>if(A765&lt;&gt;"", COUNTIFS(Beans!A:A, A765, Beans!C:C, "Bad" ), "")</f>
        <v>0</v>
      </c>
      <c r="E765" s="35">
        <f>if(A765&lt;&gt;"", COUNTIFS(Beans!A:A, A765, Beans!C:C, "Spicy" ), "")</f>
        <v>0</v>
      </c>
    </row>
    <row r="766">
      <c r="A766" s="34">
        <f t="shared" si="2"/>
        <v>45616</v>
      </c>
      <c r="B766" s="35">
        <f>if(A766&lt;&gt;"", COUNTIFS(Beans!A:A, A766), "")</f>
        <v>2</v>
      </c>
      <c r="C766" s="35">
        <f>if(A766&lt;&gt;"", COUNTIFS(Beans!A:A, A766, Beans!C:C, "Good" ), "")</f>
        <v>0</v>
      </c>
      <c r="D766" s="35">
        <f>if(A766&lt;&gt;"", COUNTIFS(Beans!A:A, A766, Beans!C:C, "Bad" ), "")</f>
        <v>2</v>
      </c>
      <c r="E766" s="35">
        <f>if(A766&lt;&gt;"", COUNTIFS(Beans!A:A, A766, Beans!C:C, "Spicy" ), "")</f>
        <v>0</v>
      </c>
    </row>
    <row r="767">
      <c r="A767" s="34">
        <f t="shared" si="2"/>
        <v>45617</v>
      </c>
      <c r="B767" s="35">
        <f>if(A767&lt;&gt;"", COUNTIFS(Beans!A:A, A767), "")</f>
        <v>1</v>
      </c>
      <c r="C767" s="35">
        <f>if(A767&lt;&gt;"", COUNTIFS(Beans!A:A, A767, Beans!C:C, "Good" ), "")</f>
        <v>0</v>
      </c>
      <c r="D767" s="35">
        <f>if(A767&lt;&gt;"", COUNTIFS(Beans!A:A, A767, Beans!C:C, "Bad" ), "")</f>
        <v>1</v>
      </c>
      <c r="E767" s="35">
        <f>if(A767&lt;&gt;"", COUNTIFS(Beans!A:A, A767, Beans!C:C, "Spicy" ), "")</f>
        <v>0</v>
      </c>
    </row>
    <row r="768">
      <c r="A768" s="34">
        <f t="shared" si="2"/>
        <v>45618</v>
      </c>
      <c r="B768" s="35">
        <f>if(A768&lt;&gt;"", COUNTIFS(Beans!A:A, A768), "")</f>
        <v>5</v>
      </c>
      <c r="C768" s="35">
        <f>if(A768&lt;&gt;"", COUNTIFS(Beans!A:A, A768, Beans!C:C, "Good" ), "")</f>
        <v>1</v>
      </c>
      <c r="D768" s="35">
        <f>if(A768&lt;&gt;"", COUNTIFS(Beans!A:A, A768, Beans!C:C, "Bad" ), "")</f>
        <v>4</v>
      </c>
      <c r="E768" s="35">
        <f>if(A768&lt;&gt;"", COUNTIFS(Beans!A:A, A768, Beans!C:C, "Spicy" ), "")</f>
        <v>0</v>
      </c>
    </row>
    <row r="769">
      <c r="A769" s="34">
        <f t="shared" si="2"/>
        <v>45619</v>
      </c>
      <c r="B769" s="35">
        <f>if(A769&lt;&gt;"", COUNTIFS(Beans!A:A, A769), "")</f>
        <v>0</v>
      </c>
      <c r="C769" s="35">
        <f>if(A769&lt;&gt;"", COUNTIFS(Beans!A:A, A769, Beans!C:C, "Good" ), "")</f>
        <v>0</v>
      </c>
      <c r="D769" s="35">
        <f>if(A769&lt;&gt;"", COUNTIFS(Beans!A:A, A769, Beans!C:C, "Bad" ), "")</f>
        <v>0</v>
      </c>
      <c r="E769" s="35">
        <f>if(A769&lt;&gt;"", COUNTIFS(Beans!A:A, A769, Beans!C:C, "Spicy" ), "")</f>
        <v>0</v>
      </c>
    </row>
    <row r="770">
      <c r="A770" s="34">
        <f t="shared" si="2"/>
        <v>45620</v>
      </c>
      <c r="B770" s="35">
        <f>if(A770&lt;&gt;"", COUNTIFS(Beans!A:A, A770), "")</f>
        <v>0</v>
      </c>
      <c r="C770" s="35">
        <f>if(A770&lt;&gt;"", COUNTIFS(Beans!A:A, A770, Beans!C:C, "Good" ), "")</f>
        <v>0</v>
      </c>
      <c r="D770" s="35">
        <f>if(A770&lt;&gt;"", COUNTIFS(Beans!A:A, A770, Beans!C:C, "Bad" ), "")</f>
        <v>0</v>
      </c>
      <c r="E770" s="35">
        <f>if(A770&lt;&gt;"", COUNTIFS(Beans!A:A, A770, Beans!C:C, "Spicy" ), "")</f>
        <v>0</v>
      </c>
    </row>
    <row r="771">
      <c r="A771" s="34">
        <f t="shared" si="2"/>
        <v>45621</v>
      </c>
      <c r="B771" s="35">
        <f>if(A771&lt;&gt;"", COUNTIFS(Beans!A:A, A771), "")</f>
        <v>2</v>
      </c>
      <c r="C771" s="35">
        <f>if(A771&lt;&gt;"", COUNTIFS(Beans!A:A, A771, Beans!C:C, "Good" ), "")</f>
        <v>0</v>
      </c>
      <c r="D771" s="35">
        <f>if(A771&lt;&gt;"", COUNTIFS(Beans!A:A, A771, Beans!C:C, "Bad" ), "")</f>
        <v>2</v>
      </c>
      <c r="E771" s="35">
        <f>if(A771&lt;&gt;"", COUNTIFS(Beans!A:A, A771, Beans!C:C, "Spicy" ), "")</f>
        <v>0</v>
      </c>
    </row>
    <row r="772">
      <c r="A772" s="34">
        <f t="shared" si="2"/>
        <v>45622</v>
      </c>
      <c r="B772" s="35">
        <f>if(A772&lt;&gt;"", COUNTIFS(Beans!A:A, A772), "")</f>
        <v>0</v>
      </c>
      <c r="C772" s="35">
        <f>if(A772&lt;&gt;"", COUNTIFS(Beans!A:A, A772, Beans!C:C, "Good" ), "")</f>
        <v>0</v>
      </c>
      <c r="D772" s="35">
        <f>if(A772&lt;&gt;"", COUNTIFS(Beans!A:A, A772, Beans!C:C, "Bad" ), "")</f>
        <v>0</v>
      </c>
      <c r="E772" s="35">
        <f>if(A772&lt;&gt;"", COUNTIFS(Beans!A:A, A772, Beans!C:C, "Spicy" ), "")</f>
        <v>0</v>
      </c>
    </row>
    <row r="773">
      <c r="A773" s="34">
        <f t="shared" si="2"/>
        <v>45623</v>
      </c>
      <c r="B773" s="35">
        <f>if(A773&lt;&gt;"", COUNTIFS(Beans!A:A, A773), "")</f>
        <v>4</v>
      </c>
      <c r="C773" s="35">
        <f>if(A773&lt;&gt;"", COUNTIFS(Beans!A:A, A773, Beans!C:C, "Good" ), "")</f>
        <v>2</v>
      </c>
      <c r="D773" s="35">
        <f>if(A773&lt;&gt;"", COUNTIFS(Beans!A:A, A773, Beans!C:C, "Bad" ), "")</f>
        <v>2</v>
      </c>
      <c r="E773" s="35">
        <f>if(A773&lt;&gt;"", COUNTIFS(Beans!A:A, A773, Beans!C:C, "Spicy" ), "")</f>
        <v>0</v>
      </c>
    </row>
    <row r="774">
      <c r="A774" s="34">
        <f t="shared" si="2"/>
        <v>45624</v>
      </c>
      <c r="B774" s="35">
        <f>if(A774&lt;&gt;"", COUNTIFS(Beans!A:A, A774), "")</f>
        <v>0</v>
      </c>
      <c r="C774" s="35">
        <f>if(A774&lt;&gt;"", COUNTIFS(Beans!A:A, A774, Beans!C:C, "Good" ), "")</f>
        <v>0</v>
      </c>
      <c r="D774" s="35">
        <f>if(A774&lt;&gt;"", COUNTIFS(Beans!A:A, A774, Beans!C:C, "Bad" ), "")</f>
        <v>0</v>
      </c>
      <c r="E774" s="35">
        <f>if(A774&lt;&gt;"", COUNTIFS(Beans!A:A, A774, Beans!C:C, "Spicy" ), "")</f>
        <v>0</v>
      </c>
    </row>
    <row r="775">
      <c r="A775" s="34">
        <f t="shared" si="2"/>
        <v>45625</v>
      </c>
      <c r="B775" s="35">
        <f>if(A775&lt;&gt;"", COUNTIFS(Beans!A:A, A775), "")</f>
        <v>6</v>
      </c>
      <c r="C775" s="35">
        <f>if(A775&lt;&gt;"", COUNTIFS(Beans!A:A, A775, Beans!C:C, "Good" ), "")</f>
        <v>1</v>
      </c>
      <c r="D775" s="35">
        <f>if(A775&lt;&gt;"", COUNTIFS(Beans!A:A, A775, Beans!C:C, "Bad" ), "")</f>
        <v>5</v>
      </c>
      <c r="E775" s="35">
        <f>if(A775&lt;&gt;"", COUNTIFS(Beans!A:A, A775, Beans!C:C, "Spicy" ), "")</f>
        <v>0</v>
      </c>
    </row>
    <row r="776">
      <c r="A776" s="34">
        <f t="shared" si="2"/>
        <v>45626</v>
      </c>
      <c r="B776" s="35">
        <f>if(A776&lt;&gt;"", COUNTIFS(Beans!A:A, A776), "")</f>
        <v>0</v>
      </c>
      <c r="C776" s="35">
        <f>if(A776&lt;&gt;"", COUNTIFS(Beans!A:A, A776, Beans!C:C, "Good" ), "")</f>
        <v>0</v>
      </c>
      <c r="D776" s="35">
        <f>if(A776&lt;&gt;"", COUNTIFS(Beans!A:A, A776, Beans!C:C, "Bad" ), "")</f>
        <v>0</v>
      </c>
      <c r="E776" s="35">
        <f>if(A776&lt;&gt;"", COUNTIFS(Beans!A:A, A776, Beans!C:C, "Spicy" ), "")</f>
        <v>0</v>
      </c>
    </row>
    <row r="777">
      <c r="A777" s="34">
        <f t="shared" si="2"/>
        <v>45627</v>
      </c>
      <c r="B777" s="35">
        <f>if(A777&lt;&gt;"", COUNTIFS(Beans!A:A, A777), "")</f>
        <v>0</v>
      </c>
      <c r="C777" s="35">
        <f>if(A777&lt;&gt;"", COUNTIFS(Beans!A:A, A777, Beans!C:C, "Good" ), "")</f>
        <v>0</v>
      </c>
      <c r="D777" s="35">
        <f>if(A777&lt;&gt;"", COUNTIFS(Beans!A:A, A777, Beans!C:C, "Bad" ), "")</f>
        <v>0</v>
      </c>
      <c r="E777" s="35">
        <f>if(A777&lt;&gt;"", COUNTIFS(Beans!A:A, A777, Beans!C:C, "Spicy" ), "")</f>
        <v>0</v>
      </c>
    </row>
    <row r="778">
      <c r="A778" s="34">
        <f t="shared" si="2"/>
        <v>45628</v>
      </c>
      <c r="B778" s="35">
        <f>if(A778&lt;&gt;"", COUNTIFS(Beans!A:A, A778), "")</f>
        <v>1</v>
      </c>
      <c r="C778" s="35">
        <f>if(A778&lt;&gt;"", COUNTIFS(Beans!A:A, A778, Beans!C:C, "Good" ), "")</f>
        <v>1</v>
      </c>
      <c r="D778" s="35">
        <f>if(A778&lt;&gt;"", COUNTIFS(Beans!A:A, A778, Beans!C:C, "Bad" ), "")</f>
        <v>0</v>
      </c>
      <c r="E778" s="35">
        <f>if(A778&lt;&gt;"", COUNTIFS(Beans!A:A, A778, Beans!C:C, "Spicy" ), "")</f>
        <v>0</v>
      </c>
    </row>
    <row r="779">
      <c r="A779" s="34">
        <f t="shared" si="2"/>
        <v>45629</v>
      </c>
      <c r="B779" s="35">
        <f>if(A779&lt;&gt;"", COUNTIFS(Beans!A:A, A779), "")</f>
        <v>2</v>
      </c>
      <c r="C779" s="35">
        <f>if(A779&lt;&gt;"", COUNTIFS(Beans!A:A, A779, Beans!C:C, "Good" ), "")</f>
        <v>0</v>
      </c>
      <c r="D779" s="35">
        <f>if(A779&lt;&gt;"", COUNTIFS(Beans!A:A, A779, Beans!C:C, "Bad" ), "")</f>
        <v>2</v>
      </c>
      <c r="E779" s="35">
        <f>if(A779&lt;&gt;"", COUNTIFS(Beans!A:A, A779, Beans!C:C, "Spicy" ), "")</f>
        <v>0</v>
      </c>
    </row>
    <row r="780">
      <c r="A780" s="34">
        <f t="shared" si="2"/>
        <v>45630</v>
      </c>
      <c r="B780" s="35">
        <f>if(A780&lt;&gt;"", COUNTIFS(Beans!A:A, A780), "")</f>
        <v>1</v>
      </c>
      <c r="C780" s="35">
        <f>if(A780&lt;&gt;"", COUNTIFS(Beans!A:A, A780, Beans!C:C, "Good" ), "")</f>
        <v>0</v>
      </c>
      <c r="D780" s="35">
        <f>if(A780&lt;&gt;"", COUNTIFS(Beans!A:A, A780, Beans!C:C, "Bad" ), "")</f>
        <v>1</v>
      </c>
      <c r="E780" s="35">
        <f>if(A780&lt;&gt;"", COUNTIFS(Beans!A:A, A780, Beans!C:C, "Spicy" ), "")</f>
        <v>0</v>
      </c>
    </row>
    <row r="781">
      <c r="A781" s="34">
        <f t="shared" si="2"/>
        <v>45631</v>
      </c>
      <c r="B781" s="35">
        <f>if(A781&lt;&gt;"", COUNTIFS(Beans!A:A, A781), "")</f>
        <v>2</v>
      </c>
      <c r="C781" s="35">
        <f>if(A781&lt;&gt;"", COUNTIFS(Beans!A:A, A781, Beans!C:C, "Good" ), "")</f>
        <v>1</v>
      </c>
      <c r="D781" s="35">
        <f>if(A781&lt;&gt;"", COUNTIFS(Beans!A:A, A781, Beans!C:C, "Bad" ), "")</f>
        <v>1</v>
      </c>
      <c r="E781" s="35">
        <f>if(A781&lt;&gt;"", COUNTIFS(Beans!A:A, A781, Beans!C:C, "Spicy" ), "")</f>
        <v>0</v>
      </c>
    </row>
    <row r="782">
      <c r="A782" s="34">
        <f t="shared" si="2"/>
        <v>45632</v>
      </c>
      <c r="B782" s="35">
        <f>if(A782&lt;&gt;"", COUNTIFS(Beans!A:A, A782), "")</f>
        <v>3</v>
      </c>
      <c r="C782" s="35">
        <f>if(A782&lt;&gt;"", COUNTIFS(Beans!A:A, A782, Beans!C:C, "Good" ), "")</f>
        <v>1</v>
      </c>
      <c r="D782" s="35">
        <f>if(A782&lt;&gt;"", COUNTIFS(Beans!A:A, A782, Beans!C:C, "Bad" ), "")</f>
        <v>2</v>
      </c>
      <c r="E782" s="35">
        <f>if(A782&lt;&gt;"", COUNTIFS(Beans!A:A, A782, Beans!C:C, "Spicy" ), "")</f>
        <v>0</v>
      </c>
    </row>
    <row r="783">
      <c r="A783" s="34">
        <f t="shared" si="2"/>
        <v>45633</v>
      </c>
      <c r="B783" s="35">
        <f>if(A783&lt;&gt;"", COUNTIFS(Beans!A:A, A783), "")</f>
        <v>0</v>
      </c>
      <c r="C783" s="35">
        <f>if(A783&lt;&gt;"", COUNTIFS(Beans!A:A, A783, Beans!C:C, "Good" ), "")</f>
        <v>0</v>
      </c>
      <c r="D783" s="35">
        <f>if(A783&lt;&gt;"", COUNTIFS(Beans!A:A, A783, Beans!C:C, "Bad" ), "")</f>
        <v>0</v>
      </c>
      <c r="E783" s="35">
        <f>if(A783&lt;&gt;"", COUNTIFS(Beans!A:A, A783, Beans!C:C, "Spicy" ), "")</f>
        <v>0</v>
      </c>
    </row>
    <row r="784">
      <c r="A784" s="34">
        <f t="shared" si="2"/>
        <v>45634</v>
      </c>
      <c r="B784" s="35">
        <f>if(A784&lt;&gt;"", COUNTIFS(Beans!A:A, A784), "")</f>
        <v>0</v>
      </c>
      <c r="C784" s="35">
        <f>if(A784&lt;&gt;"", COUNTIFS(Beans!A:A, A784, Beans!C:C, "Good" ), "")</f>
        <v>0</v>
      </c>
      <c r="D784" s="35">
        <f>if(A784&lt;&gt;"", COUNTIFS(Beans!A:A, A784, Beans!C:C, "Bad" ), "")</f>
        <v>0</v>
      </c>
      <c r="E784" s="35">
        <f>if(A784&lt;&gt;"", COUNTIFS(Beans!A:A, A784, Beans!C:C, "Spicy" ), "")</f>
        <v>0</v>
      </c>
    </row>
    <row r="785">
      <c r="A785" s="34">
        <f t="shared" si="2"/>
        <v>45635</v>
      </c>
      <c r="B785" s="35">
        <f>if(A785&lt;&gt;"", COUNTIFS(Beans!A:A, A785), "")</f>
        <v>2</v>
      </c>
      <c r="C785" s="35">
        <f>if(A785&lt;&gt;"", COUNTIFS(Beans!A:A, A785, Beans!C:C, "Good" ), "")</f>
        <v>0</v>
      </c>
      <c r="D785" s="35">
        <f>if(A785&lt;&gt;"", COUNTIFS(Beans!A:A, A785, Beans!C:C, "Bad" ), "")</f>
        <v>2</v>
      </c>
      <c r="E785" s="35">
        <f>if(A785&lt;&gt;"", COUNTIFS(Beans!A:A, A785, Beans!C:C, "Spicy" ), "")</f>
        <v>0</v>
      </c>
    </row>
    <row r="786">
      <c r="A786" s="34">
        <f t="shared" si="2"/>
        <v>45636</v>
      </c>
      <c r="B786" s="35">
        <f>if(A786&lt;&gt;"", COUNTIFS(Beans!A:A, A786), "")</f>
        <v>0</v>
      </c>
      <c r="C786" s="35">
        <f>if(A786&lt;&gt;"", COUNTIFS(Beans!A:A, A786, Beans!C:C, "Good" ), "")</f>
        <v>0</v>
      </c>
      <c r="D786" s="35">
        <f>if(A786&lt;&gt;"", COUNTIFS(Beans!A:A, A786, Beans!C:C, "Bad" ), "")</f>
        <v>0</v>
      </c>
      <c r="E786" s="35">
        <f>if(A786&lt;&gt;"", COUNTIFS(Beans!A:A, A786, Beans!C:C, "Spicy" ), "")</f>
        <v>0</v>
      </c>
    </row>
    <row r="787">
      <c r="A787" s="34">
        <f t="shared" si="2"/>
        <v>45637</v>
      </c>
      <c r="B787" s="35">
        <f>if(A787&lt;&gt;"", COUNTIFS(Beans!A:A, A787), "")</f>
        <v>1</v>
      </c>
      <c r="C787" s="35">
        <f>if(A787&lt;&gt;"", COUNTIFS(Beans!A:A, A787, Beans!C:C, "Good" ), "")</f>
        <v>0</v>
      </c>
      <c r="D787" s="35">
        <f>if(A787&lt;&gt;"", COUNTIFS(Beans!A:A, A787, Beans!C:C, "Bad" ), "")</f>
        <v>1</v>
      </c>
      <c r="E787" s="35">
        <f>if(A787&lt;&gt;"", COUNTIFS(Beans!A:A, A787, Beans!C:C, "Spicy" ), "")</f>
        <v>0</v>
      </c>
    </row>
    <row r="788">
      <c r="A788" s="34">
        <f t="shared" si="2"/>
        <v>45638</v>
      </c>
      <c r="B788" s="35">
        <f>if(A788&lt;&gt;"", COUNTIFS(Beans!A:A, A788), "")</f>
        <v>8</v>
      </c>
      <c r="C788" s="35">
        <f>if(A788&lt;&gt;"", COUNTIFS(Beans!A:A, A788, Beans!C:C, "Good" ), "")</f>
        <v>1</v>
      </c>
      <c r="D788" s="35">
        <f>if(A788&lt;&gt;"", COUNTIFS(Beans!A:A, A788, Beans!C:C, "Bad" ), "")</f>
        <v>7</v>
      </c>
      <c r="E788" s="35">
        <f>if(A788&lt;&gt;"", COUNTIFS(Beans!A:A, A788, Beans!C:C, "Spicy" ), "")</f>
        <v>0</v>
      </c>
    </row>
    <row r="789">
      <c r="A789" s="34">
        <f t="shared" si="2"/>
        <v>45639</v>
      </c>
      <c r="B789" s="35">
        <f>if(A789&lt;&gt;"", COUNTIFS(Beans!A:A, A789), "")</f>
        <v>1</v>
      </c>
      <c r="C789" s="35">
        <f>if(A789&lt;&gt;"", COUNTIFS(Beans!A:A, A789, Beans!C:C, "Good" ), "")</f>
        <v>1</v>
      </c>
      <c r="D789" s="35">
        <f>if(A789&lt;&gt;"", COUNTIFS(Beans!A:A, A789, Beans!C:C, "Bad" ), "")</f>
        <v>0</v>
      </c>
      <c r="E789" s="35">
        <f>if(A789&lt;&gt;"", COUNTIFS(Beans!A:A, A789, Beans!C:C, "Spicy" ), "")</f>
        <v>0</v>
      </c>
    </row>
    <row r="790">
      <c r="A790" s="34">
        <f t="shared" si="2"/>
        <v>45640</v>
      </c>
      <c r="B790" s="35">
        <f>if(A790&lt;&gt;"", COUNTIFS(Beans!A:A, A790), "")</f>
        <v>0</v>
      </c>
      <c r="C790" s="35">
        <f>if(A790&lt;&gt;"", COUNTIFS(Beans!A:A, A790, Beans!C:C, "Good" ), "")</f>
        <v>0</v>
      </c>
      <c r="D790" s="35">
        <f>if(A790&lt;&gt;"", COUNTIFS(Beans!A:A, A790, Beans!C:C, "Bad" ), "")</f>
        <v>0</v>
      </c>
      <c r="E790" s="35">
        <f>if(A790&lt;&gt;"", COUNTIFS(Beans!A:A, A790, Beans!C:C, "Spicy" ), "")</f>
        <v>0</v>
      </c>
    </row>
    <row r="791">
      <c r="A791" s="34">
        <f t="shared" si="2"/>
        <v>45641</v>
      </c>
      <c r="B791" s="35">
        <f>if(A791&lt;&gt;"", COUNTIFS(Beans!A:A, A791), "")</f>
        <v>0</v>
      </c>
      <c r="C791" s="35">
        <f>if(A791&lt;&gt;"", COUNTIFS(Beans!A:A, A791, Beans!C:C, "Good" ), "")</f>
        <v>0</v>
      </c>
      <c r="D791" s="35">
        <f>if(A791&lt;&gt;"", COUNTIFS(Beans!A:A, A791, Beans!C:C, "Bad" ), "")</f>
        <v>0</v>
      </c>
      <c r="E791" s="35">
        <f>if(A791&lt;&gt;"", COUNTIFS(Beans!A:A, A791, Beans!C:C, "Spicy" ), "")</f>
        <v>0</v>
      </c>
    </row>
    <row r="792">
      <c r="A792" s="34">
        <f t="shared" si="2"/>
        <v>45642</v>
      </c>
      <c r="B792" s="35">
        <f>if(A792&lt;&gt;"", COUNTIFS(Beans!A:A, A792), "")</f>
        <v>0</v>
      </c>
      <c r="C792" s="35">
        <f>if(A792&lt;&gt;"", COUNTIFS(Beans!A:A, A792, Beans!C:C, "Good" ), "")</f>
        <v>0</v>
      </c>
      <c r="D792" s="35">
        <f>if(A792&lt;&gt;"", COUNTIFS(Beans!A:A, A792, Beans!C:C, "Bad" ), "")</f>
        <v>0</v>
      </c>
      <c r="E792" s="35">
        <f>if(A792&lt;&gt;"", COUNTIFS(Beans!A:A, A792, Beans!C:C, "Spicy" ), "")</f>
        <v>0</v>
      </c>
    </row>
    <row r="793">
      <c r="A793" s="34">
        <f t="shared" si="2"/>
        <v>45643</v>
      </c>
      <c r="B793" s="35">
        <f>if(A793&lt;&gt;"", COUNTIFS(Beans!A:A, A793), "")</f>
        <v>0</v>
      </c>
      <c r="C793" s="35">
        <f>if(A793&lt;&gt;"", COUNTIFS(Beans!A:A, A793, Beans!C:C, "Good" ), "")</f>
        <v>0</v>
      </c>
      <c r="D793" s="35">
        <f>if(A793&lt;&gt;"", COUNTIFS(Beans!A:A, A793, Beans!C:C, "Bad" ), "")</f>
        <v>0</v>
      </c>
      <c r="E793" s="35">
        <f>if(A793&lt;&gt;"", COUNTIFS(Beans!A:A, A793, Beans!C:C, "Spicy" ), "")</f>
        <v>0</v>
      </c>
    </row>
    <row r="794">
      <c r="A794" s="34">
        <f t="shared" si="2"/>
        <v>45644</v>
      </c>
      <c r="B794" s="35">
        <f>if(A794&lt;&gt;"", COUNTIFS(Beans!A:A, A794), "")</f>
        <v>0</v>
      </c>
      <c r="C794" s="35">
        <f>if(A794&lt;&gt;"", COUNTIFS(Beans!A:A, A794, Beans!C:C, "Good" ), "")</f>
        <v>0</v>
      </c>
      <c r="D794" s="35">
        <f>if(A794&lt;&gt;"", COUNTIFS(Beans!A:A, A794, Beans!C:C, "Bad" ), "")</f>
        <v>0</v>
      </c>
      <c r="E794" s="35">
        <f>if(A794&lt;&gt;"", COUNTIFS(Beans!A:A, A794, Beans!C:C, "Spicy" ), "")</f>
        <v>0</v>
      </c>
    </row>
    <row r="795">
      <c r="A795" s="34">
        <f t="shared" si="2"/>
        <v>45645</v>
      </c>
      <c r="B795" s="35">
        <f>if(A795&lt;&gt;"", COUNTIFS(Beans!A:A, A795), "")</f>
        <v>0</v>
      </c>
      <c r="C795" s="35">
        <f>if(A795&lt;&gt;"", COUNTIFS(Beans!A:A, A795, Beans!C:C, "Good" ), "")</f>
        <v>0</v>
      </c>
      <c r="D795" s="35">
        <f>if(A795&lt;&gt;"", COUNTIFS(Beans!A:A, A795, Beans!C:C, "Bad" ), "")</f>
        <v>0</v>
      </c>
      <c r="E795" s="35">
        <f>if(A795&lt;&gt;"", COUNTIFS(Beans!A:A, A795, Beans!C:C, "Spicy" ), "")</f>
        <v>0</v>
      </c>
    </row>
    <row r="796">
      <c r="A796" s="34">
        <f t="shared" si="2"/>
        <v>45646</v>
      </c>
      <c r="B796" s="35">
        <f>if(A796&lt;&gt;"", COUNTIFS(Beans!A:A, A796), "")</f>
        <v>0</v>
      </c>
      <c r="C796" s="35">
        <f>if(A796&lt;&gt;"", COUNTIFS(Beans!A:A, A796, Beans!C:C, "Good" ), "")</f>
        <v>0</v>
      </c>
      <c r="D796" s="35">
        <f>if(A796&lt;&gt;"", COUNTIFS(Beans!A:A, A796, Beans!C:C, "Bad" ), "")</f>
        <v>0</v>
      </c>
      <c r="E796" s="35">
        <f>if(A796&lt;&gt;"", COUNTIFS(Beans!A:A, A796, Beans!C:C, "Spicy" ), "")</f>
        <v>0</v>
      </c>
    </row>
    <row r="797">
      <c r="A797" s="34">
        <f t="shared" si="2"/>
        <v>45647</v>
      </c>
      <c r="B797" s="35">
        <f>if(A797&lt;&gt;"", COUNTIFS(Beans!A:A, A797), "")</f>
        <v>0</v>
      </c>
      <c r="C797" s="35">
        <f>if(A797&lt;&gt;"", COUNTIFS(Beans!A:A, A797, Beans!C:C, "Good" ), "")</f>
        <v>0</v>
      </c>
      <c r="D797" s="35">
        <f>if(A797&lt;&gt;"", COUNTIFS(Beans!A:A, A797, Beans!C:C, "Bad" ), "")</f>
        <v>0</v>
      </c>
      <c r="E797" s="35">
        <f>if(A797&lt;&gt;"", COUNTIFS(Beans!A:A, A797, Beans!C:C, "Spicy" ), "")</f>
        <v>0</v>
      </c>
    </row>
    <row r="798">
      <c r="A798" s="34">
        <f t="shared" si="2"/>
        <v>45648</v>
      </c>
      <c r="B798" s="35">
        <f>if(A798&lt;&gt;"", COUNTIFS(Beans!A:A, A798), "")</f>
        <v>0</v>
      </c>
      <c r="C798" s="35">
        <f>if(A798&lt;&gt;"", COUNTIFS(Beans!A:A, A798, Beans!C:C, "Good" ), "")</f>
        <v>0</v>
      </c>
      <c r="D798" s="35">
        <f>if(A798&lt;&gt;"", COUNTIFS(Beans!A:A, A798, Beans!C:C, "Bad" ), "")</f>
        <v>0</v>
      </c>
      <c r="E798" s="35">
        <f>if(A798&lt;&gt;"", COUNTIFS(Beans!A:A, A798, Beans!C:C, "Spicy" ), "")</f>
        <v>0</v>
      </c>
    </row>
    <row r="799">
      <c r="A799" s="34">
        <f t="shared" si="2"/>
        <v>45649</v>
      </c>
      <c r="B799" s="35">
        <f>if(A799&lt;&gt;"", COUNTIFS(Beans!A:A, A799), "")</f>
        <v>0</v>
      </c>
      <c r="C799" s="35">
        <f>if(A799&lt;&gt;"", COUNTIFS(Beans!A:A, A799, Beans!C:C, "Good" ), "")</f>
        <v>0</v>
      </c>
      <c r="D799" s="35">
        <f>if(A799&lt;&gt;"", COUNTIFS(Beans!A:A, A799, Beans!C:C, "Bad" ), "")</f>
        <v>0</v>
      </c>
      <c r="E799" s="35">
        <f>if(A799&lt;&gt;"", COUNTIFS(Beans!A:A, A799, Beans!C:C, "Spicy" ), "")</f>
        <v>0</v>
      </c>
    </row>
    <row r="800">
      <c r="A800" s="34">
        <f t="shared" si="2"/>
        <v>45650</v>
      </c>
      <c r="B800" s="35">
        <f>if(A800&lt;&gt;"", COUNTIFS(Beans!A:A, A800), "")</f>
        <v>0</v>
      </c>
      <c r="C800" s="35">
        <f>if(A800&lt;&gt;"", COUNTIFS(Beans!A:A, A800, Beans!C:C, "Good" ), "")</f>
        <v>0</v>
      </c>
      <c r="D800" s="35">
        <f>if(A800&lt;&gt;"", COUNTIFS(Beans!A:A, A800, Beans!C:C, "Bad" ), "")</f>
        <v>0</v>
      </c>
      <c r="E800" s="35">
        <f>if(A800&lt;&gt;"", COUNTIFS(Beans!A:A, A800, Beans!C:C, "Spicy" ), "")</f>
        <v>0</v>
      </c>
    </row>
    <row r="801">
      <c r="A801" s="34">
        <f t="shared" si="2"/>
        <v>45651</v>
      </c>
      <c r="B801" s="35">
        <f>if(A801&lt;&gt;"", COUNTIFS(Beans!A:A, A801), "")</f>
        <v>0</v>
      </c>
      <c r="C801" s="35">
        <f>if(A801&lt;&gt;"", COUNTIFS(Beans!A:A, A801, Beans!C:C, "Good" ), "")</f>
        <v>0</v>
      </c>
      <c r="D801" s="35">
        <f>if(A801&lt;&gt;"", COUNTIFS(Beans!A:A, A801, Beans!C:C, "Bad" ), "")</f>
        <v>0</v>
      </c>
      <c r="E801" s="35">
        <f>if(A801&lt;&gt;"", COUNTIFS(Beans!A:A, A801, Beans!C:C, "Spicy" ), "")</f>
        <v>0</v>
      </c>
    </row>
    <row r="802">
      <c r="A802" s="34">
        <f t="shared" si="2"/>
        <v>45652</v>
      </c>
      <c r="B802" s="35">
        <f>if(A802&lt;&gt;"", COUNTIFS(Beans!A:A, A802), "")</f>
        <v>0</v>
      </c>
      <c r="C802" s="35">
        <f>if(A802&lt;&gt;"", COUNTIFS(Beans!A:A, A802, Beans!C:C, "Good" ), "")</f>
        <v>0</v>
      </c>
      <c r="D802" s="35">
        <f>if(A802&lt;&gt;"", COUNTIFS(Beans!A:A, A802, Beans!C:C, "Bad" ), "")</f>
        <v>0</v>
      </c>
      <c r="E802" s="35">
        <f>if(A802&lt;&gt;"", COUNTIFS(Beans!A:A, A802, Beans!C:C, "Spicy" ), "")</f>
        <v>0</v>
      </c>
    </row>
    <row r="803">
      <c r="A803" s="34">
        <f t="shared" si="2"/>
        <v>45653</v>
      </c>
      <c r="B803" s="35">
        <f>if(A803&lt;&gt;"", COUNTIFS(Beans!A:A, A803), "")</f>
        <v>0</v>
      </c>
      <c r="C803" s="35">
        <f>if(A803&lt;&gt;"", COUNTIFS(Beans!A:A, A803, Beans!C:C, "Good" ), "")</f>
        <v>0</v>
      </c>
      <c r="D803" s="35">
        <f>if(A803&lt;&gt;"", COUNTIFS(Beans!A:A, A803, Beans!C:C, "Bad" ), "")</f>
        <v>0</v>
      </c>
      <c r="E803" s="35">
        <f>if(A803&lt;&gt;"", COUNTIFS(Beans!A:A, A803, Beans!C:C, "Spicy" ), "")</f>
        <v>0</v>
      </c>
    </row>
    <row r="804">
      <c r="A804" s="34">
        <f t="shared" si="2"/>
        <v>45654</v>
      </c>
      <c r="B804" s="35">
        <f>if(A804&lt;&gt;"", COUNTIFS(Beans!A:A, A804), "")</f>
        <v>0</v>
      </c>
      <c r="C804" s="35">
        <f>if(A804&lt;&gt;"", COUNTIFS(Beans!A:A, A804, Beans!C:C, "Good" ), "")</f>
        <v>0</v>
      </c>
      <c r="D804" s="35">
        <f>if(A804&lt;&gt;"", COUNTIFS(Beans!A:A, A804, Beans!C:C, "Bad" ), "")</f>
        <v>0</v>
      </c>
      <c r="E804" s="35">
        <f>if(A804&lt;&gt;"", COUNTIFS(Beans!A:A, A804, Beans!C:C, "Spicy" ), "")</f>
        <v>0</v>
      </c>
    </row>
    <row r="805">
      <c r="A805" s="34">
        <f t="shared" si="2"/>
        <v>45655</v>
      </c>
      <c r="B805" s="35">
        <f>if(A805&lt;&gt;"", COUNTIFS(Beans!A:A, A805), "")</f>
        <v>0</v>
      </c>
      <c r="C805" s="35">
        <f>if(A805&lt;&gt;"", COUNTIFS(Beans!A:A, A805, Beans!C:C, "Good" ), "")</f>
        <v>0</v>
      </c>
      <c r="D805" s="35">
        <f>if(A805&lt;&gt;"", COUNTIFS(Beans!A:A, A805, Beans!C:C, "Bad" ), "")</f>
        <v>0</v>
      </c>
      <c r="E805" s="35">
        <f>if(A805&lt;&gt;"", COUNTIFS(Beans!A:A, A805, Beans!C:C, "Spicy" ), "")</f>
        <v>0</v>
      </c>
    </row>
    <row r="806">
      <c r="A806" s="34">
        <f t="shared" si="2"/>
        <v>45656</v>
      </c>
      <c r="B806" s="35">
        <f>if(A806&lt;&gt;"", COUNTIFS(Beans!A:A, A806), "")</f>
        <v>0</v>
      </c>
      <c r="C806" s="35">
        <f>if(A806&lt;&gt;"", COUNTIFS(Beans!A:A, A806, Beans!C:C, "Good" ), "")</f>
        <v>0</v>
      </c>
      <c r="D806" s="35">
        <f>if(A806&lt;&gt;"", COUNTIFS(Beans!A:A, A806, Beans!C:C, "Bad" ), "")</f>
        <v>0</v>
      </c>
      <c r="E806" s="35">
        <f>if(A806&lt;&gt;"", COUNTIFS(Beans!A:A, A806, Beans!C:C, "Spicy" ), "")</f>
        <v>0</v>
      </c>
    </row>
    <row r="807">
      <c r="A807" s="34">
        <f t="shared" si="2"/>
        <v>45657</v>
      </c>
      <c r="B807" s="35">
        <f>if(A807&lt;&gt;"", COUNTIFS(Beans!A:A, A807), "")</f>
        <v>0</v>
      </c>
      <c r="C807" s="35">
        <f>if(A807&lt;&gt;"", COUNTIFS(Beans!A:A, A807, Beans!C:C, "Good" ), "")</f>
        <v>0</v>
      </c>
      <c r="D807" s="35">
        <f>if(A807&lt;&gt;"", COUNTIFS(Beans!A:A, A807, Beans!C:C, "Bad" ), "")</f>
        <v>0</v>
      </c>
      <c r="E807" s="35">
        <f>if(A807&lt;&gt;"", COUNTIFS(Beans!A:A, A807, Beans!C:C, "Spicy" ), "")</f>
        <v>0</v>
      </c>
    </row>
    <row r="808">
      <c r="A808" s="34">
        <f t="shared" si="2"/>
        <v>45658</v>
      </c>
      <c r="B808" s="35">
        <f>if(A808&lt;&gt;"", COUNTIFS(Beans!A:A, A808), "")</f>
        <v>0</v>
      </c>
      <c r="C808" s="35">
        <f>if(A808&lt;&gt;"", COUNTIFS(Beans!A:A, A808, Beans!C:C, "Good" ), "")</f>
        <v>0</v>
      </c>
      <c r="D808" s="35">
        <f>if(A808&lt;&gt;"", COUNTIFS(Beans!A:A, A808, Beans!C:C, "Bad" ), "")</f>
        <v>0</v>
      </c>
      <c r="E808" s="35">
        <f>if(A808&lt;&gt;"", COUNTIFS(Beans!A:A, A808, Beans!C:C, "Spicy" ), "")</f>
        <v>0</v>
      </c>
    </row>
    <row r="809">
      <c r="A809" s="34">
        <f t="shared" si="2"/>
        <v>45659</v>
      </c>
      <c r="B809" s="35">
        <f>if(A809&lt;&gt;"", COUNTIFS(Beans!A:A, A809), "")</f>
        <v>0</v>
      </c>
      <c r="C809" s="35">
        <f>if(A809&lt;&gt;"", COUNTIFS(Beans!A:A, A809, Beans!C:C, "Good" ), "")</f>
        <v>0</v>
      </c>
      <c r="D809" s="35">
        <f>if(A809&lt;&gt;"", COUNTIFS(Beans!A:A, A809, Beans!C:C, "Bad" ), "")</f>
        <v>0</v>
      </c>
      <c r="E809" s="35">
        <f>if(A809&lt;&gt;"", COUNTIFS(Beans!A:A, A809, Beans!C:C, "Spicy" ), "")</f>
        <v>0</v>
      </c>
    </row>
    <row r="810">
      <c r="A810" s="34">
        <f t="shared" si="2"/>
        <v>45660</v>
      </c>
      <c r="B810" s="35">
        <f>if(A810&lt;&gt;"", COUNTIFS(Beans!A:A, A810), "")</f>
        <v>0</v>
      </c>
      <c r="C810" s="35">
        <f>if(A810&lt;&gt;"", COUNTIFS(Beans!A:A, A810, Beans!C:C, "Good" ), "")</f>
        <v>0</v>
      </c>
      <c r="D810" s="35">
        <f>if(A810&lt;&gt;"", COUNTIFS(Beans!A:A, A810, Beans!C:C, "Bad" ), "")</f>
        <v>0</v>
      </c>
      <c r="E810" s="35">
        <f>if(A810&lt;&gt;"", COUNTIFS(Beans!A:A, A810, Beans!C:C, "Spicy" ), "")</f>
        <v>0</v>
      </c>
    </row>
    <row r="811">
      <c r="A811" s="34">
        <f t="shared" si="2"/>
        <v>45661</v>
      </c>
      <c r="B811" s="35">
        <f>if(A811&lt;&gt;"", COUNTIFS(Beans!A:A, A811), "")</f>
        <v>0</v>
      </c>
      <c r="C811" s="35">
        <f>if(A811&lt;&gt;"", COUNTIFS(Beans!A:A, A811, Beans!C:C, "Good" ), "")</f>
        <v>0</v>
      </c>
      <c r="D811" s="35">
        <f>if(A811&lt;&gt;"", COUNTIFS(Beans!A:A, A811, Beans!C:C, "Bad" ), "")</f>
        <v>0</v>
      </c>
      <c r="E811" s="35">
        <f>if(A811&lt;&gt;"", COUNTIFS(Beans!A:A, A811, Beans!C:C, "Spicy" ), "")</f>
        <v>0</v>
      </c>
    </row>
    <row r="812">
      <c r="A812" s="34">
        <f t="shared" si="2"/>
        <v>45662</v>
      </c>
      <c r="B812" s="35">
        <f>if(A812&lt;&gt;"", COUNTIFS(Beans!A:A, A812), "")</f>
        <v>0</v>
      </c>
      <c r="C812" s="35">
        <f>if(A812&lt;&gt;"", COUNTIFS(Beans!A:A, A812, Beans!C:C, "Good" ), "")</f>
        <v>0</v>
      </c>
      <c r="D812" s="35">
        <f>if(A812&lt;&gt;"", COUNTIFS(Beans!A:A, A812, Beans!C:C, "Bad" ), "")</f>
        <v>0</v>
      </c>
      <c r="E812" s="35">
        <f>if(A812&lt;&gt;"", COUNTIFS(Beans!A:A, A812, Beans!C:C, "Spicy" ), "")</f>
        <v>0</v>
      </c>
    </row>
    <row r="813">
      <c r="A813" s="34">
        <f t="shared" si="2"/>
        <v>45663</v>
      </c>
      <c r="B813" s="35">
        <f>if(A813&lt;&gt;"", COUNTIFS(Beans!A:A, A813), "")</f>
        <v>0</v>
      </c>
      <c r="C813" s="35">
        <f>if(A813&lt;&gt;"", COUNTIFS(Beans!A:A, A813, Beans!C:C, "Good" ), "")</f>
        <v>0</v>
      </c>
      <c r="D813" s="35">
        <f>if(A813&lt;&gt;"", COUNTIFS(Beans!A:A, A813, Beans!C:C, "Bad" ), "")</f>
        <v>0</v>
      </c>
      <c r="E813" s="35">
        <f>if(A813&lt;&gt;"", COUNTIFS(Beans!A:A, A813, Beans!C:C, "Spicy" ), "")</f>
        <v>0</v>
      </c>
    </row>
    <row r="814">
      <c r="A814" s="34">
        <f t="shared" si="2"/>
        <v>45664</v>
      </c>
      <c r="B814" s="35">
        <f>if(A814&lt;&gt;"", COUNTIFS(Beans!A:A, A814), "")</f>
        <v>0</v>
      </c>
      <c r="C814" s="35">
        <f>if(A814&lt;&gt;"", COUNTIFS(Beans!A:A, A814, Beans!C:C, "Good" ), "")</f>
        <v>0</v>
      </c>
      <c r="D814" s="35">
        <f>if(A814&lt;&gt;"", COUNTIFS(Beans!A:A, A814, Beans!C:C, "Bad" ), "")</f>
        <v>0</v>
      </c>
      <c r="E814" s="35">
        <f>if(A814&lt;&gt;"", COUNTIFS(Beans!A:A, A814, Beans!C:C, "Spicy" ), "")</f>
        <v>0</v>
      </c>
    </row>
    <row r="815">
      <c r="A815" s="34">
        <f t="shared" si="2"/>
        <v>45665</v>
      </c>
      <c r="B815" s="35">
        <f>if(A815&lt;&gt;"", COUNTIFS(Beans!A:A, A815), "")</f>
        <v>0</v>
      </c>
      <c r="C815" s="35">
        <f>if(A815&lt;&gt;"", COUNTIFS(Beans!A:A, A815, Beans!C:C, "Good" ), "")</f>
        <v>0</v>
      </c>
      <c r="D815" s="35">
        <f>if(A815&lt;&gt;"", COUNTIFS(Beans!A:A, A815, Beans!C:C, "Bad" ), "")</f>
        <v>0</v>
      </c>
      <c r="E815" s="35">
        <f>if(A815&lt;&gt;"", COUNTIFS(Beans!A:A, A815, Beans!C:C, "Spicy" ), "")</f>
        <v>0</v>
      </c>
    </row>
    <row r="816">
      <c r="A816" s="34">
        <f t="shared" si="2"/>
        <v>45666</v>
      </c>
      <c r="B816" s="35">
        <f>if(A816&lt;&gt;"", COUNTIFS(Beans!A:A, A816), "")</f>
        <v>0</v>
      </c>
      <c r="C816" s="35">
        <f>if(A816&lt;&gt;"", COUNTIFS(Beans!A:A, A816, Beans!C:C, "Good" ), "")</f>
        <v>0</v>
      </c>
      <c r="D816" s="35">
        <f>if(A816&lt;&gt;"", COUNTIFS(Beans!A:A, A816, Beans!C:C, "Bad" ), "")</f>
        <v>0</v>
      </c>
      <c r="E816" s="35">
        <f>if(A816&lt;&gt;"", COUNTIFS(Beans!A:A, A816, Beans!C:C, "Spicy" ), "")</f>
        <v>0</v>
      </c>
    </row>
    <row r="817">
      <c r="A817" s="34">
        <f t="shared" si="2"/>
        <v>45667</v>
      </c>
      <c r="B817" s="35">
        <f>if(A817&lt;&gt;"", COUNTIFS(Beans!A:A, A817), "")</f>
        <v>0</v>
      </c>
      <c r="C817" s="35">
        <f>if(A817&lt;&gt;"", COUNTIFS(Beans!A:A, A817, Beans!C:C, "Good" ), "")</f>
        <v>0</v>
      </c>
      <c r="D817" s="35">
        <f>if(A817&lt;&gt;"", COUNTIFS(Beans!A:A, A817, Beans!C:C, "Bad" ), "")</f>
        <v>0</v>
      </c>
      <c r="E817" s="35">
        <f>if(A817&lt;&gt;"", COUNTIFS(Beans!A:A, A817, Beans!C:C, "Spicy" ), "")</f>
        <v>0</v>
      </c>
    </row>
    <row r="818">
      <c r="A818" s="34">
        <f t="shared" si="2"/>
        <v>45668</v>
      </c>
      <c r="B818" s="35">
        <f>if(A818&lt;&gt;"", COUNTIFS(Beans!A:A, A818), "")</f>
        <v>0</v>
      </c>
      <c r="C818" s="35">
        <f>if(A818&lt;&gt;"", COUNTIFS(Beans!A:A, A818, Beans!C:C, "Good" ), "")</f>
        <v>0</v>
      </c>
      <c r="D818" s="35">
        <f>if(A818&lt;&gt;"", COUNTIFS(Beans!A:A, A818, Beans!C:C, "Bad" ), "")</f>
        <v>0</v>
      </c>
      <c r="E818" s="35">
        <f>if(A818&lt;&gt;"", COUNTIFS(Beans!A:A, A818, Beans!C:C, "Spicy" ), "")</f>
        <v>0</v>
      </c>
    </row>
    <row r="819">
      <c r="A819" s="34">
        <f t="shared" si="2"/>
        <v>45669</v>
      </c>
      <c r="B819" s="35">
        <f>if(A819&lt;&gt;"", COUNTIFS(Beans!A:A, A819), "")</f>
        <v>0</v>
      </c>
      <c r="C819" s="35">
        <f>if(A819&lt;&gt;"", COUNTIFS(Beans!A:A, A819, Beans!C:C, "Good" ), "")</f>
        <v>0</v>
      </c>
      <c r="D819" s="35">
        <f>if(A819&lt;&gt;"", COUNTIFS(Beans!A:A, A819, Beans!C:C, "Bad" ), "")</f>
        <v>0</v>
      </c>
      <c r="E819" s="35">
        <f>if(A819&lt;&gt;"", COUNTIFS(Beans!A:A, A819, Beans!C:C, "Spicy" ), "")</f>
        <v>0</v>
      </c>
    </row>
    <row r="820">
      <c r="A820" s="34">
        <f t="shared" si="2"/>
        <v>45670</v>
      </c>
      <c r="B820" s="35">
        <f>if(A820&lt;&gt;"", COUNTIFS(Beans!A:A, A820), "")</f>
        <v>0</v>
      </c>
      <c r="C820" s="35">
        <f>if(A820&lt;&gt;"", COUNTIFS(Beans!A:A, A820, Beans!C:C, "Good" ), "")</f>
        <v>0</v>
      </c>
      <c r="D820" s="35">
        <f>if(A820&lt;&gt;"", COUNTIFS(Beans!A:A, A820, Beans!C:C, "Bad" ), "")</f>
        <v>0</v>
      </c>
      <c r="E820" s="35">
        <f>if(A820&lt;&gt;"", COUNTIFS(Beans!A:A, A820, Beans!C:C, "Spicy" ), "")</f>
        <v>0</v>
      </c>
    </row>
    <row r="821">
      <c r="A821" s="34">
        <f t="shared" si="2"/>
        <v>45671</v>
      </c>
      <c r="B821" s="35">
        <f>if(A821&lt;&gt;"", COUNTIFS(Beans!A:A, A821), "")</f>
        <v>0</v>
      </c>
      <c r="C821" s="35">
        <f>if(A821&lt;&gt;"", COUNTIFS(Beans!A:A, A821, Beans!C:C, "Good" ), "")</f>
        <v>0</v>
      </c>
      <c r="D821" s="35">
        <f>if(A821&lt;&gt;"", COUNTIFS(Beans!A:A, A821, Beans!C:C, "Bad" ), "")</f>
        <v>0</v>
      </c>
      <c r="E821" s="35">
        <f>if(A821&lt;&gt;"", COUNTIFS(Beans!A:A, A821, Beans!C:C, "Spicy" ), "")</f>
        <v>0</v>
      </c>
    </row>
    <row r="822">
      <c r="A822" s="34">
        <f t="shared" si="2"/>
        <v>45672</v>
      </c>
      <c r="B822" s="35">
        <f>if(A822&lt;&gt;"", COUNTIFS(Beans!A:A, A822), "")</f>
        <v>0</v>
      </c>
      <c r="C822" s="35">
        <f>if(A822&lt;&gt;"", COUNTIFS(Beans!A:A, A822, Beans!C:C, "Good" ), "")</f>
        <v>0</v>
      </c>
      <c r="D822" s="35">
        <f>if(A822&lt;&gt;"", COUNTIFS(Beans!A:A, A822, Beans!C:C, "Bad" ), "")</f>
        <v>0</v>
      </c>
      <c r="E822" s="35">
        <f>if(A822&lt;&gt;"", COUNTIFS(Beans!A:A, A822, Beans!C:C, "Spicy" ), "")</f>
        <v>0</v>
      </c>
    </row>
    <row r="823">
      <c r="A823" s="34">
        <f t="shared" si="2"/>
        <v>45673</v>
      </c>
      <c r="B823" s="35">
        <f>if(A823&lt;&gt;"", COUNTIFS(Beans!A:A, A823), "")</f>
        <v>0</v>
      </c>
      <c r="C823" s="35">
        <f>if(A823&lt;&gt;"", COUNTIFS(Beans!A:A, A823, Beans!C:C, "Good" ), "")</f>
        <v>0</v>
      </c>
      <c r="D823" s="35">
        <f>if(A823&lt;&gt;"", COUNTIFS(Beans!A:A, A823, Beans!C:C, "Bad" ), "")</f>
        <v>0</v>
      </c>
      <c r="E823" s="35">
        <f>if(A823&lt;&gt;"", COUNTIFS(Beans!A:A, A823, Beans!C:C, "Spicy" ), "")</f>
        <v>0</v>
      </c>
    </row>
    <row r="824">
      <c r="A824" s="34">
        <f t="shared" si="2"/>
        <v>45674</v>
      </c>
      <c r="B824" s="35">
        <f>if(A824&lt;&gt;"", COUNTIFS(Beans!A:A, A824), "")</f>
        <v>0</v>
      </c>
      <c r="C824" s="35">
        <f>if(A824&lt;&gt;"", COUNTIFS(Beans!A:A, A824, Beans!C:C, "Good" ), "")</f>
        <v>0</v>
      </c>
      <c r="D824" s="35">
        <f>if(A824&lt;&gt;"", COUNTIFS(Beans!A:A, A824, Beans!C:C, "Bad" ), "")</f>
        <v>0</v>
      </c>
      <c r="E824" s="35">
        <f>if(A824&lt;&gt;"", COUNTIFS(Beans!A:A, A824, Beans!C:C, "Spicy" ), "")</f>
        <v>0</v>
      </c>
    </row>
    <row r="825">
      <c r="A825" s="34">
        <f t="shared" si="2"/>
        <v>45675</v>
      </c>
      <c r="B825" s="35">
        <f>if(A825&lt;&gt;"", COUNTIFS(Beans!A:A, A825), "")</f>
        <v>0</v>
      </c>
      <c r="C825" s="35">
        <f>if(A825&lt;&gt;"", COUNTIFS(Beans!A:A, A825, Beans!C:C, "Good" ), "")</f>
        <v>0</v>
      </c>
      <c r="D825" s="35">
        <f>if(A825&lt;&gt;"", COUNTIFS(Beans!A:A, A825, Beans!C:C, "Bad" ), "")</f>
        <v>0</v>
      </c>
      <c r="E825" s="35">
        <f>if(A825&lt;&gt;"", COUNTIFS(Beans!A:A, A825, Beans!C:C, "Spicy" ), "")</f>
        <v>0</v>
      </c>
    </row>
    <row r="826">
      <c r="A826" s="34">
        <f t="shared" si="2"/>
        <v>45676</v>
      </c>
      <c r="B826" s="35">
        <f>if(A826&lt;&gt;"", COUNTIFS(Beans!A:A, A826), "")</f>
        <v>0</v>
      </c>
      <c r="C826" s="35">
        <f>if(A826&lt;&gt;"", COUNTIFS(Beans!A:A, A826, Beans!C:C, "Good" ), "")</f>
        <v>0</v>
      </c>
      <c r="D826" s="35">
        <f>if(A826&lt;&gt;"", COUNTIFS(Beans!A:A, A826, Beans!C:C, "Bad" ), "")</f>
        <v>0</v>
      </c>
      <c r="E826" s="35">
        <f>if(A826&lt;&gt;"", COUNTIFS(Beans!A:A, A826, Beans!C:C, "Spicy" ), "")</f>
        <v>0</v>
      </c>
    </row>
    <row r="827">
      <c r="A827" s="34">
        <f t="shared" si="2"/>
        <v>45677</v>
      </c>
      <c r="B827" s="35">
        <f>if(A827&lt;&gt;"", COUNTIFS(Beans!A:A, A827), "")</f>
        <v>0</v>
      </c>
      <c r="C827" s="35">
        <f>if(A827&lt;&gt;"", COUNTIFS(Beans!A:A, A827, Beans!C:C, "Good" ), "")</f>
        <v>0</v>
      </c>
      <c r="D827" s="35">
        <f>if(A827&lt;&gt;"", COUNTIFS(Beans!A:A, A827, Beans!C:C, "Bad" ), "")</f>
        <v>0</v>
      </c>
      <c r="E827" s="35">
        <f>if(A827&lt;&gt;"", COUNTIFS(Beans!A:A, A827, Beans!C:C, "Spicy" ), "")</f>
        <v>0</v>
      </c>
    </row>
    <row r="828">
      <c r="A828" s="34">
        <f t="shared" si="2"/>
        <v>45678</v>
      </c>
      <c r="B828" s="35">
        <f>if(A828&lt;&gt;"", COUNTIFS(Beans!A:A, A828), "")</f>
        <v>0</v>
      </c>
      <c r="C828" s="35">
        <f>if(A828&lt;&gt;"", COUNTIFS(Beans!A:A, A828, Beans!C:C, "Good" ), "")</f>
        <v>0</v>
      </c>
      <c r="D828" s="35">
        <f>if(A828&lt;&gt;"", COUNTIFS(Beans!A:A, A828, Beans!C:C, "Bad" ), "")</f>
        <v>0</v>
      </c>
      <c r="E828" s="35">
        <f>if(A828&lt;&gt;"", COUNTIFS(Beans!A:A, A828, Beans!C:C, "Spicy" ), "")</f>
        <v>0</v>
      </c>
    </row>
    <row r="829">
      <c r="A829" s="34">
        <f t="shared" si="2"/>
        <v>45679</v>
      </c>
      <c r="B829" s="35">
        <f>if(A829&lt;&gt;"", COUNTIFS(Beans!A:A, A829), "")</f>
        <v>0</v>
      </c>
      <c r="C829" s="35">
        <f>if(A829&lt;&gt;"", COUNTIFS(Beans!A:A, A829, Beans!C:C, "Good" ), "")</f>
        <v>0</v>
      </c>
      <c r="D829" s="35">
        <f>if(A829&lt;&gt;"", COUNTIFS(Beans!A:A, A829, Beans!C:C, "Bad" ), "")</f>
        <v>0</v>
      </c>
      <c r="E829" s="35">
        <f>if(A829&lt;&gt;"", COUNTIFS(Beans!A:A, A829, Beans!C:C, "Spicy" ), "")</f>
        <v>0</v>
      </c>
    </row>
    <row r="830">
      <c r="A830" s="34">
        <f t="shared" si="2"/>
        <v>45680</v>
      </c>
      <c r="B830" s="35">
        <f>if(A830&lt;&gt;"", COUNTIFS(Beans!A:A, A830), "")</f>
        <v>0</v>
      </c>
      <c r="C830" s="35">
        <f>if(A830&lt;&gt;"", COUNTIFS(Beans!A:A, A830, Beans!C:C, "Good" ), "")</f>
        <v>0</v>
      </c>
      <c r="D830" s="35">
        <f>if(A830&lt;&gt;"", COUNTIFS(Beans!A:A, A830, Beans!C:C, "Bad" ), "")</f>
        <v>0</v>
      </c>
      <c r="E830" s="35">
        <f>if(A830&lt;&gt;"", COUNTIFS(Beans!A:A, A830, Beans!C:C, "Spicy" ), "")</f>
        <v>0</v>
      </c>
    </row>
    <row r="831">
      <c r="A831" s="34">
        <f t="shared" si="2"/>
        <v>45681</v>
      </c>
      <c r="B831" s="35">
        <f>if(A831&lt;&gt;"", COUNTIFS(Beans!A:A, A831), "")</f>
        <v>0</v>
      </c>
      <c r="C831" s="35">
        <f>if(A831&lt;&gt;"", COUNTIFS(Beans!A:A, A831, Beans!C:C, "Good" ), "")</f>
        <v>0</v>
      </c>
      <c r="D831" s="35">
        <f>if(A831&lt;&gt;"", COUNTIFS(Beans!A:A, A831, Beans!C:C, "Bad" ), "")</f>
        <v>0</v>
      </c>
      <c r="E831" s="35">
        <f>if(A831&lt;&gt;"", COUNTIFS(Beans!A:A, A831, Beans!C:C, "Spicy" ), "")</f>
        <v>0</v>
      </c>
    </row>
    <row r="832">
      <c r="A832" s="34">
        <f t="shared" si="2"/>
        <v>45682</v>
      </c>
      <c r="B832" s="35">
        <f>if(A832&lt;&gt;"", COUNTIFS(Beans!A:A, A832), "")</f>
        <v>0</v>
      </c>
      <c r="C832" s="35">
        <f>if(A832&lt;&gt;"", COUNTIFS(Beans!A:A, A832, Beans!C:C, "Good" ), "")</f>
        <v>0</v>
      </c>
      <c r="D832" s="35">
        <f>if(A832&lt;&gt;"", COUNTIFS(Beans!A:A, A832, Beans!C:C, "Bad" ), "")</f>
        <v>0</v>
      </c>
      <c r="E832" s="35">
        <f>if(A832&lt;&gt;"", COUNTIFS(Beans!A:A, A832, Beans!C:C, "Spicy" ), "")</f>
        <v>0</v>
      </c>
    </row>
    <row r="833">
      <c r="A833" s="34">
        <f t="shared" si="2"/>
        <v>45683</v>
      </c>
      <c r="B833" s="35">
        <f>if(A833&lt;&gt;"", COUNTIFS(Beans!A:A, A833), "")</f>
        <v>0</v>
      </c>
      <c r="C833" s="35">
        <f>if(A833&lt;&gt;"", COUNTIFS(Beans!A:A, A833, Beans!C:C, "Good" ), "")</f>
        <v>0</v>
      </c>
      <c r="D833" s="35">
        <f>if(A833&lt;&gt;"", COUNTIFS(Beans!A:A, A833, Beans!C:C, "Bad" ), "")</f>
        <v>0</v>
      </c>
      <c r="E833" s="35">
        <f>if(A833&lt;&gt;"", COUNTIFS(Beans!A:A, A833, Beans!C:C, "Spicy" ), "")</f>
        <v>0</v>
      </c>
    </row>
    <row r="834">
      <c r="A834" s="34">
        <f t="shared" si="2"/>
        <v>45684</v>
      </c>
      <c r="B834" s="35">
        <f>if(A834&lt;&gt;"", COUNTIFS(Beans!A:A, A834), "")</f>
        <v>0</v>
      </c>
      <c r="C834" s="35">
        <f>if(A834&lt;&gt;"", COUNTIFS(Beans!A:A, A834, Beans!C:C, "Good" ), "")</f>
        <v>0</v>
      </c>
      <c r="D834" s="35">
        <f>if(A834&lt;&gt;"", COUNTIFS(Beans!A:A, A834, Beans!C:C, "Bad" ), "")</f>
        <v>0</v>
      </c>
      <c r="E834" s="35">
        <f>if(A834&lt;&gt;"", COUNTIFS(Beans!A:A, A834, Beans!C:C, "Spicy" ), "")</f>
        <v>0</v>
      </c>
    </row>
    <row r="835">
      <c r="A835" s="34">
        <f t="shared" si="2"/>
        <v>45685</v>
      </c>
      <c r="B835" s="35">
        <f>if(A835&lt;&gt;"", COUNTIFS(Beans!A:A, A835), "")</f>
        <v>0</v>
      </c>
      <c r="C835" s="35">
        <f>if(A835&lt;&gt;"", COUNTIFS(Beans!A:A, A835, Beans!C:C, "Good" ), "")</f>
        <v>0</v>
      </c>
      <c r="D835" s="35">
        <f>if(A835&lt;&gt;"", COUNTIFS(Beans!A:A, A835, Beans!C:C, "Bad" ), "")</f>
        <v>0</v>
      </c>
      <c r="E835" s="35">
        <f>if(A835&lt;&gt;"", COUNTIFS(Beans!A:A, A835, Beans!C:C, "Spicy" ), "")</f>
        <v>0</v>
      </c>
    </row>
    <row r="836">
      <c r="A836" s="34">
        <f t="shared" si="2"/>
        <v>45686</v>
      </c>
      <c r="B836" s="35">
        <f>if(A836&lt;&gt;"", COUNTIFS(Beans!A:A, A836), "")</f>
        <v>0</v>
      </c>
      <c r="C836" s="35">
        <f>if(A836&lt;&gt;"", COUNTIFS(Beans!A:A, A836, Beans!C:C, "Good" ), "")</f>
        <v>0</v>
      </c>
      <c r="D836" s="35">
        <f>if(A836&lt;&gt;"", COUNTIFS(Beans!A:A, A836, Beans!C:C, "Bad" ), "")</f>
        <v>0</v>
      </c>
      <c r="E836" s="35">
        <f>if(A836&lt;&gt;"", COUNTIFS(Beans!A:A, A836, Beans!C:C, "Spicy" ), "")</f>
        <v>0</v>
      </c>
    </row>
    <row r="837">
      <c r="A837" s="34">
        <f t="shared" si="2"/>
        <v>45687</v>
      </c>
      <c r="B837" s="35">
        <f>if(A837&lt;&gt;"", COUNTIFS(Beans!A:A, A837), "")</f>
        <v>0</v>
      </c>
      <c r="C837" s="35">
        <f>if(A837&lt;&gt;"", COUNTIFS(Beans!A:A, A837, Beans!C:C, "Good" ), "")</f>
        <v>0</v>
      </c>
      <c r="D837" s="35">
        <f>if(A837&lt;&gt;"", COUNTIFS(Beans!A:A, A837, Beans!C:C, "Bad" ), "")</f>
        <v>0</v>
      </c>
      <c r="E837" s="35">
        <f>if(A837&lt;&gt;"", COUNTIFS(Beans!A:A, A837, Beans!C:C, "Spicy" ), "")</f>
        <v>0</v>
      </c>
    </row>
    <row r="838">
      <c r="A838" s="34">
        <f t="shared" si="2"/>
        <v>45688</v>
      </c>
      <c r="B838" s="35">
        <f>if(A838&lt;&gt;"", COUNTIFS(Beans!A:A, A838), "")</f>
        <v>0</v>
      </c>
      <c r="C838" s="35">
        <f>if(A838&lt;&gt;"", COUNTIFS(Beans!A:A, A838, Beans!C:C, "Good" ), "")</f>
        <v>0</v>
      </c>
      <c r="D838" s="35">
        <f>if(A838&lt;&gt;"", COUNTIFS(Beans!A:A, A838, Beans!C:C, "Bad" ), "")</f>
        <v>0</v>
      </c>
      <c r="E838" s="35">
        <f>if(A838&lt;&gt;"", COUNTIFS(Beans!A:A, A838, Beans!C:C, "Spicy" ), "")</f>
        <v>0</v>
      </c>
    </row>
    <row r="839">
      <c r="A839" s="34">
        <f t="shared" si="2"/>
        <v>45689</v>
      </c>
      <c r="B839" s="35">
        <f>if(A839&lt;&gt;"", COUNTIFS(Beans!A:A, A839), "")</f>
        <v>0</v>
      </c>
      <c r="C839" s="35">
        <f>if(A839&lt;&gt;"", COUNTIFS(Beans!A:A, A839, Beans!C:C, "Good" ), "")</f>
        <v>0</v>
      </c>
      <c r="D839" s="35">
        <f>if(A839&lt;&gt;"", COUNTIFS(Beans!A:A, A839, Beans!C:C, "Bad" ), "")</f>
        <v>0</v>
      </c>
      <c r="E839" s="35">
        <f>if(A839&lt;&gt;"", COUNTIFS(Beans!A:A, A839, Beans!C:C, "Spicy" ), "")</f>
        <v>0</v>
      </c>
    </row>
    <row r="840">
      <c r="A840" s="34">
        <f t="shared" si="2"/>
        <v>45690</v>
      </c>
      <c r="B840" s="35">
        <f>if(A840&lt;&gt;"", COUNTIFS(Beans!A:A, A840), "")</f>
        <v>0</v>
      </c>
      <c r="C840" s="35">
        <f>if(A840&lt;&gt;"", COUNTIFS(Beans!A:A, A840, Beans!C:C, "Good" ), "")</f>
        <v>0</v>
      </c>
      <c r="D840" s="35">
        <f>if(A840&lt;&gt;"", COUNTIFS(Beans!A:A, A840, Beans!C:C, "Bad" ), "")</f>
        <v>0</v>
      </c>
      <c r="E840" s="35">
        <f>if(A840&lt;&gt;"", COUNTIFS(Beans!A:A, A840, Beans!C:C, "Spicy" ), "")</f>
        <v>0</v>
      </c>
    </row>
    <row r="841">
      <c r="A841" s="34">
        <f t="shared" si="2"/>
        <v>45691</v>
      </c>
      <c r="B841" s="35">
        <f>if(A841&lt;&gt;"", COUNTIFS(Beans!A:A, A841), "")</f>
        <v>0</v>
      </c>
      <c r="C841" s="35">
        <f>if(A841&lt;&gt;"", COUNTIFS(Beans!A:A, A841, Beans!C:C, "Good" ), "")</f>
        <v>0</v>
      </c>
      <c r="D841" s="35">
        <f>if(A841&lt;&gt;"", COUNTIFS(Beans!A:A, A841, Beans!C:C, "Bad" ), "")</f>
        <v>0</v>
      </c>
      <c r="E841" s="35">
        <f>if(A841&lt;&gt;"", COUNTIFS(Beans!A:A, A841, Beans!C:C, "Spicy" ), "")</f>
        <v>0</v>
      </c>
    </row>
    <row r="842">
      <c r="A842" s="34">
        <f t="shared" si="2"/>
        <v>45692</v>
      </c>
      <c r="B842" s="35">
        <f>if(A842&lt;&gt;"", COUNTIFS(Beans!A:A, A842), "")</f>
        <v>0</v>
      </c>
      <c r="C842" s="35">
        <f>if(A842&lt;&gt;"", COUNTIFS(Beans!A:A, A842, Beans!C:C, "Good" ), "")</f>
        <v>0</v>
      </c>
      <c r="D842" s="35">
        <f>if(A842&lt;&gt;"", COUNTIFS(Beans!A:A, A842, Beans!C:C, "Bad" ), "")</f>
        <v>0</v>
      </c>
      <c r="E842" s="35">
        <f>if(A842&lt;&gt;"", COUNTIFS(Beans!A:A, A842, Beans!C:C, "Spicy" ), "")</f>
        <v>0</v>
      </c>
    </row>
    <row r="843">
      <c r="A843" s="34">
        <f t="shared" si="2"/>
        <v>45693</v>
      </c>
      <c r="B843" s="35">
        <f>if(A843&lt;&gt;"", COUNTIFS(Beans!A:A, A843), "")</f>
        <v>0</v>
      </c>
      <c r="C843" s="35">
        <f>if(A843&lt;&gt;"", COUNTIFS(Beans!A:A, A843, Beans!C:C, "Good" ), "")</f>
        <v>0</v>
      </c>
      <c r="D843" s="35">
        <f>if(A843&lt;&gt;"", COUNTIFS(Beans!A:A, A843, Beans!C:C, "Bad" ), "")</f>
        <v>0</v>
      </c>
      <c r="E843" s="35">
        <f>if(A843&lt;&gt;"", COUNTIFS(Beans!A:A, A843, Beans!C:C, "Spicy" ), "")</f>
        <v>0</v>
      </c>
    </row>
    <row r="844">
      <c r="A844" s="34">
        <f t="shared" si="2"/>
        <v>45694</v>
      </c>
      <c r="B844" s="35">
        <f>if(A844&lt;&gt;"", COUNTIFS(Beans!A:A, A844), "")</f>
        <v>0</v>
      </c>
      <c r="C844" s="35">
        <f>if(A844&lt;&gt;"", COUNTIFS(Beans!A:A, A844, Beans!C:C, "Good" ), "")</f>
        <v>0</v>
      </c>
      <c r="D844" s="35">
        <f>if(A844&lt;&gt;"", COUNTIFS(Beans!A:A, A844, Beans!C:C, "Bad" ), "")</f>
        <v>0</v>
      </c>
      <c r="E844" s="35">
        <f>if(A844&lt;&gt;"", COUNTIFS(Beans!A:A, A844, Beans!C:C, "Spicy" ), "")</f>
        <v>0</v>
      </c>
    </row>
    <row r="845">
      <c r="A845" s="34">
        <f t="shared" si="2"/>
        <v>45695</v>
      </c>
      <c r="B845" s="35">
        <f>if(A845&lt;&gt;"", COUNTIFS(Beans!A:A, A845), "")</f>
        <v>0</v>
      </c>
      <c r="C845" s="35">
        <f>if(A845&lt;&gt;"", COUNTIFS(Beans!A:A, A845, Beans!C:C, "Good" ), "")</f>
        <v>0</v>
      </c>
      <c r="D845" s="35">
        <f>if(A845&lt;&gt;"", COUNTIFS(Beans!A:A, A845, Beans!C:C, "Bad" ), "")</f>
        <v>0</v>
      </c>
      <c r="E845" s="35">
        <f>if(A845&lt;&gt;"", COUNTIFS(Beans!A:A, A845, Beans!C:C, "Spicy" ), "")</f>
        <v>0</v>
      </c>
    </row>
    <row r="846">
      <c r="A846" s="34">
        <f t="shared" si="2"/>
        <v>45696</v>
      </c>
      <c r="B846" s="35">
        <f>if(A846&lt;&gt;"", COUNTIFS(Beans!A:A, A846), "")</f>
        <v>0</v>
      </c>
      <c r="C846" s="35">
        <f>if(A846&lt;&gt;"", COUNTIFS(Beans!A:A, A846, Beans!C:C, "Good" ), "")</f>
        <v>0</v>
      </c>
      <c r="D846" s="35">
        <f>if(A846&lt;&gt;"", COUNTIFS(Beans!A:A, A846, Beans!C:C, "Bad" ), "")</f>
        <v>0</v>
      </c>
      <c r="E846" s="35">
        <f>if(A846&lt;&gt;"", COUNTIFS(Beans!A:A, A846, Beans!C:C, "Spicy" ), "")</f>
        <v>0</v>
      </c>
    </row>
    <row r="847">
      <c r="A847" s="34">
        <f t="shared" si="2"/>
        <v>45697</v>
      </c>
      <c r="B847" s="35">
        <f>if(A847&lt;&gt;"", COUNTIFS(Beans!A:A, A847), "")</f>
        <v>0</v>
      </c>
      <c r="C847" s="35">
        <f>if(A847&lt;&gt;"", COUNTIFS(Beans!A:A, A847, Beans!C:C, "Good" ), "")</f>
        <v>0</v>
      </c>
      <c r="D847" s="35">
        <f>if(A847&lt;&gt;"", COUNTIFS(Beans!A:A, A847, Beans!C:C, "Bad" ), "")</f>
        <v>0</v>
      </c>
      <c r="E847" s="35">
        <f>if(A847&lt;&gt;"", COUNTIFS(Beans!A:A, A847, Beans!C:C, "Spicy" ), "")</f>
        <v>0</v>
      </c>
    </row>
    <row r="848">
      <c r="A848" s="34">
        <f t="shared" si="2"/>
        <v>45698</v>
      </c>
      <c r="B848" s="35">
        <f>if(A848&lt;&gt;"", COUNTIFS(Beans!A:A, A848), "")</f>
        <v>0</v>
      </c>
      <c r="C848" s="35">
        <f>if(A848&lt;&gt;"", COUNTIFS(Beans!A:A, A848, Beans!C:C, "Good" ), "")</f>
        <v>0</v>
      </c>
      <c r="D848" s="35">
        <f>if(A848&lt;&gt;"", COUNTIFS(Beans!A:A, A848, Beans!C:C, "Bad" ), "")</f>
        <v>0</v>
      </c>
      <c r="E848" s="35">
        <f>if(A848&lt;&gt;"", COUNTIFS(Beans!A:A, A848, Beans!C:C, "Spicy" ), "")</f>
        <v>0</v>
      </c>
    </row>
    <row r="849">
      <c r="A849" s="34">
        <f t="shared" si="2"/>
        <v>45699</v>
      </c>
      <c r="B849" s="35">
        <f>if(A849&lt;&gt;"", COUNTIFS(Beans!A:A, A849), "")</f>
        <v>0</v>
      </c>
      <c r="C849" s="35">
        <f>if(A849&lt;&gt;"", COUNTIFS(Beans!A:A, A849, Beans!C:C, "Good" ), "")</f>
        <v>0</v>
      </c>
      <c r="D849" s="35">
        <f>if(A849&lt;&gt;"", COUNTIFS(Beans!A:A, A849, Beans!C:C, "Bad" ), "")</f>
        <v>0</v>
      </c>
      <c r="E849" s="35">
        <f>if(A849&lt;&gt;"", COUNTIFS(Beans!A:A, A849, Beans!C:C, "Spicy" ), "")</f>
        <v>0</v>
      </c>
    </row>
    <row r="850">
      <c r="A850" s="34">
        <f t="shared" si="2"/>
        <v>45700</v>
      </c>
      <c r="B850" s="35">
        <f>if(A850&lt;&gt;"", COUNTIFS(Beans!A:A, A850), "")</f>
        <v>0</v>
      </c>
      <c r="C850" s="35">
        <f>if(A850&lt;&gt;"", COUNTIFS(Beans!A:A, A850, Beans!C:C, "Good" ), "")</f>
        <v>0</v>
      </c>
      <c r="D850" s="35">
        <f>if(A850&lt;&gt;"", COUNTIFS(Beans!A:A, A850, Beans!C:C, "Bad" ), "")</f>
        <v>0</v>
      </c>
      <c r="E850" s="35">
        <f>if(A850&lt;&gt;"", COUNTIFS(Beans!A:A, A850, Beans!C:C, "Spicy" ), "")</f>
        <v>0</v>
      </c>
    </row>
    <row r="851">
      <c r="A851" s="34">
        <f t="shared" si="2"/>
        <v>45701</v>
      </c>
      <c r="B851" s="35">
        <f>if(A851&lt;&gt;"", COUNTIFS(Beans!A:A, A851), "")</f>
        <v>0</v>
      </c>
      <c r="C851" s="35">
        <f>if(A851&lt;&gt;"", COUNTIFS(Beans!A:A, A851, Beans!C:C, "Good" ), "")</f>
        <v>0</v>
      </c>
      <c r="D851" s="35">
        <f>if(A851&lt;&gt;"", COUNTIFS(Beans!A:A, A851, Beans!C:C, "Bad" ), "")</f>
        <v>0</v>
      </c>
      <c r="E851" s="35">
        <f>if(A851&lt;&gt;"", COUNTIFS(Beans!A:A, A851, Beans!C:C, "Spicy" ), "")</f>
        <v>0</v>
      </c>
    </row>
    <row r="852">
      <c r="A852" s="34">
        <f t="shared" si="2"/>
        <v>45702</v>
      </c>
      <c r="B852" s="35">
        <f>if(A852&lt;&gt;"", COUNTIFS(Beans!A:A, A852), "")</f>
        <v>0</v>
      </c>
      <c r="C852" s="35">
        <f>if(A852&lt;&gt;"", COUNTIFS(Beans!A:A, A852, Beans!C:C, "Good" ), "")</f>
        <v>0</v>
      </c>
      <c r="D852" s="35">
        <f>if(A852&lt;&gt;"", COUNTIFS(Beans!A:A, A852, Beans!C:C, "Bad" ), "")</f>
        <v>0</v>
      </c>
      <c r="E852" s="35">
        <f>if(A852&lt;&gt;"", COUNTIFS(Beans!A:A, A852, Beans!C:C, "Spicy" ), "")</f>
        <v>0</v>
      </c>
    </row>
    <row r="853">
      <c r="A853" s="34">
        <f t="shared" si="2"/>
        <v>45703</v>
      </c>
      <c r="B853" s="35">
        <f>if(A853&lt;&gt;"", COUNTIFS(Beans!A:A, A853), "")</f>
        <v>0</v>
      </c>
      <c r="C853" s="35">
        <f>if(A853&lt;&gt;"", COUNTIFS(Beans!A:A, A853, Beans!C:C, "Good" ), "")</f>
        <v>0</v>
      </c>
      <c r="D853" s="35">
        <f>if(A853&lt;&gt;"", COUNTIFS(Beans!A:A, A853, Beans!C:C, "Bad" ), "")</f>
        <v>0</v>
      </c>
      <c r="E853" s="35">
        <f>if(A853&lt;&gt;"", COUNTIFS(Beans!A:A, A853, Beans!C:C, "Spicy" ), "")</f>
        <v>0</v>
      </c>
    </row>
    <row r="854">
      <c r="A854" s="34">
        <f t="shared" si="2"/>
        <v>45704</v>
      </c>
      <c r="B854" s="35">
        <f>if(A854&lt;&gt;"", COUNTIFS(Beans!A:A, A854), "")</f>
        <v>0</v>
      </c>
      <c r="C854" s="35">
        <f>if(A854&lt;&gt;"", COUNTIFS(Beans!A:A, A854, Beans!C:C, "Good" ), "")</f>
        <v>0</v>
      </c>
      <c r="D854" s="35">
        <f>if(A854&lt;&gt;"", COUNTIFS(Beans!A:A, A854, Beans!C:C, "Bad" ), "")</f>
        <v>0</v>
      </c>
      <c r="E854" s="35">
        <f>if(A854&lt;&gt;"", COUNTIFS(Beans!A:A, A854, Beans!C:C, "Spicy" ), "")</f>
        <v>0</v>
      </c>
    </row>
    <row r="855">
      <c r="A855" s="34">
        <f t="shared" si="2"/>
        <v>45705</v>
      </c>
      <c r="B855" s="35">
        <f>if(A855&lt;&gt;"", COUNTIFS(Beans!A:A, A855), "")</f>
        <v>0</v>
      </c>
      <c r="C855" s="35">
        <f>if(A855&lt;&gt;"", COUNTIFS(Beans!A:A, A855, Beans!C:C, "Good" ), "")</f>
        <v>0</v>
      </c>
      <c r="D855" s="35">
        <f>if(A855&lt;&gt;"", COUNTIFS(Beans!A:A, A855, Beans!C:C, "Bad" ), "")</f>
        <v>0</v>
      </c>
      <c r="E855" s="35">
        <f>if(A855&lt;&gt;"", COUNTIFS(Beans!A:A, A855, Beans!C:C, "Spicy" ), "")</f>
        <v>0</v>
      </c>
    </row>
    <row r="856">
      <c r="A856" s="34">
        <f t="shared" si="2"/>
        <v>45706</v>
      </c>
      <c r="B856" s="35">
        <f>if(A856&lt;&gt;"", COUNTIFS(Beans!A:A, A856), "")</f>
        <v>0</v>
      </c>
      <c r="C856" s="35">
        <f>if(A856&lt;&gt;"", COUNTIFS(Beans!A:A, A856, Beans!C:C, "Good" ), "")</f>
        <v>0</v>
      </c>
      <c r="D856" s="35">
        <f>if(A856&lt;&gt;"", COUNTIFS(Beans!A:A, A856, Beans!C:C, "Bad" ), "")</f>
        <v>0</v>
      </c>
      <c r="E856" s="35">
        <f>if(A856&lt;&gt;"", COUNTIFS(Beans!A:A, A856, Beans!C:C, "Spicy" ), "")</f>
        <v>0</v>
      </c>
    </row>
    <row r="857">
      <c r="A857" s="34">
        <f t="shared" si="2"/>
        <v>45707</v>
      </c>
      <c r="B857" s="35">
        <f>if(A857&lt;&gt;"", COUNTIFS(Beans!A:A, A857), "")</f>
        <v>0</v>
      </c>
      <c r="C857" s="35">
        <f>if(A857&lt;&gt;"", COUNTIFS(Beans!A:A, A857, Beans!C:C, "Good" ), "")</f>
        <v>0</v>
      </c>
      <c r="D857" s="35">
        <f>if(A857&lt;&gt;"", COUNTIFS(Beans!A:A, A857, Beans!C:C, "Bad" ), "")</f>
        <v>0</v>
      </c>
      <c r="E857" s="35">
        <f>if(A857&lt;&gt;"", COUNTIFS(Beans!A:A, A857, Beans!C:C, "Spicy" ), "")</f>
        <v>0</v>
      </c>
    </row>
    <row r="858">
      <c r="A858" s="34">
        <f t="shared" si="2"/>
        <v>45708</v>
      </c>
      <c r="B858" s="35">
        <f>if(A858&lt;&gt;"", COUNTIFS(Beans!A:A, A858), "")</f>
        <v>0</v>
      </c>
      <c r="C858" s="35">
        <f>if(A858&lt;&gt;"", COUNTIFS(Beans!A:A, A858, Beans!C:C, "Good" ), "")</f>
        <v>0</v>
      </c>
      <c r="D858" s="35">
        <f>if(A858&lt;&gt;"", COUNTIFS(Beans!A:A, A858, Beans!C:C, "Bad" ), "")</f>
        <v>0</v>
      </c>
      <c r="E858" s="35">
        <f>if(A858&lt;&gt;"", COUNTIFS(Beans!A:A, A858, Beans!C:C, "Spicy" ), "")</f>
        <v>0</v>
      </c>
    </row>
    <row r="859">
      <c r="A859" s="34">
        <f t="shared" si="2"/>
        <v>45709</v>
      </c>
      <c r="B859" s="35">
        <f>if(A859&lt;&gt;"", COUNTIFS(Beans!A:A, A859), "")</f>
        <v>0</v>
      </c>
      <c r="C859" s="35">
        <f>if(A859&lt;&gt;"", COUNTIFS(Beans!A:A, A859, Beans!C:C, "Good" ), "")</f>
        <v>0</v>
      </c>
      <c r="D859" s="35">
        <f>if(A859&lt;&gt;"", COUNTIFS(Beans!A:A, A859, Beans!C:C, "Bad" ), "")</f>
        <v>0</v>
      </c>
      <c r="E859" s="35">
        <f>if(A859&lt;&gt;"", COUNTIFS(Beans!A:A, A859, Beans!C:C, "Spicy" ), "")</f>
        <v>0</v>
      </c>
    </row>
    <row r="860">
      <c r="A860" s="34">
        <f t="shared" si="2"/>
        <v>45710</v>
      </c>
      <c r="B860" s="35">
        <f>if(A860&lt;&gt;"", COUNTIFS(Beans!A:A, A860), "")</f>
        <v>0</v>
      </c>
      <c r="C860" s="35">
        <f>if(A860&lt;&gt;"", COUNTIFS(Beans!A:A, A860, Beans!C:C, "Good" ), "")</f>
        <v>0</v>
      </c>
      <c r="D860" s="35">
        <f>if(A860&lt;&gt;"", COUNTIFS(Beans!A:A, A860, Beans!C:C, "Bad" ), "")</f>
        <v>0</v>
      </c>
      <c r="E860" s="35">
        <f>if(A860&lt;&gt;"", COUNTIFS(Beans!A:A, A860, Beans!C:C, "Spicy" ), "")</f>
        <v>0</v>
      </c>
    </row>
    <row r="861">
      <c r="A861" s="34">
        <f t="shared" si="2"/>
        <v>45711</v>
      </c>
      <c r="B861" s="35">
        <f>if(A861&lt;&gt;"", COUNTIFS(Beans!A:A, A861), "")</f>
        <v>0</v>
      </c>
      <c r="C861" s="35">
        <f>if(A861&lt;&gt;"", COUNTIFS(Beans!A:A, A861, Beans!C:C, "Good" ), "")</f>
        <v>0</v>
      </c>
      <c r="D861" s="35">
        <f>if(A861&lt;&gt;"", COUNTIFS(Beans!A:A, A861, Beans!C:C, "Bad" ), "")</f>
        <v>0</v>
      </c>
      <c r="E861" s="35">
        <f>if(A861&lt;&gt;"", COUNTIFS(Beans!A:A, A861, Beans!C:C, "Spicy" ), "")</f>
        <v>0</v>
      </c>
    </row>
    <row r="862">
      <c r="A862" s="34">
        <f t="shared" si="2"/>
        <v>45712</v>
      </c>
      <c r="B862" s="35">
        <f>if(A862&lt;&gt;"", COUNTIFS(Beans!A:A, A862), "")</f>
        <v>6</v>
      </c>
      <c r="C862" s="35">
        <f>if(A862&lt;&gt;"", COUNTIFS(Beans!A:A, A862, Beans!C:C, "Good" ), "")</f>
        <v>3</v>
      </c>
      <c r="D862" s="35">
        <f>if(A862&lt;&gt;"", COUNTIFS(Beans!A:A, A862, Beans!C:C, "Bad" ), "")</f>
        <v>3</v>
      </c>
      <c r="E862" s="35">
        <f>if(A862&lt;&gt;"", COUNTIFS(Beans!A:A, A862, Beans!C:C, "Spicy" ), "")</f>
        <v>0</v>
      </c>
    </row>
    <row r="863">
      <c r="A863" s="34">
        <f t="shared" si="2"/>
        <v>45713</v>
      </c>
      <c r="B863" s="35">
        <f>if(A863&lt;&gt;"", COUNTIFS(Beans!A:A, A863), "")</f>
        <v>2</v>
      </c>
      <c r="C863" s="35">
        <f>if(A863&lt;&gt;"", COUNTIFS(Beans!A:A, A863, Beans!C:C, "Good" ), "")</f>
        <v>1</v>
      </c>
      <c r="D863" s="35">
        <f>if(A863&lt;&gt;"", COUNTIFS(Beans!A:A, A863, Beans!C:C, "Bad" ), "")</f>
        <v>1</v>
      </c>
      <c r="E863" s="35">
        <f>if(A863&lt;&gt;"", COUNTIFS(Beans!A:A, A863, Beans!C:C, "Spicy" ), "")</f>
        <v>0</v>
      </c>
    </row>
    <row r="864">
      <c r="A864" s="34">
        <f t="shared" si="2"/>
        <v>45714</v>
      </c>
      <c r="B864" s="35">
        <f>if(A864&lt;&gt;"", COUNTIFS(Beans!A:A, A864), "")</f>
        <v>9</v>
      </c>
      <c r="C864" s="35">
        <f>if(A864&lt;&gt;"", COUNTIFS(Beans!A:A, A864, Beans!C:C, "Good" ), "")</f>
        <v>2</v>
      </c>
      <c r="D864" s="35">
        <f>if(A864&lt;&gt;"", COUNTIFS(Beans!A:A, A864, Beans!C:C, "Bad" ), "")</f>
        <v>7</v>
      </c>
      <c r="E864" s="35">
        <f>if(A864&lt;&gt;"", COUNTIFS(Beans!A:A, A864, Beans!C:C, "Spicy" ), "")</f>
        <v>0</v>
      </c>
    </row>
    <row r="865">
      <c r="A865" s="34">
        <f t="shared" si="2"/>
        <v>45715</v>
      </c>
      <c r="B865" s="35">
        <f>if(A865&lt;&gt;"", COUNTIFS(Beans!A:A, A865), "")</f>
        <v>2</v>
      </c>
      <c r="C865" s="35">
        <f>if(A865&lt;&gt;"", COUNTIFS(Beans!A:A, A865, Beans!C:C, "Good" ), "")</f>
        <v>2</v>
      </c>
      <c r="D865" s="35">
        <f>if(A865&lt;&gt;"", COUNTIFS(Beans!A:A, A865, Beans!C:C, "Bad" ), "")</f>
        <v>0</v>
      </c>
      <c r="E865" s="35">
        <f>if(A865&lt;&gt;"", COUNTIFS(Beans!A:A, A865, Beans!C:C, "Spicy" ), "")</f>
        <v>0</v>
      </c>
    </row>
    <row r="866">
      <c r="A866" s="34">
        <f t="shared" si="2"/>
        <v>45716</v>
      </c>
      <c r="B866" s="35">
        <f>if(A866&lt;&gt;"", COUNTIFS(Beans!A:A, A866), "")</f>
        <v>3</v>
      </c>
      <c r="C866" s="35">
        <f>if(A866&lt;&gt;"", COUNTIFS(Beans!A:A, A866, Beans!C:C, "Good" ), "")</f>
        <v>1</v>
      </c>
      <c r="D866" s="35">
        <f>if(A866&lt;&gt;"", COUNTIFS(Beans!A:A, A866, Beans!C:C, "Bad" ), "")</f>
        <v>2</v>
      </c>
      <c r="E866" s="35">
        <f>if(A866&lt;&gt;"", COUNTIFS(Beans!A:A, A866, Beans!C:C, "Spicy" ), "")</f>
        <v>0</v>
      </c>
    </row>
    <row r="867">
      <c r="A867" s="34">
        <f t="shared" si="2"/>
        <v>45717</v>
      </c>
      <c r="B867" s="35">
        <f>if(A867&lt;&gt;"", COUNTIFS(Beans!A:A, A867), "")</f>
        <v>0</v>
      </c>
      <c r="C867" s="35">
        <f>if(A867&lt;&gt;"", COUNTIFS(Beans!A:A, A867, Beans!C:C, "Good" ), "")</f>
        <v>0</v>
      </c>
      <c r="D867" s="35">
        <f>if(A867&lt;&gt;"", COUNTIFS(Beans!A:A, A867, Beans!C:C, "Bad" ), "")</f>
        <v>0</v>
      </c>
      <c r="E867" s="35">
        <f>if(A867&lt;&gt;"", COUNTIFS(Beans!A:A, A867, Beans!C:C, "Spicy" ), "")</f>
        <v>0</v>
      </c>
    </row>
    <row r="868">
      <c r="A868" s="34">
        <f t="shared" si="2"/>
        <v>45718</v>
      </c>
      <c r="B868" s="35">
        <f>if(A868&lt;&gt;"", COUNTIFS(Beans!A:A, A868), "")</f>
        <v>0</v>
      </c>
      <c r="C868" s="35">
        <f>if(A868&lt;&gt;"", COUNTIFS(Beans!A:A, A868, Beans!C:C, "Good" ), "")</f>
        <v>0</v>
      </c>
      <c r="D868" s="35">
        <f>if(A868&lt;&gt;"", COUNTIFS(Beans!A:A, A868, Beans!C:C, "Bad" ), "")</f>
        <v>0</v>
      </c>
      <c r="E868" s="35">
        <f>if(A868&lt;&gt;"", COUNTIFS(Beans!A:A, A868, Beans!C:C, "Spicy" ), "")</f>
        <v>0</v>
      </c>
    </row>
    <row r="869">
      <c r="A869" s="34">
        <f t="shared" si="2"/>
        <v>45719</v>
      </c>
      <c r="B869" s="35">
        <f>if(A869&lt;&gt;"", COUNTIFS(Beans!A:A, A869), "")</f>
        <v>0</v>
      </c>
      <c r="C869" s="35">
        <f>if(A869&lt;&gt;"", COUNTIFS(Beans!A:A, A869, Beans!C:C, "Good" ), "")</f>
        <v>0</v>
      </c>
      <c r="D869" s="35">
        <f>if(A869&lt;&gt;"", COUNTIFS(Beans!A:A, A869, Beans!C:C, "Bad" ), "")</f>
        <v>0</v>
      </c>
      <c r="E869" s="35">
        <f>if(A869&lt;&gt;"", COUNTIFS(Beans!A:A, A869, Beans!C:C, "Spicy" ), "")</f>
        <v>0</v>
      </c>
    </row>
    <row r="870">
      <c r="A870" s="34">
        <f t="shared" si="2"/>
        <v>45720</v>
      </c>
      <c r="B870" s="35">
        <f>if(A870&lt;&gt;"", COUNTIFS(Beans!A:A, A870), "")</f>
        <v>0</v>
      </c>
      <c r="C870" s="35">
        <f>if(A870&lt;&gt;"", COUNTIFS(Beans!A:A, A870, Beans!C:C, "Good" ), "")</f>
        <v>0</v>
      </c>
      <c r="D870" s="35">
        <f>if(A870&lt;&gt;"", COUNTIFS(Beans!A:A, A870, Beans!C:C, "Bad" ), "")</f>
        <v>0</v>
      </c>
      <c r="E870" s="35">
        <f>if(A870&lt;&gt;"", COUNTIFS(Beans!A:A, A870, Beans!C:C, "Spicy" ), "")</f>
        <v>0</v>
      </c>
    </row>
    <row r="871">
      <c r="A871" s="34">
        <f t="shared" si="2"/>
        <v>45721</v>
      </c>
      <c r="B871" s="35">
        <f>if(A871&lt;&gt;"", COUNTIFS(Beans!A:A, A871), "")</f>
        <v>0</v>
      </c>
      <c r="C871" s="35">
        <f>if(A871&lt;&gt;"", COUNTIFS(Beans!A:A, A871, Beans!C:C, "Good" ), "")</f>
        <v>0</v>
      </c>
      <c r="D871" s="35">
        <f>if(A871&lt;&gt;"", COUNTIFS(Beans!A:A, A871, Beans!C:C, "Bad" ), "")</f>
        <v>0</v>
      </c>
      <c r="E871" s="35">
        <f>if(A871&lt;&gt;"", COUNTIFS(Beans!A:A, A871, Beans!C:C, "Spicy" ), "")</f>
        <v>0</v>
      </c>
    </row>
    <row r="872">
      <c r="A872" s="34">
        <f t="shared" si="2"/>
        <v>45722</v>
      </c>
      <c r="B872" s="35">
        <f>if(A872&lt;&gt;"", COUNTIFS(Beans!A:A, A872), "")</f>
        <v>1</v>
      </c>
      <c r="C872" s="35">
        <f>if(A872&lt;&gt;"", COUNTIFS(Beans!A:A, A872, Beans!C:C, "Good" ), "")</f>
        <v>0</v>
      </c>
      <c r="D872" s="35">
        <f>if(A872&lt;&gt;"", COUNTIFS(Beans!A:A, A872, Beans!C:C, "Bad" ), "")</f>
        <v>1</v>
      </c>
      <c r="E872" s="35">
        <f>if(A872&lt;&gt;"", COUNTIFS(Beans!A:A, A872, Beans!C:C, "Spicy" ), "")</f>
        <v>0</v>
      </c>
    </row>
    <row r="873">
      <c r="A873" s="34">
        <f t="shared" si="2"/>
        <v>45723</v>
      </c>
      <c r="B873" s="35">
        <f>if(A873&lt;&gt;"", COUNTIFS(Beans!A:A, A873), "")</f>
        <v>1</v>
      </c>
      <c r="C873" s="35">
        <f>if(A873&lt;&gt;"", COUNTIFS(Beans!A:A, A873, Beans!C:C, "Good" ), "")</f>
        <v>0</v>
      </c>
      <c r="D873" s="35">
        <f>if(A873&lt;&gt;"", COUNTIFS(Beans!A:A, A873, Beans!C:C, "Bad" ), "")</f>
        <v>1</v>
      </c>
      <c r="E873" s="35">
        <f>if(A873&lt;&gt;"", COUNTIFS(Beans!A:A, A873, Beans!C:C, "Spicy" ), "")</f>
        <v>0</v>
      </c>
    </row>
    <row r="874">
      <c r="A874" s="34">
        <f t="shared" si="2"/>
        <v>45724</v>
      </c>
      <c r="B874" s="35">
        <f>if(A874&lt;&gt;"", COUNTIFS(Beans!A:A, A874), "")</f>
        <v>0</v>
      </c>
      <c r="C874" s="35">
        <f>if(A874&lt;&gt;"", COUNTIFS(Beans!A:A, A874, Beans!C:C, "Good" ), "")</f>
        <v>0</v>
      </c>
      <c r="D874" s="35">
        <f>if(A874&lt;&gt;"", COUNTIFS(Beans!A:A, A874, Beans!C:C, "Bad" ), "")</f>
        <v>0</v>
      </c>
      <c r="E874" s="35">
        <f>if(A874&lt;&gt;"", COUNTIFS(Beans!A:A, A874, Beans!C:C, "Spicy" ), "")</f>
        <v>0</v>
      </c>
    </row>
    <row r="875">
      <c r="A875" s="34">
        <f t="shared" si="2"/>
        <v>45725</v>
      </c>
      <c r="B875" s="35">
        <f>if(A875&lt;&gt;"", COUNTIFS(Beans!A:A, A875), "")</f>
        <v>0</v>
      </c>
      <c r="C875" s="35">
        <f>if(A875&lt;&gt;"", COUNTIFS(Beans!A:A, A875, Beans!C:C, "Good" ), "")</f>
        <v>0</v>
      </c>
      <c r="D875" s="35">
        <f>if(A875&lt;&gt;"", COUNTIFS(Beans!A:A, A875, Beans!C:C, "Bad" ), "")</f>
        <v>0</v>
      </c>
      <c r="E875" s="35">
        <f>if(A875&lt;&gt;"", COUNTIFS(Beans!A:A, A875, Beans!C:C, "Spicy" ), "")</f>
        <v>0</v>
      </c>
    </row>
    <row r="876">
      <c r="A876" s="34">
        <f t="shared" si="2"/>
        <v>45726</v>
      </c>
      <c r="B876" s="35">
        <f>if(A876&lt;&gt;"", COUNTIFS(Beans!A:A, A876), "")</f>
        <v>1</v>
      </c>
      <c r="C876" s="35">
        <f>if(A876&lt;&gt;"", COUNTIFS(Beans!A:A, A876, Beans!C:C, "Good" ), "")</f>
        <v>0</v>
      </c>
      <c r="D876" s="35">
        <f>if(A876&lt;&gt;"", COUNTIFS(Beans!A:A, A876, Beans!C:C, "Bad" ), "")</f>
        <v>1</v>
      </c>
      <c r="E876" s="35">
        <f>if(A876&lt;&gt;"", COUNTIFS(Beans!A:A, A876, Beans!C:C, "Spicy" ), "")</f>
        <v>0</v>
      </c>
    </row>
    <row r="877">
      <c r="A877" s="34">
        <f t="shared" si="2"/>
        <v>45727</v>
      </c>
      <c r="B877" s="35">
        <f>if(A877&lt;&gt;"", COUNTIFS(Beans!A:A, A877), "")</f>
        <v>0</v>
      </c>
      <c r="C877" s="35">
        <f>if(A877&lt;&gt;"", COUNTIFS(Beans!A:A, A877, Beans!C:C, "Good" ), "")</f>
        <v>0</v>
      </c>
      <c r="D877" s="35">
        <f>if(A877&lt;&gt;"", COUNTIFS(Beans!A:A, A877, Beans!C:C, "Bad" ), "")</f>
        <v>0</v>
      </c>
      <c r="E877" s="35">
        <f>if(A877&lt;&gt;"", COUNTIFS(Beans!A:A, A877, Beans!C:C, "Spicy" ), "")</f>
        <v>0</v>
      </c>
    </row>
    <row r="878">
      <c r="A878" s="34">
        <f t="shared" si="2"/>
        <v>45728</v>
      </c>
      <c r="B878" s="35">
        <f>if(A878&lt;&gt;"", COUNTIFS(Beans!A:A, A878), "")</f>
        <v>0</v>
      </c>
      <c r="C878" s="35">
        <f>if(A878&lt;&gt;"", COUNTIFS(Beans!A:A, A878, Beans!C:C, "Good" ), "")</f>
        <v>0</v>
      </c>
      <c r="D878" s="35">
        <f>if(A878&lt;&gt;"", COUNTIFS(Beans!A:A, A878, Beans!C:C, "Bad" ), "")</f>
        <v>0</v>
      </c>
      <c r="E878" s="35">
        <f>if(A878&lt;&gt;"", COUNTIFS(Beans!A:A, A878, Beans!C:C, "Spicy" ), "")</f>
        <v>0</v>
      </c>
    </row>
    <row r="879">
      <c r="A879" s="34">
        <f t="shared" si="2"/>
        <v>45729</v>
      </c>
      <c r="B879" s="35">
        <f>if(A879&lt;&gt;"", COUNTIFS(Beans!A:A, A879), "")</f>
        <v>1</v>
      </c>
      <c r="C879" s="35">
        <f>if(A879&lt;&gt;"", COUNTIFS(Beans!A:A, A879, Beans!C:C, "Good" ), "")</f>
        <v>0</v>
      </c>
      <c r="D879" s="35">
        <f>if(A879&lt;&gt;"", COUNTIFS(Beans!A:A, A879, Beans!C:C, "Bad" ), "")</f>
        <v>1</v>
      </c>
      <c r="E879" s="35">
        <f>if(A879&lt;&gt;"", COUNTIFS(Beans!A:A, A879, Beans!C:C, "Spicy" ), "")</f>
        <v>0</v>
      </c>
    </row>
    <row r="880">
      <c r="A880" s="34">
        <f t="shared" si="2"/>
        <v>45730</v>
      </c>
      <c r="B880" s="35">
        <f>if(A880&lt;&gt;"", COUNTIFS(Beans!A:A, A880), "")</f>
        <v>1</v>
      </c>
      <c r="C880" s="35">
        <f>if(A880&lt;&gt;"", COUNTIFS(Beans!A:A, A880, Beans!C:C, "Good" ), "")</f>
        <v>1</v>
      </c>
      <c r="D880" s="35">
        <f>if(A880&lt;&gt;"", COUNTIFS(Beans!A:A, A880, Beans!C:C, "Bad" ), "")</f>
        <v>0</v>
      </c>
      <c r="E880" s="35">
        <f>if(A880&lt;&gt;"", COUNTIFS(Beans!A:A, A880, Beans!C:C, "Spicy" ), "")</f>
        <v>0</v>
      </c>
    </row>
    <row r="881">
      <c r="A881" s="34">
        <f t="shared" si="2"/>
        <v>45731</v>
      </c>
      <c r="B881" s="35">
        <f>if(A881&lt;&gt;"", COUNTIFS(Beans!A:A, A881), "")</f>
        <v>0</v>
      </c>
      <c r="C881" s="35">
        <f>if(A881&lt;&gt;"", COUNTIFS(Beans!A:A, A881, Beans!C:C, "Good" ), "")</f>
        <v>0</v>
      </c>
      <c r="D881" s="35">
        <f>if(A881&lt;&gt;"", COUNTIFS(Beans!A:A, A881, Beans!C:C, "Bad" ), "")</f>
        <v>0</v>
      </c>
      <c r="E881" s="35">
        <f>if(A881&lt;&gt;"", COUNTIFS(Beans!A:A, A881, Beans!C:C, "Spicy" ), "")</f>
        <v>0</v>
      </c>
    </row>
    <row r="882">
      <c r="A882" s="34">
        <f t="shared" si="2"/>
        <v>45732</v>
      </c>
      <c r="B882" s="35">
        <f>if(A882&lt;&gt;"", COUNTIFS(Beans!A:A, A882), "")</f>
        <v>0</v>
      </c>
      <c r="C882" s="35">
        <f>if(A882&lt;&gt;"", COUNTIFS(Beans!A:A, A882, Beans!C:C, "Good" ), "")</f>
        <v>0</v>
      </c>
      <c r="D882" s="35">
        <f>if(A882&lt;&gt;"", COUNTIFS(Beans!A:A, A882, Beans!C:C, "Bad" ), "")</f>
        <v>0</v>
      </c>
      <c r="E882" s="35">
        <f>if(A882&lt;&gt;"", COUNTIFS(Beans!A:A, A882, Beans!C:C, "Spicy" ), "")</f>
        <v>0</v>
      </c>
    </row>
    <row r="883">
      <c r="A883" s="34">
        <f t="shared" si="2"/>
        <v>45733</v>
      </c>
      <c r="B883" s="35">
        <f>if(A883&lt;&gt;"", COUNTIFS(Beans!A:A, A883), "")</f>
        <v>1</v>
      </c>
      <c r="C883" s="35">
        <f>if(A883&lt;&gt;"", COUNTIFS(Beans!A:A, A883, Beans!C:C, "Good" ), "")</f>
        <v>1</v>
      </c>
      <c r="D883" s="35">
        <f>if(A883&lt;&gt;"", COUNTIFS(Beans!A:A, A883, Beans!C:C, "Bad" ), "")</f>
        <v>0</v>
      </c>
      <c r="E883" s="35">
        <f>if(A883&lt;&gt;"", COUNTIFS(Beans!A:A, A883, Beans!C:C, "Spicy" ), "")</f>
        <v>0</v>
      </c>
    </row>
    <row r="884">
      <c r="A884" s="34">
        <f t="shared" si="2"/>
        <v>45734</v>
      </c>
      <c r="B884" s="35">
        <f>if(A884&lt;&gt;"", COUNTIFS(Beans!A:A, A884), "")</f>
        <v>0</v>
      </c>
      <c r="C884" s="35">
        <f>if(A884&lt;&gt;"", COUNTIFS(Beans!A:A, A884, Beans!C:C, "Good" ), "")</f>
        <v>0</v>
      </c>
      <c r="D884" s="35">
        <f>if(A884&lt;&gt;"", COUNTIFS(Beans!A:A, A884, Beans!C:C, "Bad" ), "")</f>
        <v>0</v>
      </c>
      <c r="E884" s="35">
        <f>if(A884&lt;&gt;"", COUNTIFS(Beans!A:A, A884, Beans!C:C, "Spicy" ), "")</f>
        <v>0</v>
      </c>
    </row>
    <row r="885">
      <c r="A885" s="34">
        <f t="shared" si="2"/>
        <v>45735</v>
      </c>
      <c r="B885" s="35">
        <f>if(A885&lt;&gt;"", COUNTIFS(Beans!A:A, A885), "")</f>
        <v>0</v>
      </c>
      <c r="C885" s="35">
        <f>if(A885&lt;&gt;"", COUNTIFS(Beans!A:A, A885, Beans!C:C, "Good" ), "")</f>
        <v>0</v>
      </c>
      <c r="D885" s="35">
        <f>if(A885&lt;&gt;"", COUNTIFS(Beans!A:A, A885, Beans!C:C, "Bad" ), "")</f>
        <v>0</v>
      </c>
      <c r="E885" s="35">
        <f>if(A885&lt;&gt;"", COUNTIFS(Beans!A:A, A885, Beans!C:C, "Spicy" ), "")</f>
        <v>0</v>
      </c>
    </row>
    <row r="886">
      <c r="A886" s="34">
        <f t="shared" si="2"/>
        <v>45736</v>
      </c>
      <c r="B886" s="35">
        <f>if(A886&lt;&gt;"", COUNTIFS(Beans!A:A, A886), "")</f>
        <v>3</v>
      </c>
      <c r="C886" s="35">
        <f>if(A886&lt;&gt;"", COUNTIFS(Beans!A:A, A886, Beans!C:C, "Good" ), "")</f>
        <v>2</v>
      </c>
      <c r="D886" s="35">
        <f>if(A886&lt;&gt;"", COUNTIFS(Beans!A:A, A886, Beans!C:C, "Bad" ), "")</f>
        <v>1</v>
      </c>
      <c r="E886" s="35">
        <f>if(A886&lt;&gt;"", COUNTIFS(Beans!A:A, A886, Beans!C:C, "Spicy" ), "")</f>
        <v>0</v>
      </c>
    </row>
    <row r="887">
      <c r="A887" s="34">
        <f t="shared" si="2"/>
        <v>45737</v>
      </c>
      <c r="B887" s="35">
        <f>if(A887&lt;&gt;"", COUNTIFS(Beans!A:A, A887), "")</f>
        <v>0</v>
      </c>
      <c r="C887" s="35">
        <f>if(A887&lt;&gt;"", COUNTIFS(Beans!A:A, A887, Beans!C:C, "Good" ), "")</f>
        <v>0</v>
      </c>
      <c r="D887" s="35">
        <f>if(A887&lt;&gt;"", COUNTIFS(Beans!A:A, A887, Beans!C:C, "Bad" ), "")</f>
        <v>0</v>
      </c>
      <c r="E887" s="35">
        <f>if(A887&lt;&gt;"", COUNTIFS(Beans!A:A, A887, Beans!C:C, "Spicy" ), "")</f>
        <v>0</v>
      </c>
    </row>
    <row r="888">
      <c r="A888" s="34">
        <f t="shared" si="2"/>
        <v>45738</v>
      </c>
      <c r="B888" s="35">
        <f>if(A888&lt;&gt;"", COUNTIFS(Beans!A:A, A888), "")</f>
        <v>0</v>
      </c>
      <c r="C888" s="35">
        <f>if(A888&lt;&gt;"", COUNTIFS(Beans!A:A, A888, Beans!C:C, "Good" ), "")</f>
        <v>0</v>
      </c>
      <c r="D888" s="35">
        <f>if(A888&lt;&gt;"", COUNTIFS(Beans!A:A, A888, Beans!C:C, "Bad" ), "")</f>
        <v>0</v>
      </c>
      <c r="E888" s="35">
        <f>if(A888&lt;&gt;"", COUNTIFS(Beans!A:A, A888, Beans!C:C, "Spicy" ), "")</f>
        <v>0</v>
      </c>
    </row>
    <row r="889">
      <c r="A889" s="34">
        <f t="shared" si="2"/>
        <v>45739</v>
      </c>
      <c r="B889" s="35">
        <f>if(A889&lt;&gt;"", COUNTIFS(Beans!A:A, A889), "")</f>
        <v>0</v>
      </c>
      <c r="C889" s="35">
        <f>if(A889&lt;&gt;"", COUNTIFS(Beans!A:A, A889, Beans!C:C, "Good" ), "")</f>
        <v>0</v>
      </c>
      <c r="D889" s="35">
        <f>if(A889&lt;&gt;"", COUNTIFS(Beans!A:A, A889, Beans!C:C, "Bad" ), "")</f>
        <v>0</v>
      </c>
      <c r="E889" s="35">
        <f>if(A889&lt;&gt;"", COUNTIFS(Beans!A:A, A889, Beans!C:C, "Spicy" ), "")</f>
        <v>0</v>
      </c>
    </row>
    <row r="890">
      <c r="A890" s="34">
        <f t="shared" si="2"/>
        <v>45740</v>
      </c>
      <c r="B890" s="35">
        <f>if(A890&lt;&gt;"", COUNTIFS(Beans!A:A, A890), "")</f>
        <v>1</v>
      </c>
      <c r="C890" s="35">
        <f>if(A890&lt;&gt;"", COUNTIFS(Beans!A:A, A890, Beans!C:C, "Good" ), "")</f>
        <v>0</v>
      </c>
      <c r="D890" s="35">
        <f>if(A890&lt;&gt;"", COUNTIFS(Beans!A:A, A890, Beans!C:C, "Bad" ), "")</f>
        <v>1</v>
      </c>
      <c r="E890" s="35">
        <f>if(A890&lt;&gt;"", COUNTIFS(Beans!A:A, A890, Beans!C:C, "Spicy" ), "")</f>
        <v>0</v>
      </c>
    </row>
    <row r="891">
      <c r="A891" s="34">
        <f t="shared" si="2"/>
        <v>45741</v>
      </c>
      <c r="B891" s="35">
        <f>if(A891&lt;&gt;"", COUNTIFS(Beans!A:A, A891), "")</f>
        <v>0</v>
      </c>
      <c r="C891" s="35">
        <f>if(A891&lt;&gt;"", COUNTIFS(Beans!A:A, A891, Beans!C:C, "Good" ), "")</f>
        <v>0</v>
      </c>
      <c r="D891" s="35">
        <f>if(A891&lt;&gt;"", COUNTIFS(Beans!A:A, A891, Beans!C:C, "Bad" ), "")</f>
        <v>0</v>
      </c>
      <c r="E891" s="35">
        <f>if(A891&lt;&gt;"", COUNTIFS(Beans!A:A, A891, Beans!C:C, "Spicy" ), "")</f>
        <v>0</v>
      </c>
    </row>
    <row r="892">
      <c r="A892" s="34">
        <f t="shared" si="2"/>
        <v>45742</v>
      </c>
      <c r="B892" s="35">
        <f>if(A892&lt;&gt;"", COUNTIFS(Beans!A:A, A892), "")</f>
        <v>3</v>
      </c>
      <c r="C892" s="35">
        <f>if(A892&lt;&gt;"", COUNTIFS(Beans!A:A, A892, Beans!C:C, "Good" ), "")</f>
        <v>0</v>
      </c>
      <c r="D892" s="35">
        <f>if(A892&lt;&gt;"", COUNTIFS(Beans!A:A, A892, Beans!C:C, "Bad" ), "")</f>
        <v>3</v>
      </c>
      <c r="E892" s="35">
        <f>if(A892&lt;&gt;"", COUNTIFS(Beans!A:A, A892, Beans!C:C, "Spicy" ), "")</f>
        <v>0</v>
      </c>
    </row>
    <row r="893">
      <c r="A893" s="34">
        <f t="shared" si="2"/>
        <v>45743</v>
      </c>
      <c r="B893" s="35">
        <f>if(A893&lt;&gt;"", COUNTIFS(Beans!A:A, A893), "")</f>
        <v>1</v>
      </c>
      <c r="C893" s="35">
        <f>if(A893&lt;&gt;"", COUNTIFS(Beans!A:A, A893, Beans!C:C, "Good" ), "")</f>
        <v>0</v>
      </c>
      <c r="D893" s="35">
        <f>if(A893&lt;&gt;"", COUNTIFS(Beans!A:A, A893, Beans!C:C, "Bad" ), "")</f>
        <v>1</v>
      </c>
      <c r="E893" s="35">
        <f>if(A893&lt;&gt;"", COUNTIFS(Beans!A:A, A893, Beans!C:C, "Spicy" ), "")</f>
        <v>0</v>
      </c>
    </row>
    <row r="894">
      <c r="A894" s="34">
        <f t="shared" si="2"/>
        <v>45744</v>
      </c>
      <c r="B894" s="35">
        <f>if(A894&lt;&gt;"", COUNTIFS(Beans!A:A, A894), "")</f>
        <v>0</v>
      </c>
      <c r="C894" s="35">
        <f>if(A894&lt;&gt;"", COUNTIFS(Beans!A:A, A894, Beans!C:C, "Good" ), "")</f>
        <v>0</v>
      </c>
      <c r="D894" s="35">
        <f>if(A894&lt;&gt;"", COUNTIFS(Beans!A:A, A894, Beans!C:C, "Bad" ), "")</f>
        <v>0</v>
      </c>
      <c r="E894" s="35">
        <f>if(A894&lt;&gt;"", COUNTIFS(Beans!A:A, A894, Beans!C:C, "Spicy" ), "")</f>
        <v>0</v>
      </c>
    </row>
    <row r="895">
      <c r="A895" s="34">
        <f t="shared" si="2"/>
        <v>45745</v>
      </c>
      <c r="B895" s="35">
        <f>if(A895&lt;&gt;"", COUNTIFS(Beans!A:A, A895), "")</f>
        <v>0</v>
      </c>
      <c r="C895" s="35">
        <f>if(A895&lt;&gt;"", COUNTIFS(Beans!A:A, A895, Beans!C:C, "Good" ), "")</f>
        <v>0</v>
      </c>
      <c r="D895" s="35">
        <f>if(A895&lt;&gt;"", COUNTIFS(Beans!A:A, A895, Beans!C:C, "Bad" ), "")</f>
        <v>0</v>
      </c>
      <c r="E895" s="35">
        <f>if(A895&lt;&gt;"", COUNTIFS(Beans!A:A, A895, Beans!C:C, "Spicy" ), "")</f>
        <v>0</v>
      </c>
    </row>
    <row r="896">
      <c r="A896" s="34">
        <f t="shared" si="2"/>
        <v>45746</v>
      </c>
      <c r="B896" s="35">
        <f>if(A896&lt;&gt;"", COUNTIFS(Beans!A:A, A896), "")</f>
        <v>0</v>
      </c>
      <c r="C896" s="35">
        <f>if(A896&lt;&gt;"", COUNTIFS(Beans!A:A, A896, Beans!C:C, "Good" ), "")</f>
        <v>0</v>
      </c>
      <c r="D896" s="35">
        <f>if(A896&lt;&gt;"", COUNTIFS(Beans!A:A, A896, Beans!C:C, "Bad" ), "")</f>
        <v>0</v>
      </c>
      <c r="E896" s="35">
        <f>if(A896&lt;&gt;"", COUNTIFS(Beans!A:A, A896, Beans!C:C, "Spicy" ), "")</f>
        <v>0</v>
      </c>
    </row>
    <row r="897">
      <c r="A897" s="34">
        <f t="shared" si="2"/>
        <v>45747</v>
      </c>
      <c r="B897" s="35">
        <f>if(A897&lt;&gt;"", COUNTIFS(Beans!A:A, A897), "")</f>
        <v>0</v>
      </c>
      <c r="C897" s="35">
        <f>if(A897&lt;&gt;"", COUNTIFS(Beans!A:A, A897, Beans!C:C, "Good" ), "")</f>
        <v>0</v>
      </c>
      <c r="D897" s="35">
        <f>if(A897&lt;&gt;"", COUNTIFS(Beans!A:A, A897, Beans!C:C, "Bad" ), "")</f>
        <v>0</v>
      </c>
      <c r="E897" s="35">
        <f>if(A897&lt;&gt;"", COUNTIFS(Beans!A:A, A897, Beans!C:C, "Spicy" ), "")</f>
        <v>0</v>
      </c>
    </row>
    <row r="898">
      <c r="A898" s="34">
        <f t="shared" si="2"/>
        <v>45748</v>
      </c>
      <c r="B898" s="35">
        <f>if(A898&lt;&gt;"", COUNTIFS(Beans!A:A, A898), "")</f>
        <v>0</v>
      </c>
      <c r="C898" s="35">
        <f>if(A898&lt;&gt;"", COUNTIFS(Beans!A:A, A898, Beans!C:C, "Good" ), "")</f>
        <v>0</v>
      </c>
      <c r="D898" s="35">
        <f>if(A898&lt;&gt;"", COUNTIFS(Beans!A:A, A898, Beans!C:C, "Bad" ), "")</f>
        <v>0</v>
      </c>
      <c r="E898" s="35">
        <f>if(A898&lt;&gt;"", COUNTIFS(Beans!A:A, A898, Beans!C:C, "Spicy" ), "")</f>
        <v>0</v>
      </c>
    </row>
    <row r="899">
      <c r="A899" s="34">
        <f t="shared" si="2"/>
        <v>45749</v>
      </c>
      <c r="B899" s="35">
        <f>if(A899&lt;&gt;"", COUNTIFS(Beans!A:A, A899), "")</f>
        <v>1</v>
      </c>
      <c r="C899" s="35">
        <f>if(A899&lt;&gt;"", COUNTIFS(Beans!A:A, A899, Beans!C:C, "Good" ), "")</f>
        <v>1</v>
      </c>
      <c r="D899" s="35">
        <f>if(A899&lt;&gt;"", COUNTIFS(Beans!A:A, A899, Beans!C:C, "Bad" ), "")</f>
        <v>0</v>
      </c>
      <c r="E899" s="35">
        <f>if(A899&lt;&gt;"", COUNTIFS(Beans!A:A, A899, Beans!C:C, "Spicy" ), "")</f>
        <v>0</v>
      </c>
    </row>
    <row r="900">
      <c r="A900" s="34">
        <f t="shared" si="2"/>
        <v>45750</v>
      </c>
      <c r="B900" s="35">
        <f>if(A900&lt;&gt;"", COUNTIFS(Beans!A:A, A900), "")</f>
        <v>0</v>
      </c>
      <c r="C900" s="35">
        <f>if(A900&lt;&gt;"", COUNTIFS(Beans!A:A, A900, Beans!C:C, "Good" ), "")</f>
        <v>0</v>
      </c>
      <c r="D900" s="35">
        <f>if(A900&lt;&gt;"", COUNTIFS(Beans!A:A, A900, Beans!C:C, "Bad" ), "")</f>
        <v>0</v>
      </c>
      <c r="E900" s="35">
        <f>if(A900&lt;&gt;"", COUNTIFS(Beans!A:A, A900, Beans!C:C, "Spicy" ), "")</f>
        <v>0</v>
      </c>
    </row>
    <row r="901">
      <c r="A901" s="34">
        <f t="shared" si="2"/>
        <v>45751</v>
      </c>
      <c r="B901" s="35">
        <f>if(A901&lt;&gt;"", COUNTIFS(Beans!A:A, A901), "")</f>
        <v>1</v>
      </c>
      <c r="C901" s="35">
        <f>if(A901&lt;&gt;"", COUNTIFS(Beans!A:A, A901, Beans!C:C, "Good" ), "")</f>
        <v>0</v>
      </c>
      <c r="D901" s="35">
        <f>if(A901&lt;&gt;"", COUNTIFS(Beans!A:A, A901, Beans!C:C, "Bad" ), "")</f>
        <v>1</v>
      </c>
      <c r="E901" s="35">
        <f>if(A901&lt;&gt;"", COUNTIFS(Beans!A:A, A901, Beans!C:C, "Spicy" ), "")</f>
        <v>0</v>
      </c>
    </row>
    <row r="902">
      <c r="A902" s="34">
        <f t="shared" si="2"/>
        <v>45752</v>
      </c>
      <c r="B902" s="35">
        <f>if(A902&lt;&gt;"", COUNTIFS(Beans!A:A, A902), "")</f>
        <v>0</v>
      </c>
      <c r="C902" s="35">
        <f>if(A902&lt;&gt;"", COUNTIFS(Beans!A:A, A902, Beans!C:C, "Good" ), "")</f>
        <v>0</v>
      </c>
      <c r="D902" s="35">
        <f>if(A902&lt;&gt;"", COUNTIFS(Beans!A:A, A902, Beans!C:C, "Bad" ), "")</f>
        <v>0</v>
      </c>
      <c r="E902" s="35">
        <f>if(A902&lt;&gt;"", COUNTIFS(Beans!A:A, A902, Beans!C:C, "Spicy" ), "")</f>
        <v>0</v>
      </c>
    </row>
    <row r="903">
      <c r="A903" s="34">
        <f t="shared" si="2"/>
        <v>45753</v>
      </c>
      <c r="B903" s="35">
        <f>if(A903&lt;&gt;"", COUNTIFS(Beans!A:A, A903), "")</f>
        <v>0</v>
      </c>
      <c r="C903" s="35">
        <f>if(A903&lt;&gt;"", COUNTIFS(Beans!A:A, A903, Beans!C:C, "Good" ), "")</f>
        <v>0</v>
      </c>
      <c r="D903" s="35">
        <f>if(A903&lt;&gt;"", COUNTIFS(Beans!A:A, A903, Beans!C:C, "Bad" ), "")</f>
        <v>0</v>
      </c>
      <c r="E903" s="35">
        <f>if(A903&lt;&gt;"", COUNTIFS(Beans!A:A, A903, Beans!C:C, "Spicy" ), "")</f>
        <v>0</v>
      </c>
    </row>
    <row r="904">
      <c r="A904" s="34">
        <f t="shared" si="2"/>
        <v>45754</v>
      </c>
      <c r="B904" s="35">
        <f>if(A904&lt;&gt;"", COUNTIFS(Beans!A:A, A904), "")</f>
        <v>0</v>
      </c>
      <c r="C904" s="35">
        <f>if(A904&lt;&gt;"", COUNTIFS(Beans!A:A, A904, Beans!C:C, "Good" ), "")</f>
        <v>0</v>
      </c>
      <c r="D904" s="35">
        <f>if(A904&lt;&gt;"", COUNTIFS(Beans!A:A, A904, Beans!C:C, "Bad" ), "")</f>
        <v>0</v>
      </c>
      <c r="E904" s="35">
        <f>if(A904&lt;&gt;"", COUNTIFS(Beans!A:A, A904, Beans!C:C, "Spicy" ), "")</f>
        <v>0</v>
      </c>
    </row>
    <row r="905">
      <c r="A905" s="34">
        <f t="shared" si="2"/>
        <v>45755</v>
      </c>
      <c r="B905" s="35">
        <f>if(A905&lt;&gt;"", COUNTIFS(Beans!A:A, A905), "")</f>
        <v>0</v>
      </c>
      <c r="C905" s="35">
        <f>if(A905&lt;&gt;"", COUNTIFS(Beans!A:A, A905, Beans!C:C, "Good" ), "")</f>
        <v>0</v>
      </c>
      <c r="D905" s="35">
        <f>if(A905&lt;&gt;"", COUNTIFS(Beans!A:A, A905, Beans!C:C, "Bad" ), "")</f>
        <v>0</v>
      </c>
      <c r="E905" s="35">
        <f>if(A905&lt;&gt;"", COUNTIFS(Beans!A:A, A905, Beans!C:C, "Spicy" ), "")</f>
        <v>0</v>
      </c>
    </row>
    <row r="906">
      <c r="A906" s="34">
        <f t="shared" si="2"/>
        <v>45756</v>
      </c>
      <c r="B906" s="35">
        <f>if(A906&lt;&gt;"", COUNTIFS(Beans!A:A, A906), "")</f>
        <v>0</v>
      </c>
      <c r="C906" s="35">
        <f>if(A906&lt;&gt;"", COUNTIFS(Beans!A:A, A906, Beans!C:C, "Good" ), "")</f>
        <v>0</v>
      </c>
      <c r="D906" s="35">
        <f>if(A906&lt;&gt;"", COUNTIFS(Beans!A:A, A906, Beans!C:C, "Bad" ), "")</f>
        <v>0</v>
      </c>
      <c r="E906" s="35">
        <f>if(A906&lt;&gt;"", COUNTIFS(Beans!A:A, A906, Beans!C:C, "Spicy" ), "")</f>
        <v>0</v>
      </c>
    </row>
    <row r="907">
      <c r="A907" s="34">
        <f t="shared" si="2"/>
        <v>45757</v>
      </c>
      <c r="B907" s="35">
        <f>if(A907&lt;&gt;"", COUNTIFS(Beans!A:A, A907), "")</f>
        <v>0</v>
      </c>
      <c r="C907" s="35">
        <f>if(A907&lt;&gt;"", COUNTIFS(Beans!A:A, A907, Beans!C:C, "Good" ), "")</f>
        <v>0</v>
      </c>
      <c r="D907" s="35">
        <f>if(A907&lt;&gt;"", COUNTIFS(Beans!A:A, A907, Beans!C:C, "Bad" ), "")</f>
        <v>0</v>
      </c>
      <c r="E907" s="35">
        <f>if(A907&lt;&gt;"", COUNTIFS(Beans!A:A, A907, Beans!C:C, "Spicy" ), "")</f>
        <v>0</v>
      </c>
    </row>
    <row r="908">
      <c r="A908" s="34">
        <f t="shared" si="2"/>
        <v>45758</v>
      </c>
      <c r="B908" s="35">
        <f>if(A908&lt;&gt;"", COUNTIFS(Beans!A:A, A908), "")</f>
        <v>3</v>
      </c>
      <c r="C908" s="35">
        <f>if(A908&lt;&gt;"", COUNTIFS(Beans!A:A, A908, Beans!C:C, "Good" ), "")</f>
        <v>1</v>
      </c>
      <c r="D908" s="35">
        <f>if(A908&lt;&gt;"", COUNTIFS(Beans!A:A, A908, Beans!C:C, "Bad" ), "")</f>
        <v>2</v>
      </c>
      <c r="E908" s="35">
        <f>if(A908&lt;&gt;"", COUNTIFS(Beans!A:A, A908, Beans!C:C, "Spicy" ), "")</f>
        <v>0</v>
      </c>
    </row>
    <row r="909">
      <c r="A909" s="34">
        <f t="shared" si="2"/>
        <v>45759</v>
      </c>
      <c r="B909" s="35">
        <f>if(A909&lt;&gt;"", COUNTIFS(Beans!A:A, A909), "")</f>
        <v>0</v>
      </c>
      <c r="C909" s="35">
        <f>if(A909&lt;&gt;"", COUNTIFS(Beans!A:A, A909, Beans!C:C, "Good" ), "")</f>
        <v>0</v>
      </c>
      <c r="D909" s="35">
        <f>if(A909&lt;&gt;"", COUNTIFS(Beans!A:A, A909, Beans!C:C, "Bad" ), "")</f>
        <v>0</v>
      </c>
      <c r="E909" s="35">
        <f>if(A909&lt;&gt;"", COUNTIFS(Beans!A:A, A909, Beans!C:C, "Spicy" ), "")</f>
        <v>0</v>
      </c>
    </row>
    <row r="910">
      <c r="A910" s="34">
        <f t="shared" si="2"/>
        <v>45760</v>
      </c>
      <c r="B910" s="35">
        <f>if(A910&lt;&gt;"", COUNTIFS(Beans!A:A, A910), "")</f>
        <v>0</v>
      </c>
      <c r="C910" s="35">
        <f>if(A910&lt;&gt;"", COUNTIFS(Beans!A:A, A910, Beans!C:C, "Good" ), "")</f>
        <v>0</v>
      </c>
      <c r="D910" s="35">
        <f>if(A910&lt;&gt;"", COUNTIFS(Beans!A:A, A910, Beans!C:C, "Bad" ), "")</f>
        <v>0</v>
      </c>
      <c r="E910" s="35">
        <f>if(A910&lt;&gt;"", COUNTIFS(Beans!A:A, A910, Beans!C:C, "Spicy" ), "")</f>
        <v>0</v>
      </c>
    </row>
    <row r="911">
      <c r="A911" s="34">
        <f t="shared" si="2"/>
        <v>45761</v>
      </c>
      <c r="B911" s="35">
        <f>if(A911&lt;&gt;"", COUNTIFS(Beans!A:A, A911), "")</f>
        <v>0</v>
      </c>
      <c r="C911" s="35">
        <f>if(A911&lt;&gt;"", COUNTIFS(Beans!A:A, A911, Beans!C:C, "Good" ), "")</f>
        <v>0</v>
      </c>
      <c r="D911" s="35">
        <f>if(A911&lt;&gt;"", COUNTIFS(Beans!A:A, A911, Beans!C:C, "Bad" ), "")</f>
        <v>0</v>
      </c>
      <c r="E911" s="35">
        <f>if(A911&lt;&gt;"", COUNTIFS(Beans!A:A, A911, Beans!C:C, "Spicy" ), "")</f>
        <v>0</v>
      </c>
    </row>
    <row r="912">
      <c r="A912" s="34">
        <f t="shared" si="2"/>
        <v>45762</v>
      </c>
      <c r="B912" s="35">
        <f>if(A912&lt;&gt;"", COUNTIFS(Beans!A:A, A912), "")</f>
        <v>1</v>
      </c>
      <c r="C912" s="35">
        <f>if(A912&lt;&gt;"", COUNTIFS(Beans!A:A, A912, Beans!C:C, "Good" ), "")</f>
        <v>0</v>
      </c>
      <c r="D912" s="35">
        <f>if(A912&lt;&gt;"", COUNTIFS(Beans!A:A, A912, Beans!C:C, "Bad" ), "")</f>
        <v>1</v>
      </c>
      <c r="E912" s="35">
        <f>if(A912&lt;&gt;"", COUNTIFS(Beans!A:A, A912, Beans!C:C, "Spicy" ), "")</f>
        <v>0</v>
      </c>
    </row>
    <row r="913">
      <c r="A913" s="34">
        <f t="shared" si="2"/>
        <v>45763</v>
      </c>
      <c r="B913" s="35">
        <f>if(A913&lt;&gt;"", COUNTIFS(Beans!A:A, A913), "")</f>
        <v>0</v>
      </c>
      <c r="C913" s="35">
        <f>if(A913&lt;&gt;"", COUNTIFS(Beans!A:A, A913, Beans!C:C, "Good" ), "")</f>
        <v>0</v>
      </c>
      <c r="D913" s="35">
        <f>if(A913&lt;&gt;"", COUNTIFS(Beans!A:A, A913, Beans!C:C, "Bad" ), "")</f>
        <v>0</v>
      </c>
      <c r="E913" s="35">
        <f>if(A913&lt;&gt;"", COUNTIFS(Beans!A:A, A913, Beans!C:C, "Spicy" ), "")</f>
        <v>0</v>
      </c>
    </row>
    <row r="914">
      <c r="A914" s="34">
        <f t="shared" si="2"/>
        <v>45764</v>
      </c>
      <c r="B914" s="35">
        <f>if(A914&lt;&gt;"", COUNTIFS(Beans!A:A, A914), "")</f>
        <v>0</v>
      </c>
      <c r="C914" s="35">
        <f>if(A914&lt;&gt;"", COUNTIFS(Beans!A:A, A914, Beans!C:C, "Good" ), "")</f>
        <v>0</v>
      </c>
      <c r="D914" s="35">
        <f>if(A914&lt;&gt;"", COUNTIFS(Beans!A:A, A914, Beans!C:C, "Bad" ), "")</f>
        <v>0</v>
      </c>
      <c r="E914" s="35">
        <f>if(A914&lt;&gt;"", COUNTIFS(Beans!A:A, A914, Beans!C:C, "Spicy" ), "")</f>
        <v>0</v>
      </c>
    </row>
    <row r="915">
      <c r="A915" s="34">
        <f t="shared" si="2"/>
        <v>45765</v>
      </c>
      <c r="B915" s="35">
        <f>if(A915&lt;&gt;"", COUNTIFS(Beans!A:A, A915), "")</f>
        <v>3</v>
      </c>
      <c r="C915" s="35">
        <f>if(A915&lt;&gt;"", COUNTIFS(Beans!A:A, A915, Beans!C:C, "Good" ), "")</f>
        <v>0</v>
      </c>
      <c r="D915" s="35">
        <f>if(A915&lt;&gt;"", COUNTIFS(Beans!A:A, A915, Beans!C:C, "Bad" ), "")</f>
        <v>3</v>
      </c>
      <c r="E915" s="35">
        <f>if(A915&lt;&gt;"", COUNTIFS(Beans!A:A, A915, Beans!C:C, "Spicy" ), "")</f>
        <v>0</v>
      </c>
    </row>
    <row r="916">
      <c r="A916" s="34">
        <f t="shared" si="2"/>
        <v>45766</v>
      </c>
      <c r="B916" s="35">
        <f>if(A916&lt;&gt;"", COUNTIFS(Beans!A:A, A916), "")</f>
        <v>0</v>
      </c>
      <c r="C916" s="35">
        <f>if(A916&lt;&gt;"", COUNTIFS(Beans!A:A, A916, Beans!C:C, "Good" ), "")</f>
        <v>0</v>
      </c>
      <c r="D916" s="35">
        <f>if(A916&lt;&gt;"", COUNTIFS(Beans!A:A, A916, Beans!C:C, "Bad" ), "")</f>
        <v>0</v>
      </c>
      <c r="E916" s="35">
        <f>if(A916&lt;&gt;"", COUNTIFS(Beans!A:A, A916, Beans!C:C, "Spicy" ), "")</f>
        <v>0</v>
      </c>
    </row>
    <row r="917">
      <c r="A917" s="34">
        <f t="shared" si="2"/>
        <v>45767</v>
      </c>
      <c r="B917" s="35">
        <f>if(A917&lt;&gt;"", COUNTIFS(Beans!A:A, A917), "")</f>
        <v>0</v>
      </c>
      <c r="C917" s="35">
        <f>if(A917&lt;&gt;"", COUNTIFS(Beans!A:A, A917, Beans!C:C, "Good" ), "")</f>
        <v>0</v>
      </c>
      <c r="D917" s="35">
        <f>if(A917&lt;&gt;"", COUNTIFS(Beans!A:A, A917, Beans!C:C, "Bad" ), "")</f>
        <v>0</v>
      </c>
      <c r="E917" s="35">
        <f>if(A917&lt;&gt;"", COUNTIFS(Beans!A:A, A917, Beans!C:C, "Spicy" ), "")</f>
        <v>0</v>
      </c>
    </row>
    <row r="918">
      <c r="A918" s="34">
        <f t="shared" si="2"/>
        <v>45768</v>
      </c>
      <c r="B918" s="35">
        <f>if(A918&lt;&gt;"", COUNTIFS(Beans!A:A, A918), "")</f>
        <v>1</v>
      </c>
      <c r="C918" s="35">
        <f>if(A918&lt;&gt;"", COUNTIFS(Beans!A:A, A918, Beans!C:C, "Good" ), "")</f>
        <v>0</v>
      </c>
      <c r="D918" s="35">
        <f>if(A918&lt;&gt;"", COUNTIFS(Beans!A:A, A918, Beans!C:C, "Bad" ), "")</f>
        <v>1</v>
      </c>
      <c r="E918" s="35">
        <f>if(A918&lt;&gt;"", COUNTIFS(Beans!A:A, A918, Beans!C:C, "Spicy" ), "")</f>
        <v>0</v>
      </c>
    </row>
    <row r="919">
      <c r="A919" s="34">
        <f t="shared" si="2"/>
        <v>45769</v>
      </c>
      <c r="B919" s="35">
        <f>if(A919&lt;&gt;"", COUNTIFS(Beans!A:A, A919), "")</f>
        <v>0</v>
      </c>
      <c r="C919" s="35">
        <f>if(A919&lt;&gt;"", COUNTIFS(Beans!A:A, A919, Beans!C:C, "Good" ), "")</f>
        <v>0</v>
      </c>
      <c r="D919" s="35">
        <f>if(A919&lt;&gt;"", COUNTIFS(Beans!A:A, A919, Beans!C:C, "Bad" ), "")</f>
        <v>0</v>
      </c>
      <c r="E919" s="35">
        <f>if(A919&lt;&gt;"", COUNTIFS(Beans!A:A, A919, Beans!C:C, "Spicy" ), "")</f>
        <v>0</v>
      </c>
    </row>
    <row r="920">
      <c r="A920" s="34">
        <f t="shared" si="2"/>
        <v>45770</v>
      </c>
      <c r="B920" s="35">
        <f>if(A920&lt;&gt;"", COUNTIFS(Beans!A:A, A920), "")</f>
        <v>1</v>
      </c>
      <c r="C920" s="35">
        <f>if(A920&lt;&gt;"", COUNTIFS(Beans!A:A, A920, Beans!C:C, "Good" ), "")</f>
        <v>0</v>
      </c>
      <c r="D920" s="35">
        <f>if(A920&lt;&gt;"", COUNTIFS(Beans!A:A, A920, Beans!C:C, "Bad" ), "")</f>
        <v>1</v>
      </c>
      <c r="E920" s="35">
        <f>if(A920&lt;&gt;"", COUNTIFS(Beans!A:A, A920, Beans!C:C, "Spicy" ), "")</f>
        <v>0</v>
      </c>
    </row>
    <row r="921">
      <c r="A921" s="34">
        <f t="shared" si="2"/>
        <v>45771</v>
      </c>
      <c r="B921" s="35">
        <f>if(A921&lt;&gt;"", COUNTIFS(Beans!A:A, A921), "")</f>
        <v>3</v>
      </c>
      <c r="C921" s="35">
        <f>if(A921&lt;&gt;"", COUNTIFS(Beans!A:A, A921, Beans!C:C, "Good" ), "")</f>
        <v>1</v>
      </c>
      <c r="D921" s="35">
        <f>if(A921&lt;&gt;"", COUNTIFS(Beans!A:A, A921, Beans!C:C, "Bad" ), "")</f>
        <v>2</v>
      </c>
      <c r="E921" s="35">
        <f>if(A921&lt;&gt;"", COUNTIFS(Beans!A:A, A921, Beans!C:C, "Spicy" ), "")</f>
        <v>0</v>
      </c>
    </row>
    <row r="922">
      <c r="A922" s="34">
        <f t="shared" si="2"/>
        <v>45772</v>
      </c>
      <c r="B922" s="35">
        <f>if(A922&lt;&gt;"", COUNTIFS(Beans!A:A, A922), "")</f>
        <v>0</v>
      </c>
      <c r="C922" s="35">
        <f>if(A922&lt;&gt;"", COUNTIFS(Beans!A:A, A922, Beans!C:C, "Good" ), "")</f>
        <v>0</v>
      </c>
      <c r="D922" s="35">
        <f>if(A922&lt;&gt;"", COUNTIFS(Beans!A:A, A922, Beans!C:C, "Bad" ), "")</f>
        <v>0</v>
      </c>
      <c r="E922" s="35">
        <f>if(A922&lt;&gt;"", COUNTIFS(Beans!A:A, A922, Beans!C:C, "Spicy" ), "")</f>
        <v>0</v>
      </c>
    </row>
    <row r="923">
      <c r="A923" s="34">
        <f t="shared" si="2"/>
        <v>45773</v>
      </c>
      <c r="B923" s="35">
        <f>if(A923&lt;&gt;"", COUNTIFS(Beans!A:A, A923), "")</f>
        <v>0</v>
      </c>
      <c r="C923" s="35">
        <f>if(A923&lt;&gt;"", COUNTIFS(Beans!A:A, A923, Beans!C:C, "Good" ), "")</f>
        <v>0</v>
      </c>
      <c r="D923" s="35">
        <f>if(A923&lt;&gt;"", COUNTIFS(Beans!A:A, A923, Beans!C:C, "Bad" ), "")</f>
        <v>0</v>
      </c>
      <c r="E923" s="35">
        <f>if(A923&lt;&gt;"", COUNTIFS(Beans!A:A, A923, Beans!C:C, "Spicy" ), "")</f>
        <v>0</v>
      </c>
    </row>
    <row r="924">
      <c r="A924" s="34">
        <f t="shared" si="2"/>
        <v>45774</v>
      </c>
      <c r="B924" s="35">
        <f>if(A924&lt;&gt;"", COUNTIFS(Beans!A:A, A924), "")</f>
        <v>0</v>
      </c>
      <c r="C924" s="35">
        <f>if(A924&lt;&gt;"", COUNTIFS(Beans!A:A, A924, Beans!C:C, "Good" ), "")</f>
        <v>0</v>
      </c>
      <c r="D924" s="35">
        <f>if(A924&lt;&gt;"", COUNTIFS(Beans!A:A, A924, Beans!C:C, "Bad" ), "")</f>
        <v>0</v>
      </c>
      <c r="E924" s="35">
        <f>if(A924&lt;&gt;"", COUNTIFS(Beans!A:A, A924, Beans!C:C, "Spicy" ), "")</f>
        <v>0</v>
      </c>
    </row>
    <row r="925">
      <c r="A925" s="34">
        <f t="shared" si="2"/>
        <v>45775</v>
      </c>
      <c r="B925" s="35">
        <f>if(A925&lt;&gt;"", COUNTIFS(Beans!A:A, A925), "")</f>
        <v>2</v>
      </c>
      <c r="C925" s="35">
        <f>if(A925&lt;&gt;"", COUNTIFS(Beans!A:A, A925, Beans!C:C, "Good" ), "")</f>
        <v>1</v>
      </c>
      <c r="D925" s="35">
        <f>if(A925&lt;&gt;"", COUNTIFS(Beans!A:A, A925, Beans!C:C, "Bad" ), "")</f>
        <v>1</v>
      </c>
      <c r="E925" s="35">
        <f>if(A925&lt;&gt;"", COUNTIFS(Beans!A:A, A925, Beans!C:C, "Spicy" ), "")</f>
        <v>0</v>
      </c>
    </row>
    <row r="926">
      <c r="A926" s="34">
        <f t="shared" si="2"/>
        <v>45776</v>
      </c>
      <c r="B926" s="35">
        <f>if(A926&lt;&gt;"", COUNTIFS(Beans!A:A, A926), "")</f>
        <v>2</v>
      </c>
      <c r="C926" s="35">
        <f>if(A926&lt;&gt;"", COUNTIFS(Beans!A:A, A926, Beans!C:C, "Good" ), "")</f>
        <v>0</v>
      </c>
      <c r="D926" s="35">
        <f>if(A926&lt;&gt;"", COUNTIFS(Beans!A:A, A926, Beans!C:C, "Bad" ), "")</f>
        <v>2</v>
      </c>
      <c r="E926" s="35">
        <f>if(A926&lt;&gt;"", COUNTIFS(Beans!A:A, A926, Beans!C:C, "Spicy" ), "")</f>
        <v>0</v>
      </c>
    </row>
    <row r="927">
      <c r="A927" s="34">
        <f t="shared" si="2"/>
        <v>45777</v>
      </c>
      <c r="B927" s="35">
        <f>if(A927&lt;&gt;"", COUNTIFS(Beans!A:A, A927), "")</f>
        <v>0</v>
      </c>
      <c r="C927" s="35">
        <f>if(A927&lt;&gt;"", COUNTIFS(Beans!A:A, A927, Beans!C:C, "Good" ), "")</f>
        <v>0</v>
      </c>
      <c r="D927" s="35">
        <f>if(A927&lt;&gt;"", COUNTIFS(Beans!A:A, A927, Beans!C:C, "Bad" ), "")</f>
        <v>0</v>
      </c>
      <c r="E927" s="35">
        <f>if(A927&lt;&gt;"", COUNTIFS(Beans!A:A, A927, Beans!C:C, "Spicy" ), "")</f>
        <v>0</v>
      </c>
    </row>
    <row r="928">
      <c r="A928" s="34">
        <f t="shared" si="2"/>
        <v>45778</v>
      </c>
      <c r="B928" s="35">
        <f>if(A928&lt;&gt;"", COUNTIFS(Beans!A:A, A928), "")</f>
        <v>0</v>
      </c>
      <c r="C928" s="35">
        <f>if(A928&lt;&gt;"", COUNTIFS(Beans!A:A, A928, Beans!C:C, "Good" ), "")</f>
        <v>0</v>
      </c>
      <c r="D928" s="35">
        <f>if(A928&lt;&gt;"", COUNTIFS(Beans!A:A, A928, Beans!C:C, "Bad" ), "")</f>
        <v>0</v>
      </c>
      <c r="E928" s="35">
        <f>if(A928&lt;&gt;"", COUNTIFS(Beans!A:A, A928, Beans!C:C, "Spicy" ), "")</f>
        <v>0</v>
      </c>
    </row>
    <row r="929">
      <c r="A929" s="34">
        <f t="shared" si="2"/>
        <v>45779</v>
      </c>
      <c r="B929" s="35">
        <f>if(A929&lt;&gt;"", COUNTIFS(Beans!A:A, A929), "")</f>
        <v>1</v>
      </c>
      <c r="C929" s="35">
        <f>if(A929&lt;&gt;"", COUNTIFS(Beans!A:A, A929, Beans!C:C, "Good" ), "")</f>
        <v>0</v>
      </c>
      <c r="D929" s="35">
        <f>if(A929&lt;&gt;"", COUNTIFS(Beans!A:A, A929, Beans!C:C, "Bad" ), "")</f>
        <v>1</v>
      </c>
      <c r="E929" s="35">
        <f>if(A929&lt;&gt;"", COUNTIFS(Beans!A:A, A929, Beans!C:C, "Spicy" ), "")</f>
        <v>0</v>
      </c>
    </row>
    <row r="930">
      <c r="A930" s="34">
        <f t="shared" si="2"/>
        <v>45780</v>
      </c>
      <c r="B930" s="35">
        <f>if(A930&lt;&gt;"", COUNTIFS(Beans!A:A, A930), "")</f>
        <v>0</v>
      </c>
      <c r="C930" s="35">
        <f>if(A930&lt;&gt;"", COUNTIFS(Beans!A:A, A930, Beans!C:C, "Good" ), "")</f>
        <v>0</v>
      </c>
      <c r="D930" s="35">
        <f>if(A930&lt;&gt;"", COUNTIFS(Beans!A:A, A930, Beans!C:C, "Bad" ), "")</f>
        <v>0</v>
      </c>
      <c r="E930" s="35">
        <f>if(A930&lt;&gt;"", COUNTIFS(Beans!A:A, A930, Beans!C:C, "Spicy" ), "")</f>
        <v>0</v>
      </c>
    </row>
    <row r="931">
      <c r="A931" s="34">
        <f t="shared" si="2"/>
        <v>45781</v>
      </c>
      <c r="B931" s="35">
        <f>if(A931&lt;&gt;"", COUNTIFS(Beans!A:A, A931), "")</f>
        <v>0</v>
      </c>
      <c r="C931" s="35">
        <f>if(A931&lt;&gt;"", COUNTIFS(Beans!A:A, A931, Beans!C:C, "Good" ), "")</f>
        <v>0</v>
      </c>
      <c r="D931" s="35">
        <f>if(A931&lt;&gt;"", COUNTIFS(Beans!A:A, A931, Beans!C:C, "Bad" ), "")</f>
        <v>0</v>
      </c>
      <c r="E931" s="35">
        <f>if(A931&lt;&gt;"", COUNTIFS(Beans!A:A, A931, Beans!C:C, "Spicy" ), "")</f>
        <v>0</v>
      </c>
    </row>
    <row r="932">
      <c r="A932" s="34">
        <f t="shared" si="2"/>
        <v>45782</v>
      </c>
      <c r="B932" s="35">
        <f>if(A932&lt;&gt;"", COUNTIFS(Beans!A:A, A932), "")</f>
        <v>1</v>
      </c>
      <c r="C932" s="35">
        <f>if(A932&lt;&gt;"", COUNTIFS(Beans!A:A, A932, Beans!C:C, "Good" ), "")</f>
        <v>0</v>
      </c>
      <c r="D932" s="35">
        <f>if(A932&lt;&gt;"", COUNTIFS(Beans!A:A, A932, Beans!C:C, "Bad" ), "")</f>
        <v>1</v>
      </c>
      <c r="E932" s="35">
        <f>if(A932&lt;&gt;"", COUNTIFS(Beans!A:A, A932, Beans!C:C, "Spicy" ), "")</f>
        <v>0</v>
      </c>
    </row>
    <row r="933">
      <c r="A933" s="34">
        <f t="shared" si="2"/>
        <v>45783</v>
      </c>
      <c r="B933" s="35">
        <f>if(A933&lt;&gt;"", COUNTIFS(Beans!A:A, A933), "")</f>
        <v>0</v>
      </c>
      <c r="C933" s="35">
        <f>if(A933&lt;&gt;"", COUNTIFS(Beans!A:A, A933, Beans!C:C, "Good" ), "")</f>
        <v>0</v>
      </c>
      <c r="D933" s="35">
        <f>if(A933&lt;&gt;"", COUNTIFS(Beans!A:A, A933, Beans!C:C, "Bad" ), "")</f>
        <v>0</v>
      </c>
      <c r="E933" s="35">
        <f>if(A933&lt;&gt;"", COUNTIFS(Beans!A:A, A933, Beans!C:C, "Spicy" ), "")</f>
        <v>0</v>
      </c>
    </row>
    <row r="934">
      <c r="A934" s="34">
        <f t="shared" si="2"/>
        <v>45784</v>
      </c>
      <c r="B934" s="35">
        <f>if(A934&lt;&gt;"", COUNTIFS(Beans!A:A, A934), "")</f>
        <v>0</v>
      </c>
      <c r="C934" s="35">
        <f>if(A934&lt;&gt;"", COUNTIFS(Beans!A:A, A934, Beans!C:C, "Good" ), "")</f>
        <v>0</v>
      </c>
      <c r="D934" s="35">
        <f>if(A934&lt;&gt;"", COUNTIFS(Beans!A:A, A934, Beans!C:C, "Bad" ), "")</f>
        <v>0</v>
      </c>
      <c r="E934" s="35">
        <f>if(A934&lt;&gt;"", COUNTIFS(Beans!A:A, A934, Beans!C:C, "Spicy" ), "")</f>
        <v>0</v>
      </c>
    </row>
    <row r="935">
      <c r="A935" s="34">
        <f t="shared" si="2"/>
        <v>45785</v>
      </c>
      <c r="B935" s="35">
        <f>if(A935&lt;&gt;"", COUNTIFS(Beans!A:A, A935), "")</f>
        <v>0</v>
      </c>
      <c r="C935" s="35">
        <f>if(A935&lt;&gt;"", COUNTIFS(Beans!A:A, A935, Beans!C:C, "Good" ), "")</f>
        <v>0</v>
      </c>
      <c r="D935" s="35">
        <f>if(A935&lt;&gt;"", COUNTIFS(Beans!A:A, A935, Beans!C:C, "Bad" ), "")</f>
        <v>0</v>
      </c>
      <c r="E935" s="35">
        <f>if(A935&lt;&gt;"", COUNTIFS(Beans!A:A, A935, Beans!C:C, "Spicy" ), "")</f>
        <v>0</v>
      </c>
    </row>
    <row r="936">
      <c r="A936" s="34">
        <f t="shared" si="2"/>
        <v>45786</v>
      </c>
      <c r="B936" s="35">
        <f>if(A936&lt;&gt;"", COUNTIFS(Beans!A:A, A936), "")</f>
        <v>0</v>
      </c>
      <c r="C936" s="35">
        <f>if(A936&lt;&gt;"", COUNTIFS(Beans!A:A, A936, Beans!C:C, "Good" ), "")</f>
        <v>0</v>
      </c>
      <c r="D936" s="35">
        <f>if(A936&lt;&gt;"", COUNTIFS(Beans!A:A, A936, Beans!C:C, "Bad" ), "")</f>
        <v>0</v>
      </c>
      <c r="E936" s="35">
        <f>if(A936&lt;&gt;"", COUNTIFS(Beans!A:A, A936, Beans!C:C, "Spicy" ), "")</f>
        <v>0</v>
      </c>
    </row>
    <row r="937">
      <c r="A937" s="34">
        <f t="shared" si="2"/>
        <v>45787</v>
      </c>
      <c r="B937" s="35">
        <f>if(A937&lt;&gt;"", COUNTIFS(Beans!A:A, A937), "")</f>
        <v>0</v>
      </c>
      <c r="C937" s="35">
        <f>if(A937&lt;&gt;"", COUNTIFS(Beans!A:A, A937, Beans!C:C, "Good" ), "")</f>
        <v>0</v>
      </c>
      <c r="D937" s="35">
        <f>if(A937&lt;&gt;"", COUNTIFS(Beans!A:A, A937, Beans!C:C, "Bad" ), "")</f>
        <v>0</v>
      </c>
      <c r="E937" s="35">
        <f>if(A937&lt;&gt;"", COUNTIFS(Beans!A:A, A937, Beans!C:C, "Spicy" ), "")</f>
        <v>0</v>
      </c>
    </row>
    <row r="938">
      <c r="A938" s="34">
        <f t="shared" si="2"/>
        <v>45788</v>
      </c>
      <c r="B938" s="35">
        <f>if(A938&lt;&gt;"", COUNTIFS(Beans!A:A, A938), "")</f>
        <v>0</v>
      </c>
      <c r="C938" s="35">
        <f>if(A938&lt;&gt;"", COUNTIFS(Beans!A:A, A938, Beans!C:C, "Good" ), "")</f>
        <v>0</v>
      </c>
      <c r="D938" s="35">
        <f>if(A938&lt;&gt;"", COUNTIFS(Beans!A:A, A938, Beans!C:C, "Bad" ), "")</f>
        <v>0</v>
      </c>
      <c r="E938" s="35">
        <f>if(A938&lt;&gt;"", COUNTIFS(Beans!A:A, A938, Beans!C:C, "Spicy" ), "")</f>
        <v>0</v>
      </c>
    </row>
    <row r="939">
      <c r="A939" s="34">
        <f t="shared" si="2"/>
        <v>45789</v>
      </c>
      <c r="B939" s="35">
        <f>if(A939&lt;&gt;"", COUNTIFS(Beans!A:A, A939), "")</f>
        <v>1</v>
      </c>
      <c r="C939" s="35">
        <f>if(A939&lt;&gt;"", COUNTIFS(Beans!A:A, A939, Beans!C:C, "Good" ), "")</f>
        <v>0</v>
      </c>
      <c r="D939" s="35">
        <f>if(A939&lt;&gt;"", COUNTIFS(Beans!A:A, A939, Beans!C:C, "Bad" ), "")</f>
        <v>1</v>
      </c>
      <c r="E939" s="35">
        <f>if(A939&lt;&gt;"", COUNTIFS(Beans!A:A, A939, Beans!C:C, "Spicy" ), "")</f>
        <v>0</v>
      </c>
    </row>
    <row r="940">
      <c r="A940" s="34">
        <f t="shared" si="2"/>
        <v>45790</v>
      </c>
      <c r="B940" s="35">
        <f>if(A940&lt;&gt;"", COUNTIFS(Beans!A:A, A940), "")</f>
        <v>0</v>
      </c>
      <c r="C940" s="35">
        <f>if(A940&lt;&gt;"", COUNTIFS(Beans!A:A, A940, Beans!C:C, "Good" ), "")</f>
        <v>0</v>
      </c>
      <c r="D940" s="35">
        <f>if(A940&lt;&gt;"", COUNTIFS(Beans!A:A, A940, Beans!C:C, "Bad" ), "")</f>
        <v>0</v>
      </c>
      <c r="E940" s="35">
        <f>if(A940&lt;&gt;"", COUNTIFS(Beans!A:A, A940, Beans!C:C, "Spicy" ), "")</f>
        <v>0</v>
      </c>
    </row>
    <row r="941">
      <c r="A941" s="34">
        <f t="shared" si="2"/>
        <v>45791</v>
      </c>
      <c r="B941" s="35">
        <f>if(A941&lt;&gt;"", COUNTIFS(Beans!A:A, A941), "")</f>
        <v>1</v>
      </c>
      <c r="C941" s="35">
        <f>if(A941&lt;&gt;"", COUNTIFS(Beans!A:A, A941, Beans!C:C, "Good" ), "")</f>
        <v>1</v>
      </c>
      <c r="D941" s="35">
        <f>if(A941&lt;&gt;"", COUNTIFS(Beans!A:A, A941, Beans!C:C, "Bad" ), "")</f>
        <v>0</v>
      </c>
      <c r="E941" s="35">
        <f>if(A941&lt;&gt;"", COUNTIFS(Beans!A:A, A941, Beans!C:C, "Spicy" ), "")</f>
        <v>0</v>
      </c>
    </row>
    <row r="942">
      <c r="A942" s="34">
        <f t="shared" si="2"/>
        <v>45792</v>
      </c>
      <c r="B942" s="35">
        <f>if(A942&lt;&gt;"", COUNTIFS(Beans!A:A, A942), "")</f>
        <v>1</v>
      </c>
      <c r="C942" s="35">
        <f>if(A942&lt;&gt;"", COUNTIFS(Beans!A:A, A942, Beans!C:C, "Good" ), "")</f>
        <v>0</v>
      </c>
      <c r="D942" s="35">
        <f>if(A942&lt;&gt;"", COUNTIFS(Beans!A:A, A942, Beans!C:C, "Bad" ), "")</f>
        <v>1</v>
      </c>
      <c r="E942" s="35">
        <f>if(A942&lt;&gt;"", COUNTIFS(Beans!A:A, A942, Beans!C:C, "Spicy" ), "")</f>
        <v>0</v>
      </c>
    </row>
    <row r="943">
      <c r="A943" s="34">
        <f t="shared" si="2"/>
        <v>45793</v>
      </c>
      <c r="B943" s="35">
        <f>if(A943&lt;&gt;"", COUNTIFS(Beans!A:A, A943), "")</f>
        <v>0</v>
      </c>
      <c r="C943" s="35">
        <f>if(A943&lt;&gt;"", COUNTIFS(Beans!A:A, A943, Beans!C:C, "Good" ), "")</f>
        <v>0</v>
      </c>
      <c r="D943" s="35">
        <f>if(A943&lt;&gt;"", COUNTIFS(Beans!A:A, A943, Beans!C:C, "Bad" ), "")</f>
        <v>0</v>
      </c>
      <c r="E943" s="35">
        <f>if(A943&lt;&gt;"", COUNTIFS(Beans!A:A, A943, Beans!C:C, "Spicy" ), "")</f>
        <v>0</v>
      </c>
    </row>
    <row r="944">
      <c r="A944" s="34">
        <f t="shared" si="2"/>
        <v>45794</v>
      </c>
      <c r="B944" s="35">
        <f>if(A944&lt;&gt;"", COUNTIFS(Beans!A:A, A944), "")</f>
        <v>0</v>
      </c>
      <c r="C944" s="35">
        <f>if(A944&lt;&gt;"", COUNTIFS(Beans!A:A, A944, Beans!C:C, "Good" ), "")</f>
        <v>0</v>
      </c>
      <c r="D944" s="35">
        <f>if(A944&lt;&gt;"", COUNTIFS(Beans!A:A, A944, Beans!C:C, "Bad" ), "")</f>
        <v>0</v>
      </c>
      <c r="E944" s="35">
        <f>if(A944&lt;&gt;"", COUNTIFS(Beans!A:A, A944, Beans!C:C, "Spicy" ), "")</f>
        <v>0</v>
      </c>
    </row>
    <row r="945">
      <c r="A945" s="34">
        <f t="shared" si="2"/>
        <v>45795</v>
      </c>
      <c r="B945" s="35">
        <f>if(A945&lt;&gt;"", COUNTIFS(Beans!A:A, A945), "")</f>
        <v>0</v>
      </c>
      <c r="C945" s="35">
        <f>if(A945&lt;&gt;"", COUNTIFS(Beans!A:A, A945, Beans!C:C, "Good" ), "")</f>
        <v>0</v>
      </c>
      <c r="D945" s="35">
        <f>if(A945&lt;&gt;"", COUNTIFS(Beans!A:A, A945, Beans!C:C, "Bad" ), "")</f>
        <v>0</v>
      </c>
      <c r="E945" s="35">
        <f>if(A945&lt;&gt;"", COUNTIFS(Beans!A:A, A945, Beans!C:C, "Spicy" ), "")</f>
        <v>0</v>
      </c>
    </row>
    <row r="946">
      <c r="A946" s="34">
        <f t="shared" si="2"/>
        <v>45796</v>
      </c>
      <c r="B946" s="35">
        <f>if(A946&lt;&gt;"", COUNTIFS(Beans!A:A, A946), "")</f>
        <v>0</v>
      </c>
      <c r="C946" s="35">
        <f>if(A946&lt;&gt;"", COUNTIFS(Beans!A:A, A946, Beans!C:C, "Good" ), "")</f>
        <v>0</v>
      </c>
      <c r="D946" s="35">
        <f>if(A946&lt;&gt;"", COUNTIFS(Beans!A:A, A946, Beans!C:C, "Bad" ), "")</f>
        <v>0</v>
      </c>
      <c r="E946" s="35">
        <f>if(A946&lt;&gt;"", COUNTIFS(Beans!A:A, A946, Beans!C:C, "Spicy" ), "")</f>
        <v>0</v>
      </c>
    </row>
    <row r="947">
      <c r="A947" s="34">
        <f t="shared" si="2"/>
        <v>45797</v>
      </c>
      <c r="B947" s="35">
        <f>if(A947&lt;&gt;"", COUNTIFS(Beans!A:A, A947), "")</f>
        <v>0</v>
      </c>
      <c r="C947" s="35">
        <f>if(A947&lt;&gt;"", COUNTIFS(Beans!A:A, A947, Beans!C:C, "Good" ), "")</f>
        <v>0</v>
      </c>
      <c r="D947" s="35">
        <f>if(A947&lt;&gt;"", COUNTIFS(Beans!A:A, A947, Beans!C:C, "Bad" ), "")</f>
        <v>0</v>
      </c>
      <c r="E947" s="35">
        <f>if(A947&lt;&gt;"", COUNTIFS(Beans!A:A, A947, Beans!C:C, "Spicy" ), "")</f>
        <v>0</v>
      </c>
    </row>
    <row r="948">
      <c r="A948" s="34">
        <f t="shared" si="2"/>
        <v>45798</v>
      </c>
      <c r="B948" s="35">
        <f>if(A948&lt;&gt;"", COUNTIFS(Beans!A:A, A948), "")</f>
        <v>3</v>
      </c>
      <c r="C948" s="35">
        <f>if(A948&lt;&gt;"", COUNTIFS(Beans!A:A, A948, Beans!C:C, "Good" ), "")</f>
        <v>1</v>
      </c>
      <c r="D948" s="35">
        <f>if(A948&lt;&gt;"", COUNTIFS(Beans!A:A, A948, Beans!C:C, "Bad" ), "")</f>
        <v>2</v>
      </c>
      <c r="E948" s="35">
        <f>if(A948&lt;&gt;"", COUNTIFS(Beans!A:A, A948, Beans!C:C, "Spicy" ), "")</f>
        <v>0</v>
      </c>
    </row>
    <row r="949">
      <c r="A949" s="34">
        <f t="shared" si="2"/>
        <v>45799</v>
      </c>
      <c r="B949" s="35">
        <f>if(A949&lt;&gt;"", COUNTIFS(Beans!A:A, A949), "")</f>
        <v>2</v>
      </c>
      <c r="C949" s="35">
        <f>if(A949&lt;&gt;"", COUNTIFS(Beans!A:A, A949, Beans!C:C, "Good" ), "")</f>
        <v>1</v>
      </c>
      <c r="D949" s="35">
        <f>if(A949&lt;&gt;"", COUNTIFS(Beans!A:A, A949, Beans!C:C, "Bad" ), "")</f>
        <v>1</v>
      </c>
      <c r="E949" s="35">
        <f>if(A949&lt;&gt;"", COUNTIFS(Beans!A:A, A949, Beans!C:C, "Spicy" ), "")</f>
        <v>0</v>
      </c>
    </row>
    <row r="950">
      <c r="A950" s="34">
        <f t="shared" si="2"/>
        <v>45800</v>
      </c>
      <c r="B950" s="35">
        <f>if(A950&lt;&gt;"", COUNTIFS(Beans!A:A, A950), "")</f>
        <v>0</v>
      </c>
      <c r="C950" s="35">
        <f>if(A950&lt;&gt;"", COUNTIFS(Beans!A:A, A950, Beans!C:C, "Good" ), "")</f>
        <v>0</v>
      </c>
      <c r="D950" s="35">
        <f>if(A950&lt;&gt;"", COUNTIFS(Beans!A:A, A950, Beans!C:C, "Bad" ), "")</f>
        <v>0</v>
      </c>
      <c r="E950" s="35">
        <f>if(A950&lt;&gt;"", COUNTIFS(Beans!A:A, A950, Beans!C:C, "Spicy" ), "")</f>
        <v>0</v>
      </c>
    </row>
    <row r="951">
      <c r="A951" s="34">
        <f t="shared" si="2"/>
        <v>45801</v>
      </c>
      <c r="B951" s="35">
        <f>if(A951&lt;&gt;"", COUNTIFS(Beans!A:A, A951), "")</f>
        <v>0</v>
      </c>
      <c r="C951" s="35">
        <f>if(A951&lt;&gt;"", COUNTIFS(Beans!A:A, A951, Beans!C:C, "Good" ), "")</f>
        <v>0</v>
      </c>
      <c r="D951" s="35">
        <f>if(A951&lt;&gt;"", COUNTIFS(Beans!A:A, A951, Beans!C:C, "Bad" ), "")</f>
        <v>0</v>
      </c>
      <c r="E951" s="35">
        <f>if(A951&lt;&gt;"", COUNTIFS(Beans!A:A, A951, Beans!C:C, "Spicy" ), "")</f>
        <v>0</v>
      </c>
    </row>
    <row r="952">
      <c r="A952" s="34">
        <f t="shared" si="2"/>
        <v>45802</v>
      </c>
      <c r="B952" s="35">
        <f>if(A952&lt;&gt;"", COUNTIFS(Beans!A:A, A952), "")</f>
        <v>0</v>
      </c>
      <c r="C952" s="35">
        <f>if(A952&lt;&gt;"", COUNTIFS(Beans!A:A, A952, Beans!C:C, "Good" ), "")</f>
        <v>0</v>
      </c>
      <c r="D952" s="35">
        <f>if(A952&lt;&gt;"", COUNTIFS(Beans!A:A, A952, Beans!C:C, "Bad" ), "")</f>
        <v>0</v>
      </c>
      <c r="E952" s="35">
        <f>if(A952&lt;&gt;"", COUNTIFS(Beans!A:A, A952, Beans!C:C, "Spicy" ), "")</f>
        <v>0</v>
      </c>
    </row>
    <row r="953">
      <c r="A953" s="34">
        <f t="shared" si="2"/>
        <v>45803</v>
      </c>
      <c r="B953" s="35">
        <f>if(A953&lt;&gt;"", COUNTIFS(Beans!A:A, A953), "")</f>
        <v>3</v>
      </c>
      <c r="C953" s="35">
        <f>if(A953&lt;&gt;"", COUNTIFS(Beans!A:A, A953, Beans!C:C, "Good" ), "")</f>
        <v>1</v>
      </c>
      <c r="D953" s="35">
        <f>if(A953&lt;&gt;"", COUNTIFS(Beans!A:A, A953, Beans!C:C, "Bad" ), "")</f>
        <v>2</v>
      </c>
      <c r="E953" s="35">
        <f>if(A953&lt;&gt;"", COUNTIFS(Beans!A:A, A953, Beans!C:C, "Spicy" ), "")</f>
        <v>0</v>
      </c>
    </row>
    <row r="954">
      <c r="A954" s="34">
        <f t="shared" si="2"/>
        <v>45804</v>
      </c>
      <c r="B954" s="35">
        <f>if(A954&lt;&gt;"", COUNTIFS(Beans!A:A, A954), "")</f>
        <v>0</v>
      </c>
      <c r="C954" s="35">
        <f>if(A954&lt;&gt;"", COUNTIFS(Beans!A:A, A954, Beans!C:C, "Good" ), "")</f>
        <v>0</v>
      </c>
      <c r="D954" s="35">
        <f>if(A954&lt;&gt;"", COUNTIFS(Beans!A:A, A954, Beans!C:C, "Bad" ), "")</f>
        <v>0</v>
      </c>
      <c r="E954" s="35">
        <f>if(A954&lt;&gt;"", COUNTIFS(Beans!A:A, A954, Beans!C:C, "Spicy" ), "")</f>
        <v>0</v>
      </c>
    </row>
    <row r="955">
      <c r="A955" s="34">
        <f t="shared" si="2"/>
        <v>45805</v>
      </c>
      <c r="B955" s="35">
        <f>if(A955&lt;&gt;"", COUNTIFS(Beans!A:A, A955), "")</f>
        <v>0</v>
      </c>
      <c r="C955" s="35">
        <f>if(A955&lt;&gt;"", COUNTIFS(Beans!A:A, A955, Beans!C:C, "Good" ), "")</f>
        <v>0</v>
      </c>
      <c r="D955" s="35">
        <f>if(A955&lt;&gt;"", COUNTIFS(Beans!A:A, A955, Beans!C:C, "Bad" ), "")</f>
        <v>0</v>
      </c>
      <c r="E955" s="35">
        <f>if(A955&lt;&gt;"", COUNTIFS(Beans!A:A, A955, Beans!C:C, "Spicy" ), "")</f>
        <v>0</v>
      </c>
    </row>
    <row r="956">
      <c r="A956" s="34">
        <f t="shared" si="2"/>
        <v>45806</v>
      </c>
      <c r="B956" s="35">
        <f>if(A956&lt;&gt;"", COUNTIFS(Beans!A:A, A956), "")</f>
        <v>1</v>
      </c>
      <c r="C956" s="35">
        <f>if(A956&lt;&gt;"", COUNTIFS(Beans!A:A, A956, Beans!C:C, "Good" ), "")</f>
        <v>1</v>
      </c>
      <c r="D956" s="35">
        <f>if(A956&lt;&gt;"", COUNTIFS(Beans!A:A, A956, Beans!C:C, "Bad" ), "")</f>
        <v>0</v>
      </c>
      <c r="E956" s="35">
        <f>if(A956&lt;&gt;"", COUNTIFS(Beans!A:A, A956, Beans!C:C, "Spicy" ), "")</f>
        <v>0</v>
      </c>
    </row>
    <row r="957">
      <c r="A957" s="34">
        <f t="shared" si="2"/>
        <v>45807</v>
      </c>
      <c r="B957" s="35">
        <f>if(A957&lt;&gt;"", COUNTIFS(Beans!A:A, A957), "")</f>
        <v>0</v>
      </c>
      <c r="C957" s="35">
        <f>if(A957&lt;&gt;"", COUNTIFS(Beans!A:A, A957, Beans!C:C, "Good" ), "")</f>
        <v>0</v>
      </c>
      <c r="D957" s="35">
        <f>if(A957&lt;&gt;"", COUNTIFS(Beans!A:A, A957, Beans!C:C, "Bad" ), "")</f>
        <v>0</v>
      </c>
      <c r="E957" s="35">
        <f>if(A957&lt;&gt;"", COUNTIFS(Beans!A:A, A957, Beans!C:C, "Spicy" ), "")</f>
        <v>0</v>
      </c>
    </row>
    <row r="958">
      <c r="A958" s="34">
        <f t="shared" si="2"/>
        <v>45808</v>
      </c>
      <c r="B958" s="35">
        <f>if(A958&lt;&gt;"", COUNTIFS(Beans!A:A, A958), "")</f>
        <v>0</v>
      </c>
      <c r="C958" s="35">
        <f>if(A958&lt;&gt;"", COUNTIFS(Beans!A:A, A958, Beans!C:C, "Good" ), "")</f>
        <v>0</v>
      </c>
      <c r="D958" s="35">
        <f>if(A958&lt;&gt;"", COUNTIFS(Beans!A:A, A958, Beans!C:C, "Bad" ), "")</f>
        <v>0</v>
      </c>
      <c r="E958" s="35">
        <f>if(A958&lt;&gt;"", COUNTIFS(Beans!A:A, A958, Beans!C:C, "Spicy" ), "")</f>
        <v>0</v>
      </c>
    </row>
    <row r="959">
      <c r="A959" s="34">
        <f t="shared" si="2"/>
        <v>45809</v>
      </c>
      <c r="B959" s="35">
        <f>if(A959&lt;&gt;"", COUNTIFS(Beans!A:A, A959), "")</f>
        <v>0</v>
      </c>
      <c r="C959" s="35">
        <f>if(A959&lt;&gt;"", COUNTIFS(Beans!A:A, A959, Beans!C:C, "Good" ), "")</f>
        <v>0</v>
      </c>
      <c r="D959" s="35">
        <f>if(A959&lt;&gt;"", COUNTIFS(Beans!A:A, A959, Beans!C:C, "Bad" ), "")</f>
        <v>0</v>
      </c>
      <c r="E959" s="35">
        <f>if(A959&lt;&gt;"", COUNTIFS(Beans!A:A, A959, Beans!C:C, "Spicy" ), "")</f>
        <v>0</v>
      </c>
    </row>
    <row r="960">
      <c r="A960" s="34">
        <f t="shared" si="2"/>
        <v>45810</v>
      </c>
      <c r="B960" s="35">
        <f>if(A960&lt;&gt;"", COUNTIFS(Beans!A:A, A960), "")</f>
        <v>0</v>
      </c>
      <c r="C960" s="35">
        <f>if(A960&lt;&gt;"", COUNTIFS(Beans!A:A, A960, Beans!C:C, "Good" ), "")</f>
        <v>0</v>
      </c>
      <c r="D960" s="35">
        <f>if(A960&lt;&gt;"", COUNTIFS(Beans!A:A, A960, Beans!C:C, "Bad" ), "")</f>
        <v>0</v>
      </c>
      <c r="E960" s="35">
        <f>if(A960&lt;&gt;"", COUNTIFS(Beans!A:A, A960, Beans!C:C, "Spicy" ), "")</f>
        <v>0</v>
      </c>
    </row>
    <row r="961">
      <c r="A961" s="34">
        <f t="shared" si="2"/>
        <v>45811</v>
      </c>
      <c r="B961" s="35">
        <f>if(A961&lt;&gt;"", COUNTIFS(Beans!A:A, A961), "")</f>
        <v>0</v>
      </c>
      <c r="C961" s="35">
        <f>if(A961&lt;&gt;"", COUNTIFS(Beans!A:A, A961, Beans!C:C, "Good" ), "")</f>
        <v>0</v>
      </c>
      <c r="D961" s="35">
        <f>if(A961&lt;&gt;"", COUNTIFS(Beans!A:A, A961, Beans!C:C, "Bad" ), "")</f>
        <v>0</v>
      </c>
      <c r="E961" s="35">
        <f>if(A961&lt;&gt;"", COUNTIFS(Beans!A:A, A961, Beans!C:C, "Spicy" ), "")</f>
        <v>0</v>
      </c>
    </row>
    <row r="962">
      <c r="A962" s="34">
        <f t="shared" si="2"/>
        <v>45812</v>
      </c>
      <c r="B962" s="35">
        <f>if(A962&lt;&gt;"", COUNTIFS(Beans!A:A, A962), "")</f>
        <v>0</v>
      </c>
      <c r="C962" s="35">
        <f>if(A962&lt;&gt;"", COUNTIFS(Beans!A:A, A962, Beans!C:C, "Good" ), "")</f>
        <v>0</v>
      </c>
      <c r="D962" s="35">
        <f>if(A962&lt;&gt;"", COUNTIFS(Beans!A:A, A962, Beans!C:C, "Bad" ), "")</f>
        <v>0</v>
      </c>
      <c r="E962" s="35">
        <f>if(A962&lt;&gt;"", COUNTIFS(Beans!A:A, A962, Beans!C:C, "Spicy" ), "")</f>
        <v>0</v>
      </c>
    </row>
    <row r="963">
      <c r="A963" s="34">
        <f t="shared" si="2"/>
        <v>45813</v>
      </c>
      <c r="B963" s="35">
        <f>if(A963&lt;&gt;"", COUNTIFS(Beans!A:A, A963), "")</f>
        <v>0</v>
      </c>
      <c r="C963" s="35">
        <f>if(A963&lt;&gt;"", COUNTIFS(Beans!A:A, A963, Beans!C:C, "Good" ), "")</f>
        <v>0</v>
      </c>
      <c r="D963" s="35">
        <f>if(A963&lt;&gt;"", COUNTIFS(Beans!A:A, A963, Beans!C:C, "Bad" ), "")</f>
        <v>0</v>
      </c>
      <c r="E963" s="35">
        <f>if(A963&lt;&gt;"", COUNTIFS(Beans!A:A, A963, Beans!C:C, "Spicy" ), "")</f>
        <v>0</v>
      </c>
    </row>
    <row r="964">
      <c r="A964" s="34">
        <f t="shared" si="2"/>
        <v>45814</v>
      </c>
      <c r="B964" s="35">
        <f>if(A964&lt;&gt;"", COUNTIFS(Beans!A:A, A964), "")</f>
        <v>0</v>
      </c>
      <c r="C964" s="35">
        <f>if(A964&lt;&gt;"", COUNTIFS(Beans!A:A, A964, Beans!C:C, "Good" ), "")</f>
        <v>0</v>
      </c>
      <c r="D964" s="35">
        <f>if(A964&lt;&gt;"", COUNTIFS(Beans!A:A, A964, Beans!C:C, "Bad" ), "")</f>
        <v>0</v>
      </c>
      <c r="E964" s="35">
        <f>if(A964&lt;&gt;"", COUNTIFS(Beans!A:A, A964, Beans!C:C, "Spicy" ), "")</f>
        <v>0</v>
      </c>
    </row>
    <row r="965">
      <c r="A965" s="34">
        <f t="shared" si="2"/>
        <v>45815</v>
      </c>
      <c r="B965" s="35">
        <f>if(A965&lt;&gt;"", COUNTIFS(Beans!A:A, A965), "")</f>
        <v>0</v>
      </c>
      <c r="C965" s="35">
        <f>if(A965&lt;&gt;"", COUNTIFS(Beans!A:A, A965, Beans!C:C, "Good" ), "")</f>
        <v>0</v>
      </c>
      <c r="D965" s="35">
        <f>if(A965&lt;&gt;"", COUNTIFS(Beans!A:A, A965, Beans!C:C, "Bad" ), "")</f>
        <v>0</v>
      </c>
      <c r="E965" s="35">
        <f>if(A965&lt;&gt;"", COUNTIFS(Beans!A:A, A965, Beans!C:C, "Spicy" ), "")</f>
        <v>0</v>
      </c>
    </row>
    <row r="966">
      <c r="A966" s="34">
        <f t="shared" si="2"/>
        <v>45816</v>
      </c>
      <c r="B966" s="35">
        <f>if(A966&lt;&gt;"", COUNTIFS(Beans!A:A, A966), "")</f>
        <v>0</v>
      </c>
      <c r="C966" s="35">
        <f>if(A966&lt;&gt;"", COUNTIFS(Beans!A:A, A966, Beans!C:C, "Good" ), "")</f>
        <v>0</v>
      </c>
      <c r="D966" s="35">
        <f>if(A966&lt;&gt;"", COUNTIFS(Beans!A:A, A966, Beans!C:C, "Bad" ), "")</f>
        <v>0</v>
      </c>
      <c r="E966" s="35">
        <f>if(A966&lt;&gt;"", COUNTIFS(Beans!A:A, A966, Beans!C:C, "Spicy" ), "")</f>
        <v>0</v>
      </c>
    </row>
    <row r="967">
      <c r="A967" s="34">
        <f t="shared" si="2"/>
        <v>45817</v>
      </c>
      <c r="B967" s="35">
        <f>if(A967&lt;&gt;"", COUNTIFS(Beans!A:A, A967), "")</f>
        <v>0</v>
      </c>
      <c r="C967" s="35">
        <f>if(A967&lt;&gt;"", COUNTIFS(Beans!A:A, A967, Beans!C:C, "Good" ), "")</f>
        <v>0</v>
      </c>
      <c r="D967" s="35">
        <f>if(A967&lt;&gt;"", COUNTIFS(Beans!A:A, A967, Beans!C:C, "Bad" ), "")</f>
        <v>0</v>
      </c>
      <c r="E967" s="35">
        <f>if(A967&lt;&gt;"", COUNTIFS(Beans!A:A, A967, Beans!C:C, "Spicy" ), "")</f>
        <v>0</v>
      </c>
    </row>
    <row r="968">
      <c r="A968" s="34">
        <f t="shared" si="2"/>
        <v>45818</v>
      </c>
      <c r="B968" s="35">
        <f>if(A968&lt;&gt;"", COUNTIFS(Beans!A:A, A968), "")</f>
        <v>0</v>
      </c>
      <c r="C968" s="35">
        <f>if(A968&lt;&gt;"", COUNTIFS(Beans!A:A, A968, Beans!C:C, "Good" ), "")</f>
        <v>0</v>
      </c>
      <c r="D968" s="35">
        <f>if(A968&lt;&gt;"", COUNTIFS(Beans!A:A, A968, Beans!C:C, "Bad" ), "")</f>
        <v>0</v>
      </c>
      <c r="E968" s="35">
        <f>if(A968&lt;&gt;"", COUNTIFS(Beans!A:A, A968, Beans!C:C, "Spicy" ), "")</f>
        <v>0</v>
      </c>
    </row>
    <row r="969">
      <c r="A969" s="34">
        <f t="shared" si="2"/>
        <v>45819</v>
      </c>
      <c r="B969" s="35">
        <f>if(A969&lt;&gt;"", COUNTIFS(Beans!A:A, A969), "")</f>
        <v>0</v>
      </c>
      <c r="C969" s="35">
        <f>if(A969&lt;&gt;"", COUNTIFS(Beans!A:A, A969, Beans!C:C, "Good" ), "")</f>
        <v>0</v>
      </c>
      <c r="D969" s="35">
        <f>if(A969&lt;&gt;"", COUNTIFS(Beans!A:A, A969, Beans!C:C, "Bad" ), "")</f>
        <v>0</v>
      </c>
      <c r="E969" s="35">
        <f>if(A969&lt;&gt;"", COUNTIFS(Beans!A:A, A969, Beans!C:C, "Spicy" ), "")</f>
        <v>0</v>
      </c>
    </row>
    <row r="970">
      <c r="A970" s="34">
        <f t="shared" si="2"/>
        <v>45820</v>
      </c>
      <c r="B970" s="35">
        <f>if(A970&lt;&gt;"", COUNTIFS(Beans!A:A, A970), "")</f>
        <v>0</v>
      </c>
      <c r="C970" s="35">
        <f>if(A970&lt;&gt;"", COUNTIFS(Beans!A:A, A970, Beans!C:C, "Good" ), "")</f>
        <v>0</v>
      </c>
      <c r="D970" s="35">
        <f>if(A970&lt;&gt;"", COUNTIFS(Beans!A:A, A970, Beans!C:C, "Bad" ), "")</f>
        <v>0</v>
      </c>
      <c r="E970" s="35">
        <f>if(A970&lt;&gt;"", COUNTIFS(Beans!A:A, A970, Beans!C:C, "Spicy" ), "")</f>
        <v>0</v>
      </c>
    </row>
    <row r="971">
      <c r="A971" s="34">
        <f t="shared" si="2"/>
        <v>45821</v>
      </c>
      <c r="B971" s="35">
        <f>if(A971&lt;&gt;"", COUNTIFS(Beans!A:A, A971), "")</f>
        <v>0</v>
      </c>
      <c r="C971" s="35">
        <f>if(A971&lt;&gt;"", COUNTIFS(Beans!A:A, A971, Beans!C:C, "Good" ), "")</f>
        <v>0</v>
      </c>
      <c r="D971" s="35">
        <f>if(A971&lt;&gt;"", COUNTIFS(Beans!A:A, A971, Beans!C:C, "Bad" ), "")</f>
        <v>0</v>
      </c>
      <c r="E971" s="35">
        <f>if(A971&lt;&gt;"", COUNTIFS(Beans!A:A, A971, Beans!C:C, "Spicy" ), "")</f>
        <v>0</v>
      </c>
    </row>
    <row r="972">
      <c r="A972" s="34">
        <f t="shared" si="2"/>
        <v>45822</v>
      </c>
      <c r="B972" s="35">
        <f>if(A972&lt;&gt;"", COUNTIFS(Beans!A:A, A972), "")</f>
        <v>0</v>
      </c>
      <c r="C972" s="35">
        <f>if(A972&lt;&gt;"", COUNTIFS(Beans!A:A, A972, Beans!C:C, "Good" ), "")</f>
        <v>0</v>
      </c>
      <c r="D972" s="35">
        <f>if(A972&lt;&gt;"", COUNTIFS(Beans!A:A, A972, Beans!C:C, "Bad" ), "")</f>
        <v>0</v>
      </c>
      <c r="E972" s="35">
        <f>if(A972&lt;&gt;"", COUNTIFS(Beans!A:A, A972, Beans!C:C, "Spicy" ), "")</f>
        <v>0</v>
      </c>
    </row>
    <row r="973">
      <c r="A973" s="34">
        <f t="shared" si="2"/>
        <v>45823</v>
      </c>
      <c r="B973" s="35">
        <f>if(A973&lt;&gt;"", COUNTIFS(Beans!A:A, A973), "")</f>
        <v>0</v>
      </c>
      <c r="C973" s="35">
        <f>if(A973&lt;&gt;"", COUNTIFS(Beans!A:A, A973, Beans!C:C, "Good" ), "")</f>
        <v>0</v>
      </c>
      <c r="D973" s="35">
        <f>if(A973&lt;&gt;"", COUNTIFS(Beans!A:A, A973, Beans!C:C, "Bad" ), "")</f>
        <v>0</v>
      </c>
      <c r="E973" s="35">
        <f>if(A973&lt;&gt;"", COUNTIFS(Beans!A:A, A973, Beans!C:C, "Spicy" ), "")</f>
        <v>0</v>
      </c>
    </row>
    <row r="974">
      <c r="A974" s="34">
        <f t="shared" si="2"/>
        <v>45824</v>
      </c>
      <c r="B974" s="35">
        <f>if(A974&lt;&gt;"", COUNTIFS(Beans!A:A, A974), "")</f>
        <v>0</v>
      </c>
      <c r="C974" s="35">
        <f>if(A974&lt;&gt;"", COUNTIFS(Beans!A:A, A974, Beans!C:C, "Good" ), "")</f>
        <v>0</v>
      </c>
      <c r="D974" s="35">
        <f>if(A974&lt;&gt;"", COUNTIFS(Beans!A:A, A974, Beans!C:C, "Bad" ), "")</f>
        <v>0</v>
      </c>
      <c r="E974" s="35">
        <f>if(A974&lt;&gt;"", COUNTIFS(Beans!A:A, A974, Beans!C:C, "Spicy" ), "")</f>
        <v>0</v>
      </c>
    </row>
    <row r="975">
      <c r="A975" s="34">
        <f t="shared" si="2"/>
        <v>45825</v>
      </c>
      <c r="B975" s="35">
        <f>if(A975&lt;&gt;"", COUNTIFS(Beans!A:A, A975), "")</f>
        <v>0</v>
      </c>
      <c r="C975" s="35">
        <f>if(A975&lt;&gt;"", COUNTIFS(Beans!A:A, A975, Beans!C:C, "Good" ), "")</f>
        <v>0</v>
      </c>
      <c r="D975" s="35">
        <f>if(A975&lt;&gt;"", COUNTIFS(Beans!A:A, A975, Beans!C:C, "Bad" ), "")</f>
        <v>0</v>
      </c>
      <c r="E975" s="35">
        <f>if(A975&lt;&gt;"", COUNTIFS(Beans!A:A, A975, Beans!C:C, "Spicy" ), "")</f>
        <v>0</v>
      </c>
    </row>
    <row r="976">
      <c r="A976" s="34">
        <f t="shared" si="2"/>
        <v>45826</v>
      </c>
      <c r="B976" s="35">
        <f>if(A976&lt;&gt;"", COUNTIFS(Beans!A:A, A976), "")</f>
        <v>1</v>
      </c>
      <c r="C976" s="35">
        <f>if(A976&lt;&gt;"", COUNTIFS(Beans!A:A, A976, Beans!C:C, "Good" ), "")</f>
        <v>0</v>
      </c>
      <c r="D976" s="35">
        <f>if(A976&lt;&gt;"", COUNTIFS(Beans!A:A, A976, Beans!C:C, "Bad" ), "")</f>
        <v>1</v>
      </c>
      <c r="E976" s="35">
        <f>if(A976&lt;&gt;"", COUNTIFS(Beans!A:A, A976, Beans!C:C, "Spicy" ), "")</f>
        <v>0</v>
      </c>
    </row>
    <row r="977">
      <c r="A977" s="34">
        <f t="shared" si="2"/>
        <v>45827</v>
      </c>
      <c r="B977" s="35">
        <f>if(A977&lt;&gt;"", COUNTIFS(Beans!A:A, A977), "")</f>
        <v>0</v>
      </c>
      <c r="C977" s="35">
        <f>if(A977&lt;&gt;"", COUNTIFS(Beans!A:A, A977, Beans!C:C, "Good" ), "")</f>
        <v>0</v>
      </c>
      <c r="D977" s="35">
        <f>if(A977&lt;&gt;"", COUNTIFS(Beans!A:A, A977, Beans!C:C, "Bad" ), "")</f>
        <v>0</v>
      </c>
      <c r="E977" s="35">
        <f>if(A977&lt;&gt;"", COUNTIFS(Beans!A:A, A977, Beans!C:C, "Spicy" ), "")</f>
        <v>0</v>
      </c>
    </row>
    <row r="978">
      <c r="A978" s="34">
        <f t="shared" si="2"/>
        <v>45828</v>
      </c>
      <c r="B978" s="35">
        <f>if(A978&lt;&gt;"", COUNTIFS(Beans!A:A, A978), "")</f>
        <v>1</v>
      </c>
      <c r="C978" s="35">
        <f>if(A978&lt;&gt;"", COUNTIFS(Beans!A:A, A978, Beans!C:C, "Good" ), "")</f>
        <v>0</v>
      </c>
      <c r="D978" s="35">
        <f>if(A978&lt;&gt;"", COUNTIFS(Beans!A:A, A978, Beans!C:C, "Bad" ), "")</f>
        <v>1</v>
      </c>
      <c r="E978" s="35">
        <f>if(A978&lt;&gt;"", COUNTIFS(Beans!A:A, A978, Beans!C:C, "Spicy" ), "")</f>
        <v>0</v>
      </c>
    </row>
    <row r="979">
      <c r="A979" s="34">
        <f t="shared" si="2"/>
        <v>45829</v>
      </c>
      <c r="B979" s="35">
        <f>if(A979&lt;&gt;"", COUNTIFS(Beans!A:A, A979), "")</f>
        <v>0</v>
      </c>
      <c r="C979" s="35">
        <f>if(A979&lt;&gt;"", COUNTIFS(Beans!A:A, A979, Beans!C:C, "Good" ), "")</f>
        <v>0</v>
      </c>
      <c r="D979" s="35">
        <f>if(A979&lt;&gt;"", COUNTIFS(Beans!A:A, A979, Beans!C:C, "Bad" ), "")</f>
        <v>0</v>
      </c>
      <c r="E979" s="35">
        <f>if(A979&lt;&gt;"", COUNTIFS(Beans!A:A, A979, Beans!C:C, "Spicy" ), "")</f>
        <v>0</v>
      </c>
    </row>
    <row r="980">
      <c r="A980" s="34">
        <f t="shared" si="2"/>
        <v>45830</v>
      </c>
      <c r="B980" s="35">
        <f>if(A980&lt;&gt;"", COUNTIFS(Beans!A:A, A980), "")</f>
        <v>0</v>
      </c>
      <c r="C980" s="35">
        <f>if(A980&lt;&gt;"", COUNTIFS(Beans!A:A, A980, Beans!C:C, "Good" ), "")</f>
        <v>0</v>
      </c>
      <c r="D980" s="35">
        <f>if(A980&lt;&gt;"", COUNTIFS(Beans!A:A, A980, Beans!C:C, "Bad" ), "")</f>
        <v>0</v>
      </c>
      <c r="E980" s="35">
        <f>if(A980&lt;&gt;"", COUNTIFS(Beans!A:A, A980, Beans!C:C, "Spicy" ), "")</f>
        <v>0</v>
      </c>
    </row>
    <row r="981">
      <c r="A981" s="34">
        <f t="shared" si="2"/>
        <v>45831</v>
      </c>
      <c r="B981" s="35">
        <f>if(A981&lt;&gt;"", COUNTIFS(Beans!A:A, A981), "")</f>
        <v>0</v>
      </c>
      <c r="C981" s="35">
        <f>if(A981&lt;&gt;"", COUNTIFS(Beans!A:A, A981, Beans!C:C, "Good" ), "")</f>
        <v>0</v>
      </c>
      <c r="D981" s="35">
        <f>if(A981&lt;&gt;"", COUNTIFS(Beans!A:A, A981, Beans!C:C, "Bad" ), "")</f>
        <v>0</v>
      </c>
      <c r="E981" s="35">
        <f>if(A981&lt;&gt;"", COUNTIFS(Beans!A:A, A981, Beans!C:C, "Spicy" ), "")</f>
        <v>0</v>
      </c>
    </row>
    <row r="982">
      <c r="A982" s="34">
        <f t="shared" si="2"/>
        <v>45832</v>
      </c>
      <c r="B982" s="35">
        <f>if(A982&lt;&gt;"", COUNTIFS(Beans!A:A, A982), "")</f>
        <v>0</v>
      </c>
      <c r="C982" s="35">
        <f>if(A982&lt;&gt;"", COUNTIFS(Beans!A:A, A982, Beans!C:C, "Good" ), "")</f>
        <v>0</v>
      </c>
      <c r="D982" s="35">
        <f>if(A982&lt;&gt;"", COUNTIFS(Beans!A:A, A982, Beans!C:C, "Bad" ), "")</f>
        <v>0</v>
      </c>
      <c r="E982" s="35">
        <f>if(A982&lt;&gt;"", COUNTIFS(Beans!A:A, A982, Beans!C:C, "Spicy" ), "")</f>
        <v>0</v>
      </c>
    </row>
    <row r="983">
      <c r="A983" s="34">
        <f t="shared" si="2"/>
        <v>45833</v>
      </c>
      <c r="B983" s="35">
        <f>if(A983&lt;&gt;"", COUNTIFS(Beans!A:A, A983), "")</f>
        <v>0</v>
      </c>
      <c r="C983" s="35">
        <f>if(A983&lt;&gt;"", COUNTIFS(Beans!A:A, A983, Beans!C:C, "Good" ), "")</f>
        <v>0</v>
      </c>
      <c r="D983" s="35">
        <f>if(A983&lt;&gt;"", COUNTIFS(Beans!A:A, A983, Beans!C:C, "Bad" ), "")</f>
        <v>0</v>
      </c>
      <c r="E983" s="35">
        <f>if(A983&lt;&gt;"", COUNTIFS(Beans!A:A, A983, Beans!C:C, "Spicy" ), "")</f>
        <v>0</v>
      </c>
    </row>
    <row r="984">
      <c r="A984" s="34">
        <f t="shared" si="2"/>
        <v>45834</v>
      </c>
      <c r="B984" s="35">
        <f>if(A984&lt;&gt;"", COUNTIFS(Beans!A:A, A984), "")</f>
        <v>0</v>
      </c>
      <c r="C984" s="35">
        <f>if(A984&lt;&gt;"", COUNTIFS(Beans!A:A, A984, Beans!C:C, "Good" ), "")</f>
        <v>0</v>
      </c>
      <c r="D984" s="35">
        <f>if(A984&lt;&gt;"", COUNTIFS(Beans!A:A, A984, Beans!C:C, "Bad" ), "")</f>
        <v>0</v>
      </c>
      <c r="E984" s="35">
        <f>if(A984&lt;&gt;"", COUNTIFS(Beans!A:A, A984, Beans!C:C, "Spicy" ), "")</f>
        <v>0</v>
      </c>
    </row>
    <row r="985">
      <c r="A985" s="34">
        <f t="shared" si="2"/>
        <v>45835</v>
      </c>
      <c r="B985" s="35">
        <f>if(A985&lt;&gt;"", COUNTIFS(Beans!A:A, A985), "")</f>
        <v>0</v>
      </c>
      <c r="C985" s="35">
        <f>if(A985&lt;&gt;"", COUNTIFS(Beans!A:A, A985, Beans!C:C, "Good" ), "")</f>
        <v>0</v>
      </c>
      <c r="D985" s="35">
        <f>if(A985&lt;&gt;"", COUNTIFS(Beans!A:A, A985, Beans!C:C, "Bad" ), "")</f>
        <v>0</v>
      </c>
      <c r="E985" s="35">
        <f>if(A985&lt;&gt;"", COUNTIFS(Beans!A:A, A985, Beans!C:C, "Spicy" ), "")</f>
        <v>0</v>
      </c>
    </row>
    <row r="986">
      <c r="A986" s="34">
        <f t="shared" si="2"/>
        <v>45836</v>
      </c>
      <c r="B986" s="35">
        <f>if(A986&lt;&gt;"", COUNTIFS(Beans!A:A, A986), "")</f>
        <v>0</v>
      </c>
      <c r="C986" s="35">
        <f>if(A986&lt;&gt;"", COUNTIFS(Beans!A:A, A986, Beans!C:C, "Good" ), "")</f>
        <v>0</v>
      </c>
      <c r="D986" s="35">
        <f>if(A986&lt;&gt;"", COUNTIFS(Beans!A:A, A986, Beans!C:C, "Bad" ), "")</f>
        <v>0</v>
      </c>
      <c r="E986" s="35">
        <f>if(A986&lt;&gt;"", COUNTIFS(Beans!A:A, A986, Beans!C:C, "Spicy" ), "")</f>
        <v>0</v>
      </c>
    </row>
    <row r="987">
      <c r="A987" s="34">
        <f t="shared" si="2"/>
        <v>45837</v>
      </c>
      <c r="B987" s="35">
        <f>if(A987&lt;&gt;"", COUNTIFS(Beans!A:A, A987), "")</f>
        <v>0</v>
      </c>
      <c r="C987" s="35">
        <f>if(A987&lt;&gt;"", COUNTIFS(Beans!A:A, A987, Beans!C:C, "Good" ), "")</f>
        <v>0</v>
      </c>
      <c r="D987" s="35">
        <f>if(A987&lt;&gt;"", COUNTIFS(Beans!A:A, A987, Beans!C:C, "Bad" ), "")</f>
        <v>0</v>
      </c>
      <c r="E987" s="35">
        <f>if(A987&lt;&gt;"", COUNTIFS(Beans!A:A, A987, Beans!C:C, "Spicy" ), "")</f>
        <v>0</v>
      </c>
    </row>
    <row r="988">
      <c r="A988" s="34">
        <f t="shared" si="2"/>
        <v>45838</v>
      </c>
      <c r="B988" s="35">
        <f>if(A988&lt;&gt;"", COUNTIFS(Beans!A:A, A988), "")</f>
        <v>0</v>
      </c>
      <c r="C988" s="35">
        <f>if(A988&lt;&gt;"", COUNTIFS(Beans!A:A, A988, Beans!C:C, "Good" ), "")</f>
        <v>0</v>
      </c>
      <c r="D988" s="35">
        <f>if(A988&lt;&gt;"", COUNTIFS(Beans!A:A, A988, Beans!C:C, "Bad" ), "")</f>
        <v>0</v>
      </c>
      <c r="E988" s="35">
        <f>if(A988&lt;&gt;"", COUNTIFS(Beans!A:A, A988, Beans!C:C, "Spicy" ), "")</f>
        <v>0</v>
      </c>
    </row>
    <row r="989">
      <c r="A989" s="34">
        <f t="shared" si="2"/>
        <v>45839</v>
      </c>
      <c r="B989" s="35">
        <f>if(A989&lt;&gt;"", COUNTIFS(Beans!A:A, A989), "")</f>
        <v>0</v>
      </c>
      <c r="C989" s="35">
        <f>if(A989&lt;&gt;"", COUNTIFS(Beans!A:A, A989, Beans!C:C, "Good" ), "")</f>
        <v>0</v>
      </c>
      <c r="D989" s="35">
        <f>if(A989&lt;&gt;"", COUNTIFS(Beans!A:A, A989, Beans!C:C, "Bad" ), "")</f>
        <v>0</v>
      </c>
      <c r="E989" s="35">
        <f>if(A989&lt;&gt;"", COUNTIFS(Beans!A:A, A989, Beans!C:C, "Spicy" ), "")</f>
        <v>0</v>
      </c>
    </row>
    <row r="990">
      <c r="A990" s="34">
        <f t="shared" si="2"/>
        <v>45840</v>
      </c>
      <c r="B990" s="35">
        <f>if(A990&lt;&gt;"", COUNTIFS(Beans!A:A, A990), "")</f>
        <v>0</v>
      </c>
      <c r="C990" s="35">
        <f>if(A990&lt;&gt;"", COUNTIFS(Beans!A:A, A990, Beans!C:C, "Good" ), "")</f>
        <v>0</v>
      </c>
      <c r="D990" s="35">
        <f>if(A990&lt;&gt;"", COUNTIFS(Beans!A:A, A990, Beans!C:C, "Bad" ), "")</f>
        <v>0</v>
      </c>
      <c r="E990" s="35">
        <f>if(A990&lt;&gt;"", COUNTIFS(Beans!A:A, A990, Beans!C:C, "Spicy" ), "")</f>
        <v>0</v>
      </c>
    </row>
    <row r="991">
      <c r="A991" s="34">
        <f t="shared" si="2"/>
        <v>45841</v>
      </c>
      <c r="B991" s="35">
        <f>if(A991&lt;&gt;"", COUNTIFS(Beans!A:A, A991), "")</f>
        <v>2</v>
      </c>
      <c r="C991" s="35">
        <f>if(A991&lt;&gt;"", COUNTIFS(Beans!A:A, A991, Beans!C:C, "Good" ), "")</f>
        <v>1</v>
      </c>
      <c r="D991" s="35">
        <f>if(A991&lt;&gt;"", COUNTIFS(Beans!A:A, A991, Beans!C:C, "Bad" ), "")</f>
        <v>1</v>
      </c>
      <c r="E991" s="35">
        <f>if(A991&lt;&gt;"", COUNTIFS(Beans!A:A, A991, Beans!C:C, "Spicy" ), "")</f>
        <v>0</v>
      </c>
    </row>
    <row r="992">
      <c r="A992" s="34">
        <f t="shared" si="2"/>
        <v>45842</v>
      </c>
      <c r="B992" s="35">
        <f>if(A992&lt;&gt;"", COUNTIFS(Beans!A:A, A992), "")</f>
        <v>3</v>
      </c>
      <c r="C992" s="35">
        <f>if(A992&lt;&gt;"", COUNTIFS(Beans!A:A, A992, Beans!C:C, "Good" ), "")</f>
        <v>0</v>
      </c>
      <c r="D992" s="35">
        <f>if(A992&lt;&gt;"", COUNTIFS(Beans!A:A, A992, Beans!C:C, "Bad" ), "")</f>
        <v>3</v>
      </c>
      <c r="E992" s="35">
        <f>if(A992&lt;&gt;"", COUNTIFS(Beans!A:A, A992, Beans!C:C, "Spicy" ), "")</f>
        <v>0</v>
      </c>
    </row>
    <row r="993">
      <c r="A993" s="34">
        <f t="shared" si="2"/>
        <v>45843</v>
      </c>
      <c r="B993" s="35">
        <f>if(A993&lt;&gt;"", COUNTIFS(Beans!A:A, A993), "")</f>
        <v>0</v>
      </c>
      <c r="C993" s="35">
        <f>if(A993&lt;&gt;"", COUNTIFS(Beans!A:A, A993, Beans!C:C, "Good" ), "")</f>
        <v>0</v>
      </c>
      <c r="D993" s="35">
        <f>if(A993&lt;&gt;"", COUNTIFS(Beans!A:A, A993, Beans!C:C, "Bad" ), "")</f>
        <v>0</v>
      </c>
      <c r="E993" s="35">
        <f>if(A993&lt;&gt;"", COUNTIFS(Beans!A:A, A993, Beans!C:C, "Spicy" ), "")</f>
        <v>0</v>
      </c>
    </row>
    <row r="994">
      <c r="A994" s="34">
        <f t="shared" si="2"/>
        <v>45844</v>
      </c>
      <c r="B994" s="35">
        <f>if(A994&lt;&gt;"", COUNTIFS(Beans!A:A, A994), "")</f>
        <v>0</v>
      </c>
      <c r="C994" s="35">
        <f>if(A994&lt;&gt;"", COUNTIFS(Beans!A:A, A994, Beans!C:C, "Good" ), "")</f>
        <v>0</v>
      </c>
      <c r="D994" s="35">
        <f>if(A994&lt;&gt;"", COUNTIFS(Beans!A:A, A994, Beans!C:C, "Bad" ), "")</f>
        <v>0</v>
      </c>
      <c r="E994" s="35">
        <f>if(A994&lt;&gt;"", COUNTIFS(Beans!A:A, A994, Beans!C:C, "Spicy" ), "")</f>
        <v>0</v>
      </c>
    </row>
    <row r="995">
      <c r="A995" s="34">
        <f t="shared" si="2"/>
        <v>45845</v>
      </c>
      <c r="B995" s="35">
        <f>if(A995&lt;&gt;"", COUNTIFS(Beans!A:A, A995), "")</f>
        <v>0</v>
      </c>
      <c r="C995" s="35">
        <f>if(A995&lt;&gt;"", COUNTIFS(Beans!A:A, A995, Beans!C:C, "Good" ), "")</f>
        <v>0</v>
      </c>
      <c r="D995" s="35">
        <f>if(A995&lt;&gt;"", COUNTIFS(Beans!A:A, A995, Beans!C:C, "Bad" ), "")</f>
        <v>0</v>
      </c>
      <c r="E995" s="35">
        <f>if(A995&lt;&gt;"", COUNTIFS(Beans!A:A, A995, Beans!C:C, "Spicy" ), "")</f>
        <v>0</v>
      </c>
    </row>
    <row r="996">
      <c r="A996" s="34">
        <f t="shared" si="2"/>
        <v>45846</v>
      </c>
      <c r="B996" s="35">
        <f>if(A996&lt;&gt;"", COUNTIFS(Beans!A:A, A996), "")</f>
        <v>0</v>
      </c>
      <c r="C996" s="35">
        <f>if(A996&lt;&gt;"", COUNTIFS(Beans!A:A, A996, Beans!C:C, "Good" ), "")</f>
        <v>0</v>
      </c>
      <c r="D996" s="35">
        <f>if(A996&lt;&gt;"", COUNTIFS(Beans!A:A, A996, Beans!C:C, "Bad" ), "")</f>
        <v>0</v>
      </c>
      <c r="E996" s="35">
        <f>if(A996&lt;&gt;"", COUNTIFS(Beans!A:A, A996, Beans!C:C, "Spicy" ), "")</f>
        <v>0</v>
      </c>
    </row>
    <row r="997">
      <c r="A997" s="34">
        <f t="shared" si="2"/>
        <v>45847</v>
      </c>
      <c r="B997" s="35">
        <f>if(A997&lt;&gt;"", COUNTIFS(Beans!A:A, A997), "")</f>
        <v>0</v>
      </c>
      <c r="C997" s="35">
        <f>if(A997&lt;&gt;"", COUNTIFS(Beans!A:A, A997, Beans!C:C, "Good" ), "")</f>
        <v>0</v>
      </c>
      <c r="D997" s="35">
        <f>if(A997&lt;&gt;"", COUNTIFS(Beans!A:A, A997, Beans!C:C, "Bad" ), "")</f>
        <v>0</v>
      </c>
      <c r="E997" s="35">
        <f>if(A997&lt;&gt;"", COUNTIFS(Beans!A:A, A997, Beans!C:C, "Spicy" ), "")</f>
        <v>0</v>
      </c>
    </row>
    <row r="998">
      <c r="A998" s="34">
        <f t="shared" si="2"/>
        <v>45848</v>
      </c>
      <c r="B998" s="35">
        <f>if(A998&lt;&gt;"", COUNTIFS(Beans!A:A, A998), "")</f>
        <v>0</v>
      </c>
      <c r="C998" s="35">
        <f>if(A998&lt;&gt;"", COUNTIFS(Beans!A:A, A998, Beans!C:C, "Good" ), "")</f>
        <v>0</v>
      </c>
      <c r="D998" s="35">
        <f>if(A998&lt;&gt;"", COUNTIFS(Beans!A:A, A998, Beans!C:C, "Bad" ), "")</f>
        <v>0</v>
      </c>
      <c r="E998" s="35">
        <f>if(A998&lt;&gt;"", COUNTIFS(Beans!A:A, A998, Beans!C:C, "Spicy" ), "")</f>
        <v>0</v>
      </c>
    </row>
    <row r="999">
      <c r="A999" s="34">
        <f t="shared" si="2"/>
        <v>45849</v>
      </c>
      <c r="B999" s="35">
        <f>if(A999&lt;&gt;"", COUNTIFS(Beans!A:A, A999), "")</f>
        <v>0</v>
      </c>
      <c r="C999" s="35">
        <f>if(A999&lt;&gt;"", COUNTIFS(Beans!A:A, A999, Beans!C:C, "Good" ), "")</f>
        <v>0</v>
      </c>
      <c r="D999" s="35">
        <f>if(A999&lt;&gt;"", COUNTIFS(Beans!A:A, A999, Beans!C:C, "Bad" ), "")</f>
        <v>0</v>
      </c>
      <c r="E999" s="35">
        <f>if(A999&lt;&gt;"", COUNTIFS(Beans!A:A, A999, Beans!C:C, "Spicy" ), "")</f>
        <v>0</v>
      </c>
    </row>
    <row r="1000">
      <c r="A1000" s="34">
        <f t="shared" si="2"/>
        <v>45850</v>
      </c>
      <c r="B1000" s="35">
        <f>if(A1000&lt;&gt;"", COUNTIFS(Beans!A:A, A1000), "")</f>
        <v>0</v>
      </c>
      <c r="C1000" s="35">
        <f>if(A1000&lt;&gt;"", COUNTIFS(Beans!A:A, A1000, Beans!C:C, "Good" ), "")</f>
        <v>0</v>
      </c>
      <c r="D1000" s="35">
        <f>if(A1000&lt;&gt;"", COUNTIFS(Beans!A:A, A1000, Beans!C:C, "Bad" ), "")</f>
        <v>0</v>
      </c>
      <c r="E1000" s="35">
        <f>if(A1000&lt;&gt;"", COUNTIFS(Beans!A:A, A1000, Beans!C:C, "Spicy" ), "")</f>
        <v>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9.25"/>
    <col customWidth="1" min="5" max="5" width="7.38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 t="shared" ref="E2:E36" si="1">SUM(G2:R2)</f>
        <v>1</v>
      </c>
      <c r="F2" s="12">
        <f>IF(E2+E3 = 0, "n/a", E2/(E2+E3))</f>
        <v>0.07142857143</v>
      </c>
      <c r="G2" s="11">
        <f>COUNTIFS(Beans!B:B, A2, Beans!A:A, "&gt;=2026-1-1", Beans!A:A,"&lt;2026-2-1" )</f>
        <v>0</v>
      </c>
      <c r="H2" s="7">
        <f>COUNTIFS(Beans!B:B, A2, Beans!A:A, "&gt;=2026-2-1", Beans!A:A,"&lt;2026-3-1" )</f>
        <v>0</v>
      </c>
      <c r="I2" s="11">
        <f>COUNTIFS(Beans!B:B, A2, Beans!A:A, "&gt;=2026-3-1", Beans!A:A,"&lt;2026-4-1" )</f>
        <v>0</v>
      </c>
      <c r="J2" s="11">
        <f>COUNTIFS(Beans!B:B, A2, Beans!A:A, "&gt;=2026-4-1", Beans!A:A,"&lt;2026-5-1" )</f>
        <v>1</v>
      </c>
      <c r="K2" s="7">
        <f>COUNTIFS(Beans!B:B, A2, Beans!A:A, "&gt;=2026-5-1", Beans!A:A,"&lt;2026-6-1" )</f>
        <v>0</v>
      </c>
      <c r="L2" s="11">
        <f>COUNTIFS(Beans!B:B, A2, Beans!A:A, "&gt;=2026-6-1", Beans!A:A,"&lt;2026-7-1" )</f>
        <v>0</v>
      </c>
      <c r="M2" s="11">
        <f>COUNTIFS(Beans!B:B, A2, Beans!A:A, "&gt;=2026-7-1", Beans!A:A,"&lt;2026-8-1" )</f>
        <v>0</v>
      </c>
      <c r="N2" s="7">
        <f>COUNTIFS(Beans!B:B, A2, Beans!A:A, "&gt;=2026-8-1", Beans!A:A,"&lt;2026-9-1" )</f>
        <v>0</v>
      </c>
      <c r="O2" s="11">
        <f>COUNTIFS(Beans!B:B, A2, Beans!A:A, "&gt;=2026-9-1", Beans!A:A,"&lt;2026-10-1" )</f>
        <v>0</v>
      </c>
      <c r="P2" s="11">
        <f>COUNTIFS(Beans!B:B, A2, Beans!A:A, "&gt;=2026-10-1", Beans!A:A,"&lt;2026-11-1" )</f>
        <v>0</v>
      </c>
      <c r="Q2" s="7">
        <f>COUNTIFS(Beans!B:B, A2, Beans!A:A, "&gt;=2026-11-1", Beans!A:A,"&lt;2026-12-1" )</f>
        <v>0</v>
      </c>
      <c r="R2" s="15">
        <f>COUNTIFS(Beans!B:B, A2, Beans!A:A, "&gt;=2026-12-1", Beans!A:A,"&lt;2027-1-1" )</f>
        <v>0</v>
      </c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 t="shared" si="1"/>
        <v>13</v>
      </c>
      <c r="F3" s="12">
        <f>IF(E2+E3 = 0, "n/a", E3/(E2+E3))</f>
        <v>0.9285714286</v>
      </c>
      <c r="G3" s="11">
        <f>COUNTIFS(Beans!B:B, A3, Beans!A:A, "&gt;=2026-1-1", Beans!A:A,"&lt;2026-2-1" )</f>
        <v>3</v>
      </c>
      <c r="H3" s="7">
        <f>COUNTIFS(Beans!B:B, A3, Beans!A:A, "&gt;=2026-2-1", Beans!A:A,"&lt;2026-3-1" )</f>
        <v>1</v>
      </c>
      <c r="I3" s="11">
        <f>COUNTIFS(Beans!B:B, A3, Beans!A:A, "&gt;=2026-3-1", Beans!A:A,"&lt;2026-4-1" )</f>
        <v>0</v>
      </c>
      <c r="J3" s="11">
        <f>COUNTIFS(Beans!B:B, A3, Beans!A:A, "&gt;=2026-4-1", Beans!A:A,"&lt;2026-5-1" )</f>
        <v>0</v>
      </c>
      <c r="K3" s="7">
        <f>COUNTIFS(Beans!B:B, A3, Beans!A:A, "&gt;=2026-5-1", Beans!A:A,"&lt;2026-6-1" )</f>
        <v>3</v>
      </c>
      <c r="L3" s="11">
        <f>COUNTIFS(Beans!B:B, A3, Beans!A:A, "&gt;=2026-6-1", Beans!A:A,"&lt;2026-7-1" )</f>
        <v>0</v>
      </c>
      <c r="M3" s="11">
        <f>COUNTIFS(Beans!B:B, A3, Beans!A:A, "&gt;=2026-7-1", Beans!A:A,"&lt;2026-8-1" )</f>
        <v>0</v>
      </c>
      <c r="N3" s="7">
        <f>COUNTIFS(Beans!B:B, A3, Beans!A:A, "&gt;=2026-8-1", Beans!A:A,"&lt;2026-9-1" )</f>
        <v>1</v>
      </c>
      <c r="O3" s="11">
        <f>COUNTIFS(Beans!B:B, A3, Beans!A:A, "&gt;=2026-9-1", Beans!A:A,"&lt;2026-10-1" )</f>
        <v>5</v>
      </c>
      <c r="P3" s="11">
        <f>COUNTIFS(Beans!B:B, A3, Beans!A:A, "&gt;=2026-10-1", Beans!A:A,"&lt;2026-11-1" )</f>
        <v>0</v>
      </c>
      <c r="Q3" s="7">
        <f>COUNTIFS(Beans!B:B, A3, Beans!A:A, "&gt;=2026-11-1", Beans!A:A,"&lt;2026-12-1" )</f>
        <v>0</v>
      </c>
      <c r="R3" s="15">
        <f>COUNTIFS(Beans!B:B, A3, Beans!A:A, "&gt;=2026-12-1", Beans!A:A,"&lt;2027-1-1" )</f>
        <v>0</v>
      </c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 t="shared" si="1"/>
        <v>8</v>
      </c>
      <c r="F4" s="12">
        <f>IF(E4+E5 = 0, "n/a", E4/(E4+E5))</f>
        <v>0.7272727273</v>
      </c>
      <c r="G4" s="11">
        <f>COUNTIFS(Beans!B:B, A4, Beans!A:A, "&gt;=2026-1-1", Beans!A:A,"&lt;2026-2-1" )</f>
        <v>0</v>
      </c>
      <c r="H4" s="7">
        <f>COUNTIFS(Beans!B:B, A4, Beans!A:A, "&gt;=2026-2-1", Beans!A:A,"&lt;2026-3-1" )</f>
        <v>0</v>
      </c>
      <c r="I4" s="11">
        <f>COUNTIFS(Beans!B:B, A4, Beans!A:A, "&gt;=2026-3-1", Beans!A:A,"&lt;2026-4-1" )</f>
        <v>1</v>
      </c>
      <c r="J4" s="11">
        <f>COUNTIFS(Beans!B:B, A4, Beans!A:A, "&gt;=2026-4-1", Beans!A:A,"&lt;2026-5-1" )</f>
        <v>0</v>
      </c>
      <c r="K4" s="7">
        <f>COUNTIFS(Beans!B:B, A4, Beans!A:A, "&gt;=2026-5-1", Beans!A:A,"&lt;2026-6-1" )</f>
        <v>0</v>
      </c>
      <c r="L4" s="11">
        <f>COUNTIFS(Beans!B:B, A4, Beans!A:A, "&gt;=2026-6-1", Beans!A:A,"&lt;2026-7-1" )</f>
        <v>1</v>
      </c>
      <c r="M4" s="11">
        <f>COUNTIFS(Beans!B:B, A4, Beans!A:A, "&gt;=2026-7-1", Beans!A:A,"&lt;2026-8-1" )</f>
        <v>0</v>
      </c>
      <c r="N4" s="7">
        <f>COUNTIFS(Beans!B:B, A4, Beans!A:A, "&gt;=2026-8-1", Beans!A:A,"&lt;2026-9-1" )</f>
        <v>2</v>
      </c>
      <c r="O4" s="11">
        <f>COUNTIFS(Beans!B:B, A4, Beans!A:A, "&gt;=2026-9-1", Beans!A:A,"&lt;2026-10-1" )</f>
        <v>4</v>
      </c>
      <c r="P4" s="11">
        <f>COUNTIFS(Beans!B:B, A4, Beans!A:A, "&gt;=2026-10-1", Beans!A:A,"&lt;2026-11-1" )</f>
        <v>0</v>
      </c>
      <c r="Q4" s="7">
        <f>COUNTIFS(Beans!B:B, A4, Beans!A:A, "&gt;=2026-11-1", Beans!A:A,"&lt;2026-12-1" )</f>
        <v>0</v>
      </c>
      <c r="R4" s="15">
        <f>COUNTIFS(Beans!B:B, A4, Beans!A:A, "&gt;=2026-12-1", Beans!A:A,"&lt;2027-1-1" )</f>
        <v>0</v>
      </c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 t="shared" si="1"/>
        <v>3</v>
      </c>
      <c r="F5" s="12">
        <f>IF(E4+E5 = 0, "n/a", E5/(E4+E5))</f>
        <v>0.2727272727</v>
      </c>
      <c r="G5" s="11">
        <f>COUNTIFS(Beans!B:B, A5, Beans!A:A, "&gt;=2026-1-1", Beans!A:A,"&lt;2026-2-1" )</f>
        <v>0</v>
      </c>
      <c r="H5" s="7">
        <f>COUNTIFS(Beans!B:B, A5, Beans!A:A, "&gt;=2026-2-1", Beans!A:A,"&lt;2026-3-1" )</f>
        <v>0</v>
      </c>
      <c r="I5" s="11">
        <f>COUNTIFS(Beans!B:B, A5, Beans!A:A, "&gt;=2026-3-1", Beans!A:A,"&lt;2026-4-1" )</f>
        <v>0</v>
      </c>
      <c r="J5" s="11">
        <f>COUNTIFS(Beans!B:B, A5, Beans!A:A, "&gt;=2026-4-1", Beans!A:A,"&lt;2026-5-1" )</f>
        <v>0</v>
      </c>
      <c r="K5" s="7">
        <f>COUNTIFS(Beans!B:B, A5, Beans!A:A, "&gt;=2026-5-1", Beans!A:A,"&lt;2026-6-1" )</f>
        <v>0</v>
      </c>
      <c r="L5" s="11">
        <f>COUNTIFS(Beans!B:B, A5, Beans!A:A, "&gt;=2026-6-1", Beans!A:A,"&lt;2026-7-1" )</f>
        <v>0</v>
      </c>
      <c r="M5" s="11">
        <f>COUNTIFS(Beans!B:B, A5, Beans!A:A, "&gt;=2026-7-1", Beans!A:A,"&lt;2026-8-1" )</f>
        <v>0</v>
      </c>
      <c r="N5" s="7">
        <f>COUNTIFS(Beans!B:B, A5, Beans!A:A, "&gt;=2026-8-1", Beans!A:A,"&lt;2026-9-1" )</f>
        <v>0</v>
      </c>
      <c r="O5" s="11">
        <f>COUNTIFS(Beans!B:B, A5, Beans!A:A, "&gt;=2026-9-1", Beans!A:A,"&lt;2026-10-1" )</f>
        <v>3</v>
      </c>
      <c r="P5" s="11">
        <f>COUNTIFS(Beans!B:B, A5, Beans!A:A, "&gt;=2026-10-1", Beans!A:A,"&lt;2026-11-1" )</f>
        <v>0</v>
      </c>
      <c r="Q5" s="7">
        <f>COUNTIFS(Beans!B:B, A5, Beans!A:A, "&gt;=2026-11-1", Beans!A:A,"&lt;2026-12-1" )</f>
        <v>0</v>
      </c>
      <c r="R5" s="15">
        <f>COUNTIFS(Beans!B:B, A5, Beans!A:A, "&gt;=2026-12-1", Beans!A:A,"&lt;2027-1-1" )</f>
        <v>0</v>
      </c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 t="shared" si="1"/>
        <v>0</v>
      </c>
      <c r="F6" s="12" t="str">
        <f>IF(E6+E7 = 0, "n/a", E6/(E6+E7))</f>
        <v>n/a</v>
      </c>
      <c r="G6" s="11">
        <f>COUNTIFS(Beans!B:B, A6, Beans!A:A, "&gt;=2026-1-1", Beans!A:A,"&lt;2026-2-1" )</f>
        <v>0</v>
      </c>
      <c r="H6" s="7">
        <f>COUNTIFS(Beans!B:B, A6, Beans!A:A, "&gt;=2026-2-1", Beans!A:A,"&lt;2026-3-1" )</f>
        <v>0</v>
      </c>
      <c r="I6" s="11">
        <f>COUNTIFS(Beans!B:B, A6, Beans!A:A, "&gt;=2026-3-1", Beans!A:A,"&lt;2026-4-1" )</f>
        <v>0</v>
      </c>
      <c r="J6" s="11">
        <f>COUNTIFS(Beans!B:B, A6, Beans!A:A, "&gt;=2026-4-1", Beans!A:A,"&lt;2026-5-1" )</f>
        <v>0</v>
      </c>
      <c r="K6" s="7">
        <f>COUNTIFS(Beans!B:B, A6, Beans!A:A, "&gt;=2026-5-1", Beans!A:A,"&lt;2026-6-1" )</f>
        <v>0</v>
      </c>
      <c r="L6" s="11">
        <f>COUNTIFS(Beans!B:B, A6, Beans!A:A, "&gt;=2026-6-1", Beans!A:A,"&lt;2026-7-1" )</f>
        <v>0</v>
      </c>
      <c r="M6" s="11">
        <f>COUNTIFS(Beans!B:B, A6, Beans!A:A, "&gt;=2026-7-1", Beans!A:A,"&lt;2026-8-1" )</f>
        <v>0</v>
      </c>
      <c r="N6" s="7">
        <f>COUNTIFS(Beans!B:B, A6, Beans!A:A, "&gt;=2026-8-1", Beans!A:A,"&lt;2026-9-1" )</f>
        <v>0</v>
      </c>
      <c r="O6" s="11">
        <f>COUNTIFS(Beans!B:B, A6, Beans!A:A, "&gt;=2026-9-1", Beans!A:A,"&lt;2026-10-1" )</f>
        <v>0</v>
      </c>
      <c r="P6" s="11">
        <f>COUNTIFS(Beans!B:B, A6, Beans!A:A, "&gt;=2026-10-1", Beans!A:A,"&lt;2026-11-1" )</f>
        <v>0</v>
      </c>
      <c r="Q6" s="7">
        <f>COUNTIFS(Beans!B:B, A6, Beans!A:A, "&gt;=2026-11-1", Beans!A:A,"&lt;2026-12-1" )</f>
        <v>0</v>
      </c>
      <c r="R6" s="15">
        <f>COUNTIFS(Beans!B:B, A6, Beans!A:A, "&gt;=2026-12-1", Beans!A:A,"&lt;2027-1-1" )</f>
        <v>0</v>
      </c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 t="shared" si="1"/>
        <v>0</v>
      </c>
      <c r="F7" s="12" t="str">
        <f>IF(E6+E7 = 0, "n/a", E7/(E6+E7))</f>
        <v>n/a</v>
      </c>
      <c r="G7" s="11">
        <f>COUNTIFS(Beans!B:B, A7, Beans!A:A, "&gt;=2026-1-1", Beans!A:A,"&lt;2026-2-1" )</f>
        <v>0</v>
      </c>
      <c r="H7" s="7">
        <f>COUNTIFS(Beans!B:B, A7, Beans!A:A, "&gt;=2026-2-1", Beans!A:A,"&lt;2026-3-1" )</f>
        <v>0</v>
      </c>
      <c r="I7" s="11">
        <f>COUNTIFS(Beans!B:B, A7, Beans!A:A, "&gt;=2026-3-1", Beans!A:A,"&lt;2026-4-1" )</f>
        <v>0</v>
      </c>
      <c r="J7" s="11">
        <f>COUNTIFS(Beans!B:B, A7, Beans!A:A, "&gt;=2026-4-1", Beans!A:A,"&lt;2026-5-1" )</f>
        <v>0</v>
      </c>
      <c r="K7" s="7">
        <f>COUNTIFS(Beans!B:B, A7, Beans!A:A, "&gt;=2026-5-1", Beans!A:A,"&lt;2026-6-1" )</f>
        <v>0</v>
      </c>
      <c r="L7" s="11">
        <f>COUNTIFS(Beans!B:B, A7, Beans!A:A, "&gt;=2026-6-1", Beans!A:A,"&lt;2026-7-1" )</f>
        <v>0</v>
      </c>
      <c r="M7" s="11">
        <f>COUNTIFS(Beans!B:B, A7, Beans!A:A, "&gt;=2026-7-1", Beans!A:A,"&lt;2026-8-1" )</f>
        <v>0</v>
      </c>
      <c r="N7" s="7">
        <f>COUNTIFS(Beans!B:B, A7, Beans!A:A, "&gt;=2026-8-1", Beans!A:A,"&lt;2026-9-1" )</f>
        <v>0</v>
      </c>
      <c r="O7" s="11">
        <f>COUNTIFS(Beans!B:B, A7, Beans!A:A, "&gt;=2026-9-1", Beans!A:A,"&lt;2026-10-1" )</f>
        <v>0</v>
      </c>
      <c r="P7" s="11">
        <f>COUNTIFS(Beans!B:B, A7, Beans!A:A, "&gt;=2026-10-1", Beans!A:A,"&lt;2026-11-1" )</f>
        <v>0</v>
      </c>
      <c r="Q7" s="7">
        <f>COUNTIFS(Beans!B:B, A7, Beans!A:A, "&gt;=2026-11-1", Beans!A:A,"&lt;2026-12-1" )</f>
        <v>0</v>
      </c>
      <c r="R7" s="15">
        <f>COUNTIFS(Beans!B:B, A7, Beans!A:A, "&gt;=2026-12-1", Beans!A:A,"&lt;2027-1-1" )</f>
        <v>0</v>
      </c>
    </row>
    <row r="8" ht="30.0" customHeight="1">
      <c r="A8" s="9" t="s">
        <v>53</v>
      </c>
      <c r="B8" s="6" t="s">
        <v>16</v>
      </c>
      <c r="C8" s="10" t="s">
        <v>102</v>
      </c>
      <c r="D8" s="11" t="str">
        <f>D9</f>
        <v/>
      </c>
      <c r="E8" s="11">
        <f t="shared" si="1"/>
        <v>0</v>
      </c>
      <c r="F8" s="12" t="str">
        <f>IF(E8+E9 = 0, "n/a", E8/(E8+E9))</f>
        <v>n/a</v>
      </c>
      <c r="G8" s="11">
        <f>COUNTIFS(Beans!B:B, A8, Beans!A:A, "&gt;=2026-1-1", Beans!A:A,"&lt;2026-2-1" )</f>
        <v>0</v>
      </c>
      <c r="H8" s="7">
        <f>COUNTIFS(Beans!B:B, A8, Beans!A:A, "&gt;=2026-2-1", Beans!A:A,"&lt;2026-3-1" )</f>
        <v>0</v>
      </c>
      <c r="I8" s="11">
        <f>COUNTIFS(Beans!B:B, A8, Beans!A:A, "&gt;=2026-3-1", Beans!A:A,"&lt;2026-4-1" )</f>
        <v>0</v>
      </c>
      <c r="J8" s="11">
        <f>COUNTIFS(Beans!B:B, A8, Beans!A:A, "&gt;=2026-4-1", Beans!A:A,"&lt;2026-5-1" )</f>
        <v>0</v>
      </c>
      <c r="K8" s="7">
        <f>COUNTIFS(Beans!B:B, A8, Beans!A:A, "&gt;=2026-5-1", Beans!A:A,"&lt;2026-6-1" )</f>
        <v>0</v>
      </c>
      <c r="L8" s="11">
        <f>COUNTIFS(Beans!B:B, A8, Beans!A:A, "&gt;=2026-6-1", Beans!A:A,"&lt;2026-7-1" )</f>
        <v>0</v>
      </c>
      <c r="M8" s="11">
        <f>COUNTIFS(Beans!B:B, A8, Beans!A:A, "&gt;=2026-7-1", Beans!A:A,"&lt;2026-8-1" )</f>
        <v>0</v>
      </c>
      <c r="N8" s="7">
        <f>COUNTIFS(Beans!B:B, A8, Beans!A:A, "&gt;=2026-8-1", Beans!A:A,"&lt;2026-9-1" )</f>
        <v>0</v>
      </c>
      <c r="O8" s="11">
        <f>COUNTIFS(Beans!B:B, A8, Beans!A:A, "&gt;=2026-9-1", Beans!A:A,"&lt;2026-10-1" )</f>
        <v>0</v>
      </c>
      <c r="P8" s="11">
        <f>COUNTIFS(Beans!B:B, A8, Beans!A:A, "&gt;=2026-10-1", Beans!A:A,"&lt;2026-11-1" )</f>
        <v>0</v>
      </c>
      <c r="Q8" s="7">
        <f>COUNTIFS(Beans!B:B, A8, Beans!A:A, "&gt;=2026-11-1", Beans!A:A,"&lt;2026-12-1" )</f>
        <v>0</v>
      </c>
      <c r="R8" s="15">
        <f>COUNTIFS(Beans!B:B, A8, Beans!A:A, "&gt;=2026-12-1", Beans!A:A,"&lt;2027-1-1" )</f>
        <v>0</v>
      </c>
    </row>
    <row r="9" ht="30.0" customHeight="1">
      <c r="A9" s="9" t="s">
        <v>14</v>
      </c>
      <c r="B9" s="6" t="s">
        <v>21</v>
      </c>
      <c r="C9" s="10" t="s">
        <v>102</v>
      </c>
      <c r="D9" s="11"/>
      <c r="E9" s="11">
        <f t="shared" si="1"/>
        <v>0</v>
      </c>
      <c r="F9" s="12" t="str">
        <f>IF(E8+E9 = 0, "n/a", E9/(E8+E9))</f>
        <v>n/a</v>
      </c>
      <c r="G9" s="11">
        <f>COUNTIFS(Beans!B:B, A9, Beans!A:A, "&gt;=2026-1-1", Beans!A:A,"&lt;2026-2-1" )</f>
        <v>0</v>
      </c>
      <c r="H9" s="7">
        <f>COUNTIFS(Beans!B:B, A9, Beans!A:A, "&gt;=2026-2-1", Beans!A:A,"&lt;2026-3-1" )</f>
        <v>0</v>
      </c>
      <c r="I9" s="11">
        <f>COUNTIFS(Beans!B:B, A9, Beans!A:A, "&gt;=2026-3-1", Beans!A:A,"&lt;2026-4-1" )</f>
        <v>0</v>
      </c>
      <c r="J9" s="11">
        <f>COUNTIFS(Beans!B:B, A9, Beans!A:A, "&gt;=2026-4-1", Beans!A:A,"&lt;2026-5-1" )</f>
        <v>0</v>
      </c>
      <c r="K9" s="7">
        <f>COUNTIFS(Beans!B:B, A9, Beans!A:A, "&gt;=2026-5-1", Beans!A:A,"&lt;2026-6-1" )</f>
        <v>0</v>
      </c>
      <c r="L9" s="11">
        <f>COUNTIFS(Beans!B:B, A9, Beans!A:A, "&gt;=2026-6-1", Beans!A:A,"&lt;2026-7-1" )</f>
        <v>0</v>
      </c>
      <c r="M9" s="11">
        <f>COUNTIFS(Beans!B:B, A9, Beans!A:A, "&gt;=2026-7-1", Beans!A:A,"&lt;2026-8-1" )</f>
        <v>0</v>
      </c>
      <c r="N9" s="7">
        <f>COUNTIFS(Beans!B:B, A9, Beans!A:A, "&gt;=2026-8-1", Beans!A:A,"&lt;2026-9-1" )</f>
        <v>0</v>
      </c>
      <c r="O9" s="11">
        <f>COUNTIFS(Beans!B:B, A9, Beans!A:A, "&gt;=2026-9-1", Beans!A:A,"&lt;2026-10-1" )</f>
        <v>0</v>
      </c>
      <c r="P9" s="11">
        <f>COUNTIFS(Beans!B:B, A9, Beans!A:A, "&gt;=2026-10-1", Beans!A:A,"&lt;2026-11-1" )</f>
        <v>0</v>
      </c>
      <c r="Q9" s="7">
        <f>COUNTIFS(Beans!B:B, A9, Beans!A:A, "&gt;=2026-11-1", Beans!A:A,"&lt;2026-12-1" )</f>
        <v>0</v>
      </c>
      <c r="R9" s="15">
        <f>COUNTIFS(Beans!B:B, A9, Beans!A:A, "&gt;=2026-12-1", Beans!A:A,"&lt;2027-1-1" )</f>
        <v>0</v>
      </c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 t="shared" si="1"/>
        <v>1</v>
      </c>
      <c r="F10" s="12">
        <f>IF(E10+E11 = 0, "n/a", E10/(E10+E11))</f>
        <v>0.1666666667</v>
      </c>
      <c r="G10" s="11">
        <f>COUNTIFS(Beans!B:B, A10, Beans!A:A, "&gt;=2026-1-1", Beans!A:A,"&lt;2026-2-1" )</f>
        <v>0</v>
      </c>
      <c r="H10" s="7">
        <f>COUNTIFS(Beans!B:B, A10, Beans!A:A, "&gt;=2026-2-1", Beans!A:A,"&lt;2026-3-1" )</f>
        <v>0</v>
      </c>
      <c r="I10" s="11">
        <f>COUNTIFS(Beans!B:B, A10, Beans!A:A, "&gt;=2026-3-1", Beans!A:A,"&lt;2026-4-1" )</f>
        <v>0</v>
      </c>
      <c r="J10" s="11">
        <f>COUNTIFS(Beans!B:B, A10, Beans!A:A, "&gt;=2026-4-1", Beans!A:A,"&lt;2026-5-1" )</f>
        <v>0</v>
      </c>
      <c r="K10" s="7">
        <f>COUNTIFS(Beans!B:B, A10, Beans!A:A, "&gt;=2026-5-1", Beans!A:A,"&lt;2026-6-1" )</f>
        <v>1</v>
      </c>
      <c r="L10" s="11">
        <f>COUNTIFS(Beans!B:B, A10, Beans!A:A, "&gt;=2026-6-1", Beans!A:A,"&lt;2026-7-1" )</f>
        <v>0</v>
      </c>
      <c r="M10" s="11">
        <f>COUNTIFS(Beans!B:B, A10, Beans!A:A, "&gt;=2026-7-1", Beans!A:A,"&lt;2026-8-1" )</f>
        <v>0</v>
      </c>
      <c r="N10" s="7">
        <f>COUNTIFS(Beans!B:B, A10, Beans!A:A, "&gt;=2026-8-1", Beans!A:A,"&lt;2026-9-1" )</f>
        <v>0</v>
      </c>
      <c r="O10" s="11">
        <f>COUNTIFS(Beans!B:B, A10, Beans!A:A, "&gt;=2026-9-1", Beans!A:A,"&lt;2026-10-1" )</f>
        <v>0</v>
      </c>
      <c r="P10" s="11">
        <f>COUNTIFS(Beans!B:B, A10, Beans!A:A, "&gt;=2026-10-1", Beans!A:A,"&lt;2026-11-1" )</f>
        <v>0</v>
      </c>
      <c r="Q10" s="7">
        <f>COUNTIFS(Beans!B:B, A10, Beans!A:A, "&gt;=2026-11-1", Beans!A:A,"&lt;2026-12-1" )</f>
        <v>0</v>
      </c>
      <c r="R10" s="15">
        <f>COUNTIFS(Beans!B:B, A10, Beans!A:A, "&gt;=2026-12-1", Beans!A:A,"&lt;2027-1-1" )</f>
        <v>0</v>
      </c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 t="shared" si="1"/>
        <v>5</v>
      </c>
      <c r="F11" s="12">
        <f>IF(E10+E11 = 0, "n/a", E11/(E10+E11))</f>
        <v>0.8333333333</v>
      </c>
      <c r="G11" s="11">
        <f>COUNTIFS(Beans!B:B, A11, Beans!A:A, "&gt;=2026-1-1", Beans!A:A,"&lt;2026-2-1" )</f>
        <v>1</v>
      </c>
      <c r="H11" s="7">
        <f>COUNTIFS(Beans!B:B, A11, Beans!A:A, "&gt;=2026-2-1", Beans!A:A,"&lt;2026-3-1" )</f>
        <v>0</v>
      </c>
      <c r="I11" s="11">
        <f>COUNTIFS(Beans!B:B, A11, Beans!A:A, "&gt;=2026-3-1", Beans!A:A,"&lt;2026-4-1" )</f>
        <v>0</v>
      </c>
      <c r="J11" s="11">
        <f>COUNTIFS(Beans!B:B, A11, Beans!A:A, "&gt;=2026-4-1", Beans!A:A,"&lt;2026-5-1" )</f>
        <v>1</v>
      </c>
      <c r="K11" s="7">
        <f>COUNTIFS(Beans!B:B, A11, Beans!A:A, "&gt;=2026-5-1", Beans!A:A,"&lt;2026-6-1" )</f>
        <v>1</v>
      </c>
      <c r="L11" s="11">
        <f>COUNTIFS(Beans!B:B, A11, Beans!A:A, "&gt;=2026-6-1", Beans!A:A,"&lt;2026-7-1" )</f>
        <v>1</v>
      </c>
      <c r="M11" s="11">
        <f>COUNTIFS(Beans!B:B, A11, Beans!A:A, "&gt;=2026-7-1", Beans!A:A,"&lt;2026-8-1" )</f>
        <v>0</v>
      </c>
      <c r="N11" s="7">
        <f>COUNTIFS(Beans!B:B, A11, Beans!A:A, "&gt;=2026-8-1", Beans!A:A,"&lt;2026-9-1" )</f>
        <v>0</v>
      </c>
      <c r="O11" s="11">
        <f>COUNTIFS(Beans!B:B, A11, Beans!A:A, "&gt;=2026-9-1", Beans!A:A,"&lt;2026-10-1" )</f>
        <v>1</v>
      </c>
      <c r="P11" s="11">
        <f>COUNTIFS(Beans!B:B, A11, Beans!A:A, "&gt;=2026-10-1", Beans!A:A,"&lt;2026-11-1" )</f>
        <v>0</v>
      </c>
      <c r="Q11" s="7">
        <f>COUNTIFS(Beans!B:B, A11, Beans!A:A, "&gt;=2026-11-1", Beans!A:A,"&lt;2026-12-1" )</f>
        <v>0</v>
      </c>
      <c r="R11" s="15">
        <f>COUNTIFS(Beans!B:B, A11, Beans!A:A, "&gt;=2026-12-1", Beans!A:A,"&lt;2027-1-1" )</f>
        <v>0</v>
      </c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 t="shared" si="1"/>
        <v>3</v>
      </c>
      <c r="F12" s="12">
        <f>IF(E12+E13 = 0, "n/a", E12/(E12+E13))</f>
        <v>0.5</v>
      </c>
      <c r="G12" s="11">
        <f>COUNTIFS(Beans!B:B, A12, Beans!A:A, "&gt;=2026-1-1", Beans!A:A,"&lt;2026-2-1" )</f>
        <v>0</v>
      </c>
      <c r="H12" s="7">
        <f>COUNTIFS(Beans!B:B, A12, Beans!A:A, "&gt;=2026-2-1", Beans!A:A,"&lt;2026-3-1" )</f>
        <v>0</v>
      </c>
      <c r="I12" s="11">
        <f>COUNTIFS(Beans!B:B, A12, Beans!A:A, "&gt;=2026-3-1", Beans!A:A,"&lt;2026-4-1" )</f>
        <v>0</v>
      </c>
      <c r="J12" s="11">
        <f>COUNTIFS(Beans!B:B, A12, Beans!A:A, "&gt;=2026-4-1", Beans!A:A,"&lt;2026-5-1" )</f>
        <v>1</v>
      </c>
      <c r="K12" s="7">
        <f>COUNTIFS(Beans!B:B, A12, Beans!A:A, "&gt;=2026-5-1", Beans!A:A,"&lt;2026-6-1" )</f>
        <v>1</v>
      </c>
      <c r="L12" s="11">
        <f>COUNTIFS(Beans!B:B, A12, Beans!A:A, "&gt;=2026-6-1", Beans!A:A,"&lt;2026-7-1" )</f>
        <v>0</v>
      </c>
      <c r="M12" s="11">
        <f>COUNTIFS(Beans!B:B, A12, Beans!A:A, "&gt;=2026-7-1", Beans!A:A,"&lt;2026-8-1" )</f>
        <v>0</v>
      </c>
      <c r="N12" s="7">
        <f>COUNTIFS(Beans!B:B, A12, Beans!A:A, "&gt;=2026-8-1", Beans!A:A,"&lt;2026-9-1" )</f>
        <v>0</v>
      </c>
      <c r="O12" s="11">
        <f>COUNTIFS(Beans!B:B, A12, Beans!A:A, "&gt;=2026-9-1", Beans!A:A,"&lt;2026-10-1" )</f>
        <v>1</v>
      </c>
      <c r="P12" s="11">
        <f>COUNTIFS(Beans!B:B, A12, Beans!A:A, "&gt;=2026-10-1", Beans!A:A,"&lt;2026-11-1" )</f>
        <v>0</v>
      </c>
      <c r="Q12" s="7">
        <f>COUNTIFS(Beans!B:B, A12, Beans!A:A, "&gt;=2026-11-1", Beans!A:A,"&lt;2026-12-1" )</f>
        <v>0</v>
      </c>
      <c r="R12" s="15">
        <f>COUNTIFS(Beans!B:B, A12, Beans!A:A, "&gt;=2026-12-1", Beans!A:A,"&lt;2027-1-1" )</f>
        <v>0</v>
      </c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 t="shared" si="1"/>
        <v>3</v>
      </c>
      <c r="F13" s="12">
        <f>IF(E12+E13 = 0, "n/a", E13/(E12+E13))</f>
        <v>0.5</v>
      </c>
      <c r="G13" s="11">
        <f>COUNTIFS(Beans!B:B, A13, Beans!A:A, "&gt;=2026-1-1", Beans!A:A,"&lt;2026-2-1" )</f>
        <v>0</v>
      </c>
      <c r="H13" s="7">
        <f>COUNTIFS(Beans!B:B, A13, Beans!A:A, "&gt;=2026-2-1", Beans!A:A,"&lt;2026-3-1" )</f>
        <v>0</v>
      </c>
      <c r="I13" s="11">
        <f>COUNTIFS(Beans!B:B, A13, Beans!A:A, "&gt;=2026-3-1", Beans!A:A,"&lt;2026-4-1" )</f>
        <v>0</v>
      </c>
      <c r="J13" s="11">
        <f>COUNTIFS(Beans!B:B, A13, Beans!A:A, "&gt;=2026-4-1", Beans!A:A,"&lt;2026-5-1" )</f>
        <v>0</v>
      </c>
      <c r="K13" s="7">
        <f>COUNTIFS(Beans!B:B, A13, Beans!A:A, "&gt;=2026-5-1", Beans!A:A,"&lt;2026-6-1" )</f>
        <v>0</v>
      </c>
      <c r="L13" s="11">
        <f>COUNTIFS(Beans!B:B, A13, Beans!A:A, "&gt;=2026-6-1", Beans!A:A,"&lt;2026-7-1" )</f>
        <v>0</v>
      </c>
      <c r="M13" s="11">
        <f>COUNTIFS(Beans!B:B, A13, Beans!A:A, "&gt;=2026-7-1", Beans!A:A,"&lt;2026-8-1" )</f>
        <v>0</v>
      </c>
      <c r="N13" s="7">
        <f>COUNTIFS(Beans!B:B, A13, Beans!A:A, "&gt;=2026-8-1", Beans!A:A,"&lt;2026-9-1" )</f>
        <v>1</v>
      </c>
      <c r="O13" s="11">
        <f>COUNTIFS(Beans!B:B, A13, Beans!A:A, "&gt;=2026-9-1", Beans!A:A,"&lt;2026-10-1" )</f>
        <v>2</v>
      </c>
      <c r="P13" s="11">
        <f>COUNTIFS(Beans!B:B, A13, Beans!A:A, "&gt;=2026-10-1", Beans!A:A,"&lt;2026-11-1" )</f>
        <v>0</v>
      </c>
      <c r="Q13" s="7">
        <f>COUNTIFS(Beans!B:B, A13, Beans!A:A, "&gt;=2026-11-1", Beans!A:A,"&lt;2026-12-1" )</f>
        <v>0</v>
      </c>
      <c r="R13" s="15">
        <f>COUNTIFS(Beans!B:B, A13, Beans!A:A, "&gt;=2026-12-1", Beans!A:A,"&lt;2027-1-1" )</f>
        <v>0</v>
      </c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 t="shared" si="1"/>
        <v>4</v>
      </c>
      <c r="F14" s="12">
        <f>IF(E14+E15 = 0, "n/a", E14/(E14+E15))</f>
        <v>0.2857142857</v>
      </c>
      <c r="G14" s="11">
        <f>COUNTIFS(Beans!B:B, A14, Beans!A:A, "&gt;=2026-1-1", Beans!A:A,"&lt;2026-2-1" )</f>
        <v>0</v>
      </c>
      <c r="H14" s="7">
        <f>COUNTIFS(Beans!B:B, A14, Beans!A:A, "&gt;=2026-2-1", Beans!A:A,"&lt;2026-3-1" )</f>
        <v>2</v>
      </c>
      <c r="I14" s="11">
        <f>COUNTIFS(Beans!B:B, A14, Beans!A:A, "&gt;=2026-3-1", Beans!A:A,"&lt;2026-4-1" )</f>
        <v>0</v>
      </c>
      <c r="J14" s="11">
        <f>COUNTIFS(Beans!B:B, A14, Beans!A:A, "&gt;=2026-4-1", Beans!A:A,"&lt;2026-5-1" )</f>
        <v>0</v>
      </c>
      <c r="K14" s="7">
        <f>COUNTIFS(Beans!B:B, A14, Beans!A:A, "&gt;=2026-5-1", Beans!A:A,"&lt;2026-6-1" )</f>
        <v>1</v>
      </c>
      <c r="L14" s="11">
        <f>COUNTIFS(Beans!B:B, A14, Beans!A:A, "&gt;=2026-6-1", Beans!A:A,"&lt;2026-7-1" )</f>
        <v>0</v>
      </c>
      <c r="M14" s="11">
        <f>COUNTIFS(Beans!B:B, A14, Beans!A:A, "&gt;=2026-7-1", Beans!A:A,"&lt;2026-8-1" )</f>
        <v>0</v>
      </c>
      <c r="N14" s="7">
        <f>COUNTIFS(Beans!B:B, A14, Beans!A:A, "&gt;=2026-8-1", Beans!A:A,"&lt;2026-9-1" )</f>
        <v>1</v>
      </c>
      <c r="O14" s="11">
        <f>COUNTIFS(Beans!B:B, A14, Beans!A:A, "&gt;=2026-9-1", Beans!A:A,"&lt;2026-10-1" )</f>
        <v>0</v>
      </c>
      <c r="P14" s="11">
        <f>COUNTIFS(Beans!B:B, A14, Beans!A:A, "&gt;=2026-10-1", Beans!A:A,"&lt;2026-11-1" )</f>
        <v>0</v>
      </c>
      <c r="Q14" s="7">
        <f>COUNTIFS(Beans!B:B, A14, Beans!A:A, "&gt;=2026-11-1", Beans!A:A,"&lt;2026-12-1" )</f>
        <v>0</v>
      </c>
      <c r="R14" s="15">
        <f>COUNTIFS(Beans!B:B, A14, Beans!A:A, "&gt;=2026-12-1", Beans!A:A,"&lt;2027-1-1" )</f>
        <v>0</v>
      </c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 t="shared" si="1"/>
        <v>10</v>
      </c>
      <c r="F15" s="12">
        <f>IF(E14+E15 = 0, "n/a", E15/(E14+E15))</f>
        <v>0.7142857143</v>
      </c>
      <c r="G15" s="11">
        <f>COUNTIFS(Beans!B:B, A15, Beans!A:A, "&gt;=2026-1-1", Beans!A:A,"&lt;2026-2-1" )</f>
        <v>3</v>
      </c>
      <c r="H15" s="7">
        <f>COUNTIFS(Beans!B:B, A15, Beans!A:A, "&gt;=2026-2-1", Beans!A:A,"&lt;2026-3-1" )</f>
        <v>2</v>
      </c>
      <c r="I15" s="11">
        <f>COUNTIFS(Beans!B:B, A15, Beans!A:A, "&gt;=2026-3-1", Beans!A:A,"&lt;2026-4-1" )</f>
        <v>0</v>
      </c>
      <c r="J15" s="11">
        <f>COUNTIFS(Beans!B:B, A15, Beans!A:A, "&gt;=2026-4-1", Beans!A:A,"&lt;2026-5-1" )</f>
        <v>0</v>
      </c>
      <c r="K15" s="7">
        <f>COUNTIFS(Beans!B:B, A15, Beans!A:A, "&gt;=2026-5-1", Beans!A:A,"&lt;2026-6-1" )</f>
        <v>1</v>
      </c>
      <c r="L15" s="11">
        <f>COUNTIFS(Beans!B:B, A15, Beans!A:A, "&gt;=2026-6-1", Beans!A:A,"&lt;2026-7-1" )</f>
        <v>0</v>
      </c>
      <c r="M15" s="11">
        <f>COUNTIFS(Beans!B:B, A15, Beans!A:A, "&gt;=2026-7-1", Beans!A:A,"&lt;2026-8-1" )</f>
        <v>1</v>
      </c>
      <c r="N15" s="7">
        <f>COUNTIFS(Beans!B:B, A15, Beans!A:A, "&gt;=2026-8-1", Beans!A:A,"&lt;2026-9-1" )</f>
        <v>1</v>
      </c>
      <c r="O15" s="11">
        <f>COUNTIFS(Beans!B:B, A15, Beans!A:A, "&gt;=2026-9-1", Beans!A:A,"&lt;2026-10-1" )</f>
        <v>2</v>
      </c>
      <c r="P15" s="11">
        <f>COUNTIFS(Beans!B:B, A15, Beans!A:A, "&gt;=2026-10-1", Beans!A:A,"&lt;2026-11-1" )</f>
        <v>0</v>
      </c>
      <c r="Q15" s="7">
        <f>COUNTIFS(Beans!B:B, A15, Beans!A:A, "&gt;=2026-11-1", Beans!A:A,"&lt;2026-12-1" )</f>
        <v>0</v>
      </c>
      <c r="R15" s="15">
        <f>COUNTIFS(Beans!B:B, A15, Beans!A:A, "&gt;=2026-12-1", Beans!A:A,"&lt;2027-1-1" )</f>
        <v>0</v>
      </c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 t="shared" si="1"/>
        <v>3</v>
      </c>
      <c r="F16" s="12">
        <f>IF(E16+E17 = 0, "n/a", E16/(E16+E17))</f>
        <v>0.375</v>
      </c>
      <c r="G16" s="11">
        <f>COUNTIFS(Beans!B:B, A16, Beans!A:A, "&gt;=2026-1-1", Beans!A:A,"&lt;2026-2-1" )</f>
        <v>1</v>
      </c>
      <c r="H16" s="7">
        <f>COUNTIFS(Beans!B:B, A16, Beans!A:A, "&gt;=2026-2-1", Beans!A:A,"&lt;2026-3-1" )</f>
        <v>2</v>
      </c>
      <c r="I16" s="11">
        <f>COUNTIFS(Beans!B:B, A16, Beans!A:A, "&gt;=2026-3-1", Beans!A:A,"&lt;2026-4-1" )</f>
        <v>0</v>
      </c>
      <c r="J16" s="11">
        <f>COUNTIFS(Beans!B:B, A16, Beans!A:A, "&gt;=2026-4-1", Beans!A:A,"&lt;2026-5-1" )</f>
        <v>0</v>
      </c>
      <c r="K16" s="7">
        <f>COUNTIFS(Beans!B:B, A16, Beans!A:A, "&gt;=2026-5-1", Beans!A:A,"&lt;2026-6-1" )</f>
        <v>0</v>
      </c>
      <c r="L16" s="11">
        <f>COUNTIFS(Beans!B:B, A16, Beans!A:A, "&gt;=2026-6-1", Beans!A:A,"&lt;2026-7-1" )</f>
        <v>0</v>
      </c>
      <c r="M16" s="11">
        <f>COUNTIFS(Beans!B:B, A16, Beans!A:A, "&gt;=2026-7-1", Beans!A:A,"&lt;2026-8-1" )</f>
        <v>0</v>
      </c>
      <c r="N16" s="7">
        <f>COUNTIFS(Beans!B:B, A16, Beans!A:A, "&gt;=2026-8-1", Beans!A:A,"&lt;2026-9-1" )</f>
        <v>0</v>
      </c>
      <c r="O16" s="11">
        <f>COUNTIFS(Beans!B:B, A16, Beans!A:A, "&gt;=2026-9-1", Beans!A:A,"&lt;2026-10-1" )</f>
        <v>0</v>
      </c>
      <c r="P16" s="11">
        <f>COUNTIFS(Beans!B:B, A16, Beans!A:A, "&gt;=2026-10-1", Beans!A:A,"&lt;2026-11-1" )</f>
        <v>0</v>
      </c>
      <c r="Q16" s="7">
        <f>COUNTIFS(Beans!B:B, A16, Beans!A:A, "&gt;=2026-11-1", Beans!A:A,"&lt;2026-12-1" )</f>
        <v>0</v>
      </c>
      <c r="R16" s="15">
        <f>COUNTIFS(Beans!B:B, A16, Beans!A:A, "&gt;=2026-12-1", Beans!A:A,"&lt;2027-1-1" )</f>
        <v>0</v>
      </c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 t="shared" si="1"/>
        <v>5</v>
      </c>
      <c r="F17" s="12">
        <f>IF(E16+E17 = 0, "n/a", E17/(E16+E17))</f>
        <v>0.625</v>
      </c>
      <c r="G17" s="11">
        <f>COUNTIFS(Beans!B:B, A17, Beans!A:A, "&gt;=2026-1-1", Beans!A:A,"&lt;2026-2-1" )</f>
        <v>2</v>
      </c>
      <c r="H17" s="7">
        <f>COUNTIFS(Beans!B:B, A17, Beans!A:A, "&gt;=2026-2-1", Beans!A:A,"&lt;2026-3-1" )</f>
        <v>0</v>
      </c>
      <c r="I17" s="11">
        <f>COUNTIFS(Beans!B:B, A17, Beans!A:A, "&gt;=2026-3-1", Beans!A:A,"&lt;2026-4-1" )</f>
        <v>0</v>
      </c>
      <c r="J17" s="11">
        <f>COUNTIFS(Beans!B:B, A17, Beans!A:A, "&gt;=2026-4-1", Beans!A:A,"&lt;2026-5-1" )</f>
        <v>1</v>
      </c>
      <c r="K17" s="7">
        <f>COUNTIFS(Beans!B:B, A17, Beans!A:A, "&gt;=2026-5-1", Beans!A:A,"&lt;2026-6-1" )</f>
        <v>1</v>
      </c>
      <c r="L17" s="11">
        <f>COUNTIFS(Beans!B:B, A17, Beans!A:A, "&gt;=2026-6-1", Beans!A:A,"&lt;2026-7-1" )</f>
        <v>0</v>
      </c>
      <c r="M17" s="11">
        <f>COUNTIFS(Beans!B:B, A17, Beans!A:A, "&gt;=2026-7-1", Beans!A:A,"&lt;2026-8-1" )</f>
        <v>0</v>
      </c>
      <c r="N17" s="7">
        <f>COUNTIFS(Beans!B:B, A17, Beans!A:A, "&gt;=2026-8-1", Beans!A:A,"&lt;2026-9-1" )</f>
        <v>0</v>
      </c>
      <c r="O17" s="11">
        <f>COUNTIFS(Beans!B:B, A17, Beans!A:A, "&gt;=2026-9-1", Beans!A:A,"&lt;2026-10-1" )</f>
        <v>1</v>
      </c>
      <c r="P17" s="11">
        <f>COUNTIFS(Beans!B:B, A17, Beans!A:A, "&gt;=2026-10-1", Beans!A:A,"&lt;2026-11-1" )</f>
        <v>0</v>
      </c>
      <c r="Q17" s="7">
        <f>COUNTIFS(Beans!B:B, A17, Beans!A:A, "&gt;=2026-11-1", Beans!A:A,"&lt;2026-12-1" )</f>
        <v>0</v>
      </c>
      <c r="R17" s="15">
        <f>COUNTIFS(Beans!B:B, A17, Beans!A:A, "&gt;=2026-12-1", Beans!A:A,"&lt;2027-1-1" )</f>
        <v>0</v>
      </c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 t="shared" si="1"/>
        <v>2</v>
      </c>
      <c r="F18" s="12">
        <f>IF(E18+E19 = 0, "n/a", E18/(E18+E19))</f>
        <v>0.2857142857</v>
      </c>
      <c r="G18" s="11">
        <f>COUNTIFS(Beans!B:B, A18, Beans!A:A, "&gt;=2026-1-1", Beans!A:A,"&lt;2026-2-1" )</f>
        <v>0</v>
      </c>
      <c r="H18" s="7">
        <f>COUNTIFS(Beans!B:B, A18, Beans!A:A, "&gt;=2026-2-1", Beans!A:A,"&lt;2026-3-1" )</f>
        <v>0</v>
      </c>
      <c r="I18" s="11">
        <f>COUNTIFS(Beans!B:B, A18, Beans!A:A, "&gt;=2026-3-1", Beans!A:A,"&lt;2026-4-1" )</f>
        <v>0</v>
      </c>
      <c r="J18" s="11">
        <f>COUNTIFS(Beans!B:B, A18, Beans!A:A, "&gt;=2026-4-1", Beans!A:A,"&lt;2026-5-1" )</f>
        <v>0</v>
      </c>
      <c r="K18" s="7">
        <f>COUNTIFS(Beans!B:B, A18, Beans!A:A, "&gt;=2026-5-1", Beans!A:A,"&lt;2026-6-1" )</f>
        <v>0</v>
      </c>
      <c r="L18" s="11">
        <f>COUNTIFS(Beans!B:B, A18, Beans!A:A, "&gt;=2026-6-1", Beans!A:A,"&lt;2026-7-1" )</f>
        <v>0</v>
      </c>
      <c r="M18" s="11">
        <f>COUNTIFS(Beans!B:B, A18, Beans!A:A, "&gt;=2026-7-1", Beans!A:A,"&lt;2026-8-1" )</f>
        <v>0</v>
      </c>
      <c r="N18" s="7">
        <f>COUNTIFS(Beans!B:B, A18, Beans!A:A, "&gt;=2026-8-1", Beans!A:A,"&lt;2026-9-1" )</f>
        <v>1</v>
      </c>
      <c r="O18" s="11">
        <f>COUNTIFS(Beans!B:B, A18, Beans!A:A, "&gt;=2026-9-1", Beans!A:A,"&lt;2026-10-1" )</f>
        <v>1</v>
      </c>
      <c r="P18" s="11">
        <f>COUNTIFS(Beans!B:B, A18, Beans!A:A, "&gt;=2026-10-1", Beans!A:A,"&lt;2026-11-1" )</f>
        <v>0</v>
      </c>
      <c r="Q18" s="7">
        <f>COUNTIFS(Beans!B:B, A18, Beans!A:A, "&gt;=2026-11-1", Beans!A:A,"&lt;2026-12-1" )</f>
        <v>0</v>
      </c>
      <c r="R18" s="15">
        <f>COUNTIFS(Beans!B:B, A18, Beans!A:A, "&gt;=2026-12-1", Beans!A:A,"&lt;2027-1-1" )</f>
        <v>0</v>
      </c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 t="shared" si="1"/>
        <v>5</v>
      </c>
      <c r="F19" s="12">
        <f>IF(E18+E19 = 0, "n/a", E19/(E18+E19))</f>
        <v>0.7142857143</v>
      </c>
      <c r="G19" s="11">
        <f>COUNTIFS(Beans!B:B, A19, Beans!A:A, "&gt;=2026-1-1", Beans!A:A,"&lt;2026-2-1" )</f>
        <v>2</v>
      </c>
      <c r="H19" s="7">
        <f>COUNTIFS(Beans!B:B, A19, Beans!A:A, "&gt;=2026-2-1", Beans!A:A,"&lt;2026-3-1" )</f>
        <v>0</v>
      </c>
      <c r="I19" s="11">
        <f>COUNTIFS(Beans!B:B, A19, Beans!A:A, "&gt;=2026-3-1", Beans!A:A,"&lt;2026-4-1" )</f>
        <v>0</v>
      </c>
      <c r="J19" s="11">
        <f>COUNTIFS(Beans!B:B, A19, Beans!A:A, "&gt;=2026-4-1", Beans!A:A,"&lt;2026-5-1" )</f>
        <v>0</v>
      </c>
      <c r="K19" s="7">
        <f>COUNTIFS(Beans!B:B, A19, Beans!A:A, "&gt;=2026-5-1", Beans!A:A,"&lt;2026-6-1" )</f>
        <v>0</v>
      </c>
      <c r="L19" s="11">
        <f>COUNTIFS(Beans!B:B, A19, Beans!A:A, "&gt;=2026-6-1", Beans!A:A,"&lt;2026-7-1" )</f>
        <v>0</v>
      </c>
      <c r="M19" s="11">
        <f>COUNTIFS(Beans!B:B, A19, Beans!A:A, "&gt;=2026-7-1", Beans!A:A,"&lt;2026-8-1" )</f>
        <v>0</v>
      </c>
      <c r="N19" s="7">
        <f>COUNTIFS(Beans!B:B, A19, Beans!A:A, "&gt;=2026-8-1", Beans!A:A,"&lt;2026-9-1" )</f>
        <v>1</v>
      </c>
      <c r="O19" s="11">
        <f>COUNTIFS(Beans!B:B, A19, Beans!A:A, "&gt;=2026-9-1", Beans!A:A,"&lt;2026-10-1" )</f>
        <v>2</v>
      </c>
      <c r="P19" s="11">
        <f>COUNTIFS(Beans!B:B, A19, Beans!A:A, "&gt;=2026-10-1", Beans!A:A,"&lt;2026-11-1" )</f>
        <v>0</v>
      </c>
      <c r="Q19" s="7">
        <f>COUNTIFS(Beans!B:B, A19, Beans!A:A, "&gt;=2026-11-1", Beans!A:A,"&lt;2026-12-1" )</f>
        <v>0</v>
      </c>
      <c r="R19" s="15">
        <f>COUNTIFS(Beans!B:B, A19, Beans!A:A, "&gt;=2026-12-1", Beans!A:A,"&lt;2027-1-1" )</f>
        <v>0</v>
      </c>
    </row>
    <row r="20" ht="47.25" customHeight="1">
      <c r="A20" s="9" t="s">
        <v>67</v>
      </c>
      <c r="B20" s="6" t="s">
        <v>16</v>
      </c>
      <c r="C20" s="10" t="s">
        <v>35</v>
      </c>
      <c r="D20" s="11" t="str">
        <f>D21</f>
        <v/>
      </c>
      <c r="E20" s="11">
        <f t="shared" si="1"/>
        <v>0</v>
      </c>
      <c r="F20" s="12" t="str">
        <f>IF(E20+E21 = 0, "n/a", E20/(E20+E21))</f>
        <v>n/a</v>
      </c>
      <c r="G20" s="11">
        <f>COUNTIFS(Beans!B:B, A20, Beans!A:A, "&gt;=2026-1-1", Beans!A:A,"&lt;2026-2-1" )</f>
        <v>0</v>
      </c>
      <c r="H20" s="7">
        <f>COUNTIFS(Beans!B:B, A20, Beans!A:A, "&gt;=2026-2-1", Beans!A:A,"&lt;2026-3-1" )</f>
        <v>0</v>
      </c>
      <c r="I20" s="11">
        <f>COUNTIFS(Beans!B:B, A20, Beans!A:A, "&gt;=2026-3-1", Beans!A:A,"&lt;2026-4-1" )</f>
        <v>0</v>
      </c>
      <c r="J20" s="11">
        <f>COUNTIFS(Beans!B:B, A20, Beans!A:A, "&gt;=2026-4-1", Beans!A:A,"&lt;2026-5-1" )</f>
        <v>0</v>
      </c>
      <c r="K20" s="7">
        <f>COUNTIFS(Beans!B:B, A20, Beans!A:A, "&gt;=2026-5-1", Beans!A:A,"&lt;2026-6-1" )</f>
        <v>0</v>
      </c>
      <c r="L20" s="11">
        <f>COUNTIFS(Beans!B:B, A20, Beans!A:A, "&gt;=2026-6-1", Beans!A:A,"&lt;2026-7-1" )</f>
        <v>0</v>
      </c>
      <c r="M20" s="11">
        <f>COUNTIFS(Beans!B:B, A20, Beans!A:A, "&gt;=2026-7-1", Beans!A:A,"&lt;2026-8-1" )</f>
        <v>0</v>
      </c>
      <c r="N20" s="7">
        <f>COUNTIFS(Beans!B:B, A20, Beans!A:A, "&gt;=2026-8-1", Beans!A:A,"&lt;2026-9-1" )</f>
        <v>0</v>
      </c>
      <c r="O20" s="11">
        <f>COUNTIFS(Beans!B:B, A20, Beans!A:A, "&gt;=2026-9-1", Beans!A:A,"&lt;2026-10-1" )</f>
        <v>0</v>
      </c>
      <c r="P20" s="11">
        <f>COUNTIFS(Beans!B:B, A20, Beans!A:A, "&gt;=2026-10-1", Beans!A:A,"&lt;2026-11-1" )</f>
        <v>0</v>
      </c>
      <c r="Q20" s="7">
        <f>COUNTIFS(Beans!B:B, A20, Beans!A:A, "&gt;=2026-11-1", Beans!A:A,"&lt;2026-12-1" )</f>
        <v>0</v>
      </c>
      <c r="R20" s="15">
        <f>COUNTIFS(Beans!B:B, A20, Beans!A:A, "&gt;=2026-12-1", Beans!A:A,"&lt;2027-1-1" )</f>
        <v>0</v>
      </c>
    </row>
    <row r="21" ht="49.5" customHeight="1">
      <c r="A21" s="9" t="s">
        <v>72</v>
      </c>
      <c r="B21" s="6" t="s">
        <v>21</v>
      </c>
      <c r="C21" s="10" t="s">
        <v>35</v>
      </c>
      <c r="D21" s="11"/>
      <c r="E21" s="11">
        <f t="shared" si="1"/>
        <v>0</v>
      </c>
      <c r="F21" s="12" t="str">
        <f>IF(E20+E21 = 0, "n/a", E21/(E20+E21))</f>
        <v>n/a</v>
      </c>
      <c r="G21" s="11">
        <f>COUNTIFS(Beans!B:B, A21, Beans!A:A, "&gt;=2026-1-1", Beans!A:A,"&lt;2026-2-1" )</f>
        <v>0</v>
      </c>
      <c r="H21" s="7">
        <f>COUNTIFS(Beans!B:B, A21, Beans!A:A, "&gt;=2026-2-1", Beans!A:A,"&lt;2026-3-1" )</f>
        <v>0</v>
      </c>
      <c r="I21" s="11">
        <f>COUNTIFS(Beans!B:B, A21, Beans!A:A, "&gt;=2026-3-1", Beans!A:A,"&lt;2026-4-1" )</f>
        <v>0</v>
      </c>
      <c r="J21" s="11">
        <f>COUNTIFS(Beans!B:B, A21, Beans!A:A, "&gt;=2026-4-1", Beans!A:A,"&lt;2026-5-1" )</f>
        <v>0</v>
      </c>
      <c r="K21" s="7">
        <f>COUNTIFS(Beans!B:B, A21, Beans!A:A, "&gt;=2026-5-1", Beans!A:A,"&lt;2026-6-1" )</f>
        <v>0</v>
      </c>
      <c r="L21" s="11">
        <f>COUNTIFS(Beans!B:B, A21, Beans!A:A, "&gt;=2026-6-1", Beans!A:A,"&lt;2026-7-1" )</f>
        <v>0</v>
      </c>
      <c r="M21" s="11">
        <f>COUNTIFS(Beans!B:B, A21, Beans!A:A, "&gt;=2026-7-1", Beans!A:A,"&lt;2026-8-1" )</f>
        <v>0</v>
      </c>
      <c r="N21" s="7">
        <f>COUNTIFS(Beans!B:B, A21, Beans!A:A, "&gt;=2026-8-1", Beans!A:A,"&lt;2026-9-1" )</f>
        <v>0</v>
      </c>
      <c r="O21" s="11">
        <f>COUNTIFS(Beans!B:B, A21, Beans!A:A, "&gt;=2026-9-1", Beans!A:A,"&lt;2026-10-1" )</f>
        <v>0</v>
      </c>
      <c r="P21" s="11">
        <f>COUNTIFS(Beans!B:B, A21, Beans!A:A, "&gt;=2026-10-1", Beans!A:A,"&lt;2026-11-1" )</f>
        <v>0</v>
      </c>
      <c r="Q21" s="7">
        <f>COUNTIFS(Beans!B:B, A21, Beans!A:A, "&gt;=2026-11-1", Beans!A:A,"&lt;2026-12-1" )</f>
        <v>0</v>
      </c>
      <c r="R21" s="15">
        <f>COUNTIFS(Beans!B:B, A21, Beans!A:A, "&gt;=2026-12-1", Beans!A:A,"&lt;2027-1-1" )</f>
        <v>0</v>
      </c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 t="shared" si="1"/>
        <v>0</v>
      </c>
      <c r="F22" s="12" t="str">
        <f>IF(E22+E23 = 0, "n/a", E22/(E22+E23))</f>
        <v>n/a</v>
      </c>
      <c r="G22" s="11">
        <f>COUNTIFS(Beans!B:B, A22, Beans!A:A, "&gt;=2026-1-1", Beans!A:A,"&lt;2026-2-1" )</f>
        <v>0</v>
      </c>
      <c r="H22" s="7">
        <f>COUNTIFS(Beans!B:B, A22, Beans!A:A, "&gt;=2026-2-1", Beans!A:A,"&lt;2026-3-1" )</f>
        <v>0</v>
      </c>
      <c r="I22" s="11">
        <f>COUNTIFS(Beans!B:B, A22, Beans!A:A, "&gt;=2026-3-1", Beans!A:A,"&lt;2026-4-1" )</f>
        <v>0</v>
      </c>
      <c r="J22" s="11">
        <f>COUNTIFS(Beans!B:B, A22, Beans!A:A, "&gt;=2026-4-1", Beans!A:A,"&lt;2026-5-1" )</f>
        <v>0</v>
      </c>
      <c r="K22" s="7">
        <f>COUNTIFS(Beans!B:B, A22, Beans!A:A, "&gt;=2026-5-1", Beans!A:A,"&lt;2026-6-1" )</f>
        <v>0</v>
      </c>
      <c r="L22" s="11">
        <f>COUNTIFS(Beans!B:B, A22, Beans!A:A, "&gt;=2026-6-1", Beans!A:A,"&lt;2026-7-1" )</f>
        <v>0</v>
      </c>
      <c r="M22" s="11">
        <f>COUNTIFS(Beans!B:B, A22, Beans!A:A, "&gt;=2026-7-1", Beans!A:A,"&lt;2026-8-1" )</f>
        <v>0</v>
      </c>
      <c r="N22" s="7">
        <f>COUNTIFS(Beans!B:B, A22, Beans!A:A, "&gt;=2026-8-1", Beans!A:A,"&lt;2026-9-1" )</f>
        <v>0</v>
      </c>
      <c r="O22" s="11">
        <f>COUNTIFS(Beans!B:B, A22, Beans!A:A, "&gt;=2026-9-1", Beans!A:A,"&lt;2026-10-1" )</f>
        <v>0</v>
      </c>
      <c r="P22" s="11">
        <f>COUNTIFS(Beans!B:B, A22, Beans!A:A, "&gt;=2026-10-1", Beans!A:A,"&lt;2026-11-1" )</f>
        <v>0</v>
      </c>
      <c r="Q22" s="7">
        <f>COUNTIFS(Beans!B:B, A22, Beans!A:A, "&gt;=2026-11-1", Beans!A:A,"&lt;2026-12-1" )</f>
        <v>0</v>
      </c>
      <c r="R22" s="15">
        <f>COUNTIFS(Beans!B:B, A22, Beans!A:A, "&gt;=2026-12-1", Beans!A:A,"&lt;2027-1-1" )</f>
        <v>0</v>
      </c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 t="shared" si="1"/>
        <v>0</v>
      </c>
      <c r="F23" s="12" t="str">
        <f>IF(E22+E23 = 0, "n/a", E23/(E22+E23))</f>
        <v>n/a</v>
      </c>
      <c r="G23" s="11">
        <f>COUNTIFS(Beans!B:B, A23, Beans!A:A, "&gt;=2026-1-1", Beans!A:A,"&lt;2026-2-1" )</f>
        <v>0</v>
      </c>
      <c r="H23" s="7">
        <f>COUNTIFS(Beans!B:B, A23, Beans!A:A, "&gt;=2026-2-1", Beans!A:A,"&lt;2026-3-1" )</f>
        <v>0</v>
      </c>
      <c r="I23" s="11">
        <f>COUNTIFS(Beans!B:B, A23, Beans!A:A, "&gt;=2026-3-1", Beans!A:A,"&lt;2026-4-1" )</f>
        <v>0</v>
      </c>
      <c r="J23" s="11">
        <f>COUNTIFS(Beans!B:B, A23, Beans!A:A, "&gt;=2026-4-1", Beans!A:A,"&lt;2026-5-1" )</f>
        <v>0</v>
      </c>
      <c r="K23" s="7">
        <f>COUNTIFS(Beans!B:B, A23, Beans!A:A, "&gt;=2026-5-1", Beans!A:A,"&lt;2026-6-1" )</f>
        <v>0</v>
      </c>
      <c r="L23" s="11">
        <f>COUNTIFS(Beans!B:B, A23, Beans!A:A, "&gt;=2026-6-1", Beans!A:A,"&lt;2026-7-1" )</f>
        <v>0</v>
      </c>
      <c r="M23" s="11">
        <f>COUNTIFS(Beans!B:B, A23, Beans!A:A, "&gt;=2026-7-1", Beans!A:A,"&lt;2026-8-1" )</f>
        <v>0</v>
      </c>
      <c r="N23" s="7">
        <f>COUNTIFS(Beans!B:B, A23, Beans!A:A, "&gt;=2026-8-1", Beans!A:A,"&lt;2026-9-1" )</f>
        <v>0</v>
      </c>
      <c r="O23" s="11">
        <f>COUNTIFS(Beans!B:B, A23, Beans!A:A, "&gt;=2026-9-1", Beans!A:A,"&lt;2026-10-1" )</f>
        <v>0</v>
      </c>
      <c r="P23" s="11">
        <f>COUNTIFS(Beans!B:B, A23, Beans!A:A, "&gt;=2026-10-1", Beans!A:A,"&lt;2026-11-1" )</f>
        <v>0</v>
      </c>
      <c r="Q23" s="7">
        <f>COUNTIFS(Beans!B:B, A23, Beans!A:A, "&gt;=2026-11-1", Beans!A:A,"&lt;2026-12-1" )</f>
        <v>0</v>
      </c>
      <c r="R23" s="15">
        <f>COUNTIFS(Beans!B:B, A23, Beans!A:A, "&gt;=2026-12-1", Beans!A:A,"&lt;2027-1-1" )</f>
        <v>0</v>
      </c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 t="shared" si="1"/>
        <v>0</v>
      </c>
      <c r="F24" s="12" t="str">
        <f>IF(E24+E25 = 0, "n/a", E24/(E24+E25))</f>
        <v>n/a</v>
      </c>
      <c r="G24" s="11">
        <f>COUNTIFS(Beans!B:B, A24, Beans!A:A, "&gt;=2026-1-1", Beans!A:A,"&lt;2026-2-1" )</f>
        <v>0</v>
      </c>
      <c r="H24" s="7">
        <f>COUNTIFS(Beans!B:B, A24, Beans!A:A, "&gt;=2026-2-1", Beans!A:A,"&lt;2026-3-1" )</f>
        <v>0</v>
      </c>
      <c r="I24" s="11">
        <f>COUNTIFS(Beans!B:B, A24, Beans!A:A, "&gt;=2026-3-1", Beans!A:A,"&lt;2026-4-1" )</f>
        <v>0</v>
      </c>
      <c r="J24" s="11">
        <f>COUNTIFS(Beans!B:B, A24, Beans!A:A, "&gt;=2026-4-1", Beans!A:A,"&lt;2026-5-1" )</f>
        <v>0</v>
      </c>
      <c r="K24" s="7">
        <f>COUNTIFS(Beans!B:B, A24, Beans!A:A, "&gt;=2026-5-1", Beans!A:A,"&lt;2026-6-1" )</f>
        <v>0</v>
      </c>
      <c r="L24" s="11">
        <f>COUNTIFS(Beans!B:B, A24, Beans!A:A, "&gt;=2026-6-1", Beans!A:A,"&lt;2026-7-1" )</f>
        <v>0</v>
      </c>
      <c r="M24" s="11">
        <f>COUNTIFS(Beans!B:B, A24, Beans!A:A, "&gt;=2026-7-1", Beans!A:A,"&lt;2026-8-1" )</f>
        <v>0</v>
      </c>
      <c r="N24" s="7">
        <f>COUNTIFS(Beans!B:B, A24, Beans!A:A, "&gt;=2026-8-1", Beans!A:A,"&lt;2026-9-1" )</f>
        <v>0</v>
      </c>
      <c r="O24" s="11">
        <f>COUNTIFS(Beans!B:B, A24, Beans!A:A, "&gt;=2026-9-1", Beans!A:A,"&lt;2026-10-1" )</f>
        <v>0</v>
      </c>
      <c r="P24" s="11">
        <f>COUNTIFS(Beans!B:B, A24, Beans!A:A, "&gt;=2026-10-1", Beans!A:A,"&lt;2026-11-1" )</f>
        <v>0</v>
      </c>
      <c r="Q24" s="7">
        <f>COUNTIFS(Beans!B:B, A24, Beans!A:A, "&gt;=2026-11-1", Beans!A:A,"&lt;2026-12-1" )</f>
        <v>0</v>
      </c>
      <c r="R24" s="15">
        <f>COUNTIFS(Beans!B:B, A24, Beans!A:A, "&gt;=2026-12-1", Beans!A:A,"&lt;2027-1-1" )</f>
        <v>0</v>
      </c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 t="shared" si="1"/>
        <v>0</v>
      </c>
      <c r="F25" s="12" t="str">
        <f t="shared" ref="F25:F29" si="2">IF(E24+E25 = 0, "n/a", E25/(E24+E25))</f>
        <v>n/a</v>
      </c>
      <c r="G25" s="11">
        <f>COUNTIFS(Beans!B:B, A25, Beans!A:A, "&gt;=2026-1-1", Beans!A:A,"&lt;2026-2-1" )</f>
        <v>0</v>
      </c>
      <c r="H25" s="7">
        <f>COUNTIFS(Beans!B:B, A25, Beans!A:A, "&gt;=2026-2-1", Beans!A:A,"&lt;2026-3-1" )</f>
        <v>0</v>
      </c>
      <c r="I25" s="11">
        <f>COUNTIFS(Beans!B:B, A25, Beans!A:A, "&gt;=2026-3-1", Beans!A:A,"&lt;2026-4-1" )</f>
        <v>0</v>
      </c>
      <c r="J25" s="11">
        <f>COUNTIFS(Beans!B:B, A25, Beans!A:A, "&gt;=2026-4-1", Beans!A:A,"&lt;2026-5-1" )</f>
        <v>0</v>
      </c>
      <c r="K25" s="7">
        <f>COUNTIFS(Beans!B:B, A25, Beans!A:A, "&gt;=2026-5-1", Beans!A:A,"&lt;2026-6-1" )</f>
        <v>0</v>
      </c>
      <c r="L25" s="11">
        <f>COUNTIFS(Beans!B:B, A25, Beans!A:A, "&gt;=2026-6-1", Beans!A:A,"&lt;2026-7-1" )</f>
        <v>0</v>
      </c>
      <c r="M25" s="11">
        <f>COUNTIFS(Beans!B:B, A25, Beans!A:A, "&gt;=2026-7-1", Beans!A:A,"&lt;2026-8-1" )</f>
        <v>0</v>
      </c>
      <c r="N25" s="7">
        <f>COUNTIFS(Beans!B:B, A25, Beans!A:A, "&gt;=2026-8-1", Beans!A:A,"&lt;2026-9-1" )</f>
        <v>0</v>
      </c>
      <c r="O25" s="11">
        <f>COUNTIFS(Beans!B:B, A25, Beans!A:A, "&gt;=2026-9-1", Beans!A:A,"&lt;2026-10-1" )</f>
        <v>0</v>
      </c>
      <c r="P25" s="11">
        <f>COUNTIFS(Beans!B:B, A25, Beans!A:A, "&gt;=2026-10-1", Beans!A:A,"&lt;2026-11-1" )</f>
        <v>0</v>
      </c>
      <c r="Q25" s="7">
        <f>COUNTIFS(Beans!B:B, A25, Beans!A:A, "&gt;=2026-11-1", Beans!A:A,"&lt;2026-12-1" )</f>
        <v>0</v>
      </c>
      <c r="R25" s="15">
        <f>COUNTIFS(Beans!B:B, A25, Beans!A:A, "&gt;=2026-12-1", Beans!A:A,"&lt;2027-1-1" )</f>
        <v>0</v>
      </c>
    </row>
    <row r="26" ht="44.25" customHeight="1">
      <c r="A26" s="9" t="str">
        <f>'Overall Bean Summary'!A26</f>
        <v>Top Banana</v>
      </c>
      <c r="B26" s="9" t="str">
        <f>'Overall Bean Summary'!B26</f>
        <v>Good</v>
      </c>
      <c r="C26" s="9" t="str">
        <f>'Overall Bean Summary'!C26</f>
        <v>7th-Curr</v>
      </c>
      <c r="D26" s="9" t="str">
        <f>'Overall Bean Summary'!D26</f>
        <v/>
      </c>
      <c r="E26" s="11">
        <f t="shared" si="1"/>
        <v>1</v>
      </c>
      <c r="F26" s="12">
        <f t="shared" si="2"/>
        <v>1</v>
      </c>
      <c r="G26" s="11">
        <f>COUNTIFS(Beans!B:B, A26, Beans!A:A, "&gt;=2026-1-1", Beans!A:A,"&lt;2026-2-1" )</f>
        <v>0</v>
      </c>
      <c r="H26" s="7">
        <f>COUNTIFS(Beans!B:B, A26, Beans!A:A, "&gt;=2026-2-1", Beans!A:A,"&lt;2026-3-1" )</f>
        <v>0</v>
      </c>
      <c r="I26" s="11">
        <f>COUNTIFS(Beans!B:B, A26, Beans!A:A, "&gt;=2026-3-1", Beans!A:A,"&lt;2026-4-1" )</f>
        <v>0</v>
      </c>
      <c r="J26" s="11">
        <f>COUNTIFS(Beans!B:B, A26, Beans!A:A, "&gt;=2026-4-1", Beans!A:A,"&lt;2026-5-1" )</f>
        <v>0</v>
      </c>
      <c r="K26" s="7">
        <f>COUNTIFS(Beans!B:B, A26, Beans!A:A, "&gt;=2026-5-1", Beans!A:A,"&lt;2026-6-1" )</f>
        <v>0</v>
      </c>
      <c r="L26" s="11">
        <f>COUNTIFS(Beans!B:B, A26, Beans!A:A, "&gt;=2026-6-1", Beans!A:A,"&lt;2026-7-1" )</f>
        <v>0</v>
      </c>
      <c r="M26" s="11">
        <f>COUNTIFS(Beans!B:B, A26, Beans!A:A, "&gt;=2026-7-1", Beans!A:A,"&lt;2026-8-1" )</f>
        <v>0</v>
      </c>
      <c r="N26" s="7">
        <f>COUNTIFS(Beans!B:B, A26, Beans!A:A, "&gt;=2026-8-1", Beans!A:A,"&lt;2026-9-1" )</f>
        <v>0</v>
      </c>
      <c r="O26" s="11">
        <f>COUNTIFS(Beans!B:B, A26, Beans!A:A, "&gt;=2026-9-1", Beans!A:A,"&lt;2026-10-1" )</f>
        <v>1</v>
      </c>
      <c r="P26" s="11">
        <f>COUNTIFS(Beans!B:B, A26, Beans!A:A, "&gt;=2026-10-1", Beans!A:A,"&lt;2026-11-1" )</f>
        <v>0</v>
      </c>
      <c r="Q26" s="7">
        <f>COUNTIFS(Beans!B:B, A26, Beans!A:A, "&gt;=2026-11-1", Beans!A:A,"&lt;2026-12-1" )</f>
        <v>0</v>
      </c>
      <c r="R26" s="15">
        <f>COUNTIFS(Beans!B:B, A26, Beans!A:A, "&gt;=2026-12-1", Beans!A:A,"&lt;2027-1-1" )</f>
        <v>0</v>
      </c>
    </row>
    <row r="27" ht="44.25" customHeight="1">
      <c r="A27" s="9" t="str">
        <f>'Overall Bean Summary'!A27</f>
        <v>Wet Dog</v>
      </c>
      <c r="B27" s="9" t="str">
        <f>'Overall Bean Summary'!B27</f>
        <v>Bad</v>
      </c>
      <c r="C27" s="9" t="str">
        <f>'Overall Bean Summary'!C27</f>
        <v>7th-Curr</v>
      </c>
      <c r="D27" s="9" t="str">
        <f>'Overall Bean Summary'!D27</f>
        <v/>
      </c>
      <c r="E27" s="11">
        <f t="shared" si="1"/>
        <v>13</v>
      </c>
      <c r="F27" s="12">
        <f t="shared" si="2"/>
        <v>0.9285714286</v>
      </c>
      <c r="G27" s="11">
        <f>COUNTIFS(Beans!B:B, A27, Beans!A:A, "&gt;=2026-1-1", Beans!A:A,"&lt;2026-2-1" )</f>
        <v>3</v>
      </c>
      <c r="H27" s="7">
        <f>COUNTIFS(Beans!B:B, A27, Beans!A:A, "&gt;=2026-2-1", Beans!A:A,"&lt;2026-3-1" )</f>
        <v>3</v>
      </c>
      <c r="I27" s="11">
        <f>COUNTIFS(Beans!B:B, A27, Beans!A:A, "&gt;=2026-3-1", Beans!A:A,"&lt;2026-4-1" )</f>
        <v>1</v>
      </c>
      <c r="J27" s="11">
        <f>COUNTIFS(Beans!B:B, A27, Beans!A:A, "&gt;=2026-4-1", Beans!A:A,"&lt;2026-5-1" )</f>
        <v>1</v>
      </c>
      <c r="K27" s="7">
        <f>COUNTIFS(Beans!B:B, A27, Beans!A:A, "&gt;=2026-5-1", Beans!A:A,"&lt;2026-6-1" )</f>
        <v>0</v>
      </c>
      <c r="L27" s="11">
        <f>COUNTIFS(Beans!B:B, A27, Beans!A:A, "&gt;=2026-6-1", Beans!A:A,"&lt;2026-7-1" )</f>
        <v>0</v>
      </c>
      <c r="M27" s="11">
        <f>COUNTIFS(Beans!B:B, A27, Beans!A:A, "&gt;=2026-7-1", Beans!A:A,"&lt;2026-8-1" )</f>
        <v>0</v>
      </c>
      <c r="N27" s="7">
        <f>COUNTIFS(Beans!B:B, A27, Beans!A:A, "&gt;=2026-8-1", Beans!A:A,"&lt;2026-9-1" )</f>
        <v>2</v>
      </c>
      <c r="O27" s="11">
        <f>COUNTIFS(Beans!B:B, A27, Beans!A:A, "&gt;=2026-9-1", Beans!A:A,"&lt;2026-10-1" )</f>
        <v>3</v>
      </c>
      <c r="P27" s="11">
        <f>COUNTIFS(Beans!B:B, A27, Beans!A:A, "&gt;=2026-10-1", Beans!A:A,"&lt;2026-11-1" )</f>
        <v>0</v>
      </c>
      <c r="Q27" s="7">
        <f>COUNTIFS(Beans!B:B, A27, Beans!A:A, "&gt;=2026-11-1", Beans!A:A,"&lt;2026-12-1" )</f>
        <v>0</v>
      </c>
      <c r="R27" s="15">
        <f>COUNTIFS(Beans!B:B, A27, Beans!A:A, "&gt;=2026-12-1", Beans!A:A,"&lt;2027-1-1" )</f>
        <v>0</v>
      </c>
    </row>
    <row r="28" ht="44.25" customHeight="1">
      <c r="A28" s="9" t="str">
        <f>'Overall Bean Summary'!A28</f>
        <v>Licorice</v>
      </c>
      <c r="B28" s="9" t="str">
        <f>'Overall Bean Summary'!B28</f>
        <v>Good</v>
      </c>
      <c r="C28" s="9" t="str">
        <f>'Overall Bean Summary'!C28</f>
        <v>7th-Curr</v>
      </c>
      <c r="D28" s="9" t="str">
        <f>'Overall Bean Summary'!D28</f>
        <v/>
      </c>
      <c r="E28" s="11">
        <f t="shared" si="1"/>
        <v>2</v>
      </c>
      <c r="F28" s="12">
        <f t="shared" si="2"/>
        <v>0.1333333333</v>
      </c>
      <c r="G28" s="11">
        <f>COUNTIFS(Beans!B:B, A28, Beans!A:A, "&gt;=2026-1-1", Beans!A:A,"&lt;2026-2-1" )</f>
        <v>0</v>
      </c>
      <c r="H28" s="7">
        <f>COUNTIFS(Beans!B:B, A28, Beans!A:A, "&gt;=2026-2-1", Beans!A:A,"&lt;2026-3-1" )</f>
        <v>0</v>
      </c>
      <c r="I28" s="11">
        <f>COUNTIFS(Beans!B:B, A28, Beans!A:A, "&gt;=2026-3-1", Beans!A:A,"&lt;2026-4-1" )</f>
        <v>0</v>
      </c>
      <c r="J28" s="11">
        <f>COUNTIFS(Beans!B:B, A28, Beans!A:A, "&gt;=2026-4-1", Beans!A:A,"&lt;2026-5-1" )</f>
        <v>1</v>
      </c>
      <c r="K28" s="7">
        <f>COUNTIFS(Beans!B:B, A28, Beans!A:A, "&gt;=2026-5-1", Beans!A:A,"&lt;2026-6-1" )</f>
        <v>0</v>
      </c>
      <c r="L28" s="11">
        <f>COUNTIFS(Beans!B:B, A28, Beans!A:A, "&gt;=2026-6-1", Beans!A:A,"&lt;2026-7-1" )</f>
        <v>0</v>
      </c>
      <c r="M28" s="11">
        <f>COUNTIFS(Beans!B:B, A28, Beans!A:A, "&gt;=2026-7-1", Beans!A:A,"&lt;2026-8-1" )</f>
        <v>0</v>
      </c>
      <c r="N28" s="7">
        <f>COUNTIFS(Beans!B:B, A28, Beans!A:A, "&gt;=2026-8-1", Beans!A:A,"&lt;2026-9-1" )</f>
        <v>0</v>
      </c>
      <c r="O28" s="11">
        <f>COUNTIFS(Beans!B:B, A28, Beans!A:A, "&gt;=2026-9-1", Beans!A:A,"&lt;2026-10-1" )</f>
        <v>1</v>
      </c>
      <c r="P28" s="11">
        <f>COUNTIFS(Beans!B:B, A28, Beans!A:A, "&gt;=2026-10-1", Beans!A:A,"&lt;2026-11-1" )</f>
        <v>0</v>
      </c>
      <c r="Q28" s="7">
        <f>COUNTIFS(Beans!B:B, A28, Beans!A:A, "&gt;=2026-11-1", Beans!A:A,"&lt;2026-12-1" )</f>
        <v>0</v>
      </c>
      <c r="R28" s="15">
        <f>COUNTIFS(Beans!B:B, A28, Beans!A:A, "&gt;=2026-12-1", Beans!A:A,"&lt;2027-1-1" )</f>
        <v>0</v>
      </c>
    </row>
    <row r="29" ht="44.25" customHeight="1">
      <c r="A29" s="9" t="str">
        <f>'Overall Bean Summary'!A29</f>
        <v>Burnt Rubber</v>
      </c>
      <c r="B29" s="9" t="str">
        <f>'Overall Bean Summary'!B29</f>
        <v>Bad</v>
      </c>
      <c r="C29" s="9" t="str">
        <f>'Overall Bean Summary'!C29</f>
        <v>7th-Curr</v>
      </c>
      <c r="D29" s="9" t="str">
        <f>'Overall Bean Summary'!D29</f>
        <v/>
      </c>
      <c r="E29" s="11">
        <f t="shared" si="1"/>
        <v>2</v>
      </c>
      <c r="F29" s="12">
        <f t="shared" si="2"/>
        <v>0.5</v>
      </c>
      <c r="G29" s="11">
        <f>COUNTIFS(Beans!B:B, A29, Beans!A:A, "&gt;=2026-1-1", Beans!A:A,"&lt;2026-2-1" )</f>
        <v>0</v>
      </c>
      <c r="H29" s="7">
        <f>COUNTIFS(Beans!B:B, A29, Beans!A:A, "&gt;=2026-2-1", Beans!A:A,"&lt;2026-3-1" )</f>
        <v>0</v>
      </c>
      <c r="I29" s="11">
        <f>COUNTIFS(Beans!B:B, A29, Beans!A:A, "&gt;=2026-3-1", Beans!A:A,"&lt;2026-4-1" )</f>
        <v>0</v>
      </c>
      <c r="J29" s="11">
        <f>COUNTIFS(Beans!B:B, A29, Beans!A:A, "&gt;=2026-4-1", Beans!A:A,"&lt;2026-5-1" )</f>
        <v>0</v>
      </c>
      <c r="K29" s="7">
        <f>COUNTIFS(Beans!B:B, A29, Beans!A:A, "&gt;=2026-5-1", Beans!A:A,"&lt;2026-6-1" )</f>
        <v>0</v>
      </c>
      <c r="L29" s="11">
        <f>COUNTIFS(Beans!B:B, A29, Beans!A:A, "&gt;=2026-6-1", Beans!A:A,"&lt;2026-7-1" )</f>
        <v>0</v>
      </c>
      <c r="M29" s="11">
        <f>COUNTIFS(Beans!B:B, A29, Beans!A:A, "&gt;=2026-7-1", Beans!A:A,"&lt;2026-8-1" )</f>
        <v>0</v>
      </c>
      <c r="N29" s="7">
        <f>COUNTIFS(Beans!B:B, A29, Beans!A:A, "&gt;=2026-8-1", Beans!A:A,"&lt;2026-9-1" )</f>
        <v>1</v>
      </c>
      <c r="O29" s="11">
        <f>COUNTIFS(Beans!B:B, A29, Beans!A:A, "&gt;=2026-9-1", Beans!A:A,"&lt;2026-10-1" )</f>
        <v>1</v>
      </c>
      <c r="P29" s="11">
        <f>COUNTIFS(Beans!B:B, A29, Beans!A:A, "&gt;=2026-10-1", Beans!A:A,"&lt;2026-11-1" )</f>
        <v>0</v>
      </c>
      <c r="Q29" s="7">
        <f>COUNTIFS(Beans!B:B, A29, Beans!A:A, "&gt;=2026-11-1", Beans!A:A,"&lt;2026-12-1" )</f>
        <v>0</v>
      </c>
      <c r="R29" s="15">
        <f>COUNTIFS(Beans!B:B, A29, Beans!A:A, "&gt;=2026-12-1", Beans!A:A,"&lt;2027-1-1" )</f>
        <v>0</v>
      </c>
    </row>
    <row r="30" ht="44.25" customHeight="1">
      <c r="A30" s="9" t="s">
        <v>137</v>
      </c>
      <c r="B30" s="6" t="s">
        <v>27</v>
      </c>
      <c r="C30" s="51" t="s">
        <v>138</v>
      </c>
      <c r="D30" s="6"/>
      <c r="E30" s="11">
        <f t="shared" si="1"/>
        <v>0</v>
      </c>
      <c r="F30" s="12" t="str">
        <f>IF(E30+E31+E32+E33+E34 = 0, "n/a", E30/(E30+E31+E32+E33+E34))</f>
        <v>n/a</v>
      </c>
      <c r="G30" s="11">
        <f>COUNTIFS(Beans!B:B, A30, Beans!A:A, "&gt;=2026-1-1", Beans!A:A,"&lt;2026-2-1" )</f>
        <v>0</v>
      </c>
      <c r="H30" s="7">
        <f>COUNTIFS(Beans!B:B, A30, Beans!A:A, "&gt;=2026-2-1", Beans!A:A,"&lt;2026-3-1" )</f>
        <v>0</v>
      </c>
      <c r="I30" s="11">
        <f>COUNTIFS(Beans!B:B, A30, Beans!A:A, "&gt;=2026-3-1", Beans!A:A,"&lt;2026-4-1" )</f>
        <v>0</v>
      </c>
      <c r="J30" s="11">
        <f>COUNTIFS(Beans!B:B, A30, Beans!A:A, "&gt;=2026-4-1", Beans!A:A,"&lt;2026-5-1" )</f>
        <v>0</v>
      </c>
      <c r="K30" s="7">
        <f>COUNTIFS(Beans!B:B, A30, Beans!A:A, "&gt;=2026-5-1", Beans!A:A,"&lt;2026-6-1" )</f>
        <v>0</v>
      </c>
      <c r="L30" s="11">
        <f>COUNTIFS(Beans!B:B, A30, Beans!A:A, "&gt;=2026-6-1", Beans!A:A,"&lt;2026-7-1" )</f>
        <v>0</v>
      </c>
      <c r="M30" s="11">
        <f>COUNTIFS(Beans!B:B, A30, Beans!A:A, "&gt;=2026-7-1", Beans!A:A,"&lt;2026-8-1" )</f>
        <v>0</v>
      </c>
      <c r="N30" s="7">
        <f>COUNTIFS(Beans!B:B, A30, Beans!A:A, "&gt;=2026-8-1", Beans!A:A,"&lt;2026-9-1" )</f>
        <v>0</v>
      </c>
      <c r="O30" s="11">
        <f>COUNTIFS(Beans!B:B, A30, Beans!A:A, "&gt;=2026-9-1", Beans!A:A,"&lt;2026-10-1" )</f>
        <v>0</v>
      </c>
      <c r="P30" s="11">
        <f>COUNTIFS(Beans!B:B, A30, Beans!A:A, "&gt;=2026-10-1", Beans!A:A,"&lt;2026-11-1" )</f>
        <v>0</v>
      </c>
      <c r="Q30" s="7">
        <f>COUNTIFS(Beans!B:B, A30, Beans!A:A, "&gt;=2026-11-1", Beans!A:A,"&lt;2026-12-1" )</f>
        <v>0</v>
      </c>
      <c r="R30" s="15">
        <f>COUNTIFS(Beans!B:B, A30, Beans!A:A, "&gt;=2026-12-1", Beans!A:A,"&lt;2027-1-1" )</f>
        <v>0</v>
      </c>
    </row>
    <row r="31" ht="45.75" customHeight="1">
      <c r="A31" s="9" t="s">
        <v>139</v>
      </c>
      <c r="B31" s="6" t="s">
        <v>27</v>
      </c>
      <c r="C31" s="51" t="s">
        <v>138</v>
      </c>
      <c r="D31" s="7"/>
      <c r="E31" s="11">
        <f t="shared" si="1"/>
        <v>0</v>
      </c>
      <c r="F31" s="12" t="str">
        <f>IF(E30+E31+E32+E33+E34 = 0, "n/a", E31/(E30+E31+E32+E33+E34))</f>
        <v>n/a</v>
      </c>
      <c r="G31" s="11">
        <f>COUNTIFS(Beans!B:B, A31, Beans!A:A, "&gt;=2026-1-1", Beans!A:A,"&lt;2026-2-1" )</f>
        <v>0</v>
      </c>
      <c r="H31" s="7">
        <f>COUNTIFS(Beans!B:B, A31, Beans!A:A, "&gt;=2026-2-1", Beans!A:A,"&lt;2026-3-1" )</f>
        <v>0</v>
      </c>
      <c r="I31" s="11">
        <f>COUNTIFS(Beans!B:B, A31, Beans!A:A, "&gt;=2026-3-1", Beans!A:A,"&lt;2026-4-1" )</f>
        <v>0</v>
      </c>
      <c r="J31" s="11">
        <f>COUNTIFS(Beans!B:B, A31, Beans!A:A, "&gt;=2026-4-1", Beans!A:A,"&lt;2026-5-1" )</f>
        <v>0</v>
      </c>
      <c r="K31" s="7">
        <f>COUNTIFS(Beans!B:B, A31, Beans!A:A, "&gt;=2026-5-1", Beans!A:A,"&lt;2026-6-1" )</f>
        <v>0</v>
      </c>
      <c r="L31" s="11">
        <f>COUNTIFS(Beans!B:B, A31, Beans!A:A, "&gt;=2026-6-1", Beans!A:A,"&lt;2026-7-1" )</f>
        <v>0</v>
      </c>
      <c r="M31" s="11">
        <f>COUNTIFS(Beans!B:B, A31, Beans!A:A, "&gt;=2026-7-1", Beans!A:A,"&lt;2026-8-1" )</f>
        <v>0</v>
      </c>
      <c r="N31" s="7">
        <f>COUNTIFS(Beans!B:B, A31, Beans!A:A, "&gt;=2026-8-1", Beans!A:A,"&lt;2026-9-1" )</f>
        <v>0</v>
      </c>
      <c r="O31" s="11">
        <f>COUNTIFS(Beans!B:B, A31, Beans!A:A, "&gt;=2026-9-1", Beans!A:A,"&lt;2026-10-1" )</f>
        <v>0</v>
      </c>
      <c r="P31" s="11">
        <f>COUNTIFS(Beans!B:B, A31, Beans!A:A, "&gt;=2026-10-1", Beans!A:A,"&lt;2026-11-1" )</f>
        <v>0</v>
      </c>
      <c r="Q31" s="7">
        <f>COUNTIFS(Beans!B:B, A31, Beans!A:A, "&gt;=2026-11-1", Beans!A:A,"&lt;2026-12-1" )</f>
        <v>0</v>
      </c>
      <c r="R31" s="15">
        <f>COUNTIFS(Beans!B:B, A31, Beans!A:A, "&gt;=2026-12-1", Beans!A:A,"&lt;2027-1-1" )</f>
        <v>0</v>
      </c>
    </row>
    <row r="32" ht="46.5" customHeight="1">
      <c r="A32" s="9" t="s">
        <v>140</v>
      </c>
      <c r="B32" s="6" t="s">
        <v>27</v>
      </c>
      <c r="C32" s="51" t="s">
        <v>138</v>
      </c>
      <c r="D32" s="7"/>
      <c r="E32" s="11">
        <f t="shared" si="1"/>
        <v>0</v>
      </c>
      <c r="F32" s="12" t="str">
        <f>IF(E30+E31+E32+E33+E34 = 0, "n/a", E32/(E30+E31+E32+E33+E34))</f>
        <v>n/a</v>
      </c>
      <c r="G32" s="11">
        <f>COUNTIFS(Beans!B:B, A32, Beans!A:A, "&gt;=2026-1-1", Beans!A:A,"&lt;2026-2-1" )</f>
        <v>0</v>
      </c>
      <c r="H32" s="7">
        <f>COUNTIFS(Beans!B:B, A32, Beans!A:A, "&gt;=2026-2-1", Beans!A:A,"&lt;2026-3-1" )</f>
        <v>0</v>
      </c>
      <c r="I32" s="11">
        <f>COUNTIFS(Beans!B:B, A32, Beans!A:A, "&gt;=2026-3-1", Beans!A:A,"&lt;2026-4-1" )</f>
        <v>0</v>
      </c>
      <c r="J32" s="11">
        <f>COUNTIFS(Beans!B:B, A32, Beans!A:A, "&gt;=2026-4-1", Beans!A:A,"&lt;2026-5-1" )</f>
        <v>0</v>
      </c>
      <c r="K32" s="7">
        <f>COUNTIFS(Beans!B:B, A32, Beans!A:A, "&gt;=2026-5-1", Beans!A:A,"&lt;2026-6-1" )</f>
        <v>0</v>
      </c>
      <c r="L32" s="11">
        <f>COUNTIFS(Beans!B:B, A32, Beans!A:A, "&gt;=2026-6-1", Beans!A:A,"&lt;2026-7-1" )</f>
        <v>0</v>
      </c>
      <c r="M32" s="11">
        <f>COUNTIFS(Beans!B:B, A32, Beans!A:A, "&gt;=2026-7-1", Beans!A:A,"&lt;2026-8-1" )</f>
        <v>0</v>
      </c>
      <c r="N32" s="7">
        <f>COUNTIFS(Beans!B:B, A32, Beans!A:A, "&gt;=2026-8-1", Beans!A:A,"&lt;2026-9-1" )</f>
        <v>0</v>
      </c>
      <c r="O32" s="11">
        <f>COUNTIFS(Beans!B:B, A32, Beans!A:A, "&gt;=2026-9-1", Beans!A:A,"&lt;2026-10-1" )</f>
        <v>0</v>
      </c>
      <c r="P32" s="11">
        <f>COUNTIFS(Beans!B:B, A32, Beans!A:A, "&gt;=2026-10-1", Beans!A:A,"&lt;2026-11-1" )</f>
        <v>0</v>
      </c>
      <c r="Q32" s="7">
        <f>COUNTIFS(Beans!B:B, A32, Beans!A:A, "&gt;=2026-11-1", Beans!A:A,"&lt;2026-12-1" )</f>
        <v>0</v>
      </c>
      <c r="R32" s="15">
        <f>COUNTIFS(Beans!B:B, A32, Beans!A:A, "&gt;=2026-12-1", Beans!A:A,"&lt;2027-1-1" )</f>
        <v>0</v>
      </c>
    </row>
    <row r="33" ht="45.75" customHeight="1">
      <c r="A33" s="9" t="s">
        <v>141</v>
      </c>
      <c r="B33" s="6" t="s">
        <v>27</v>
      </c>
      <c r="C33" s="51" t="s">
        <v>138</v>
      </c>
      <c r="D33" s="7"/>
      <c r="E33" s="11">
        <f t="shared" si="1"/>
        <v>0</v>
      </c>
      <c r="F33" s="12" t="str">
        <f>IF(E30+E31+E32+E33+E34 = 0, "n/a", E33/(E30+E31+E32+E33+E34))</f>
        <v>n/a</v>
      </c>
      <c r="G33" s="11">
        <f>COUNTIFS(Beans!B:B, A33, Beans!A:A, "&gt;=2026-1-1", Beans!A:A,"&lt;2026-2-1" )</f>
        <v>0</v>
      </c>
      <c r="H33" s="7">
        <f>COUNTIFS(Beans!B:B, A33, Beans!A:A, "&gt;=2026-2-1", Beans!A:A,"&lt;2026-3-1" )</f>
        <v>0</v>
      </c>
      <c r="I33" s="11">
        <f>COUNTIFS(Beans!B:B, A33, Beans!A:A, "&gt;=2026-3-1", Beans!A:A,"&lt;2026-4-1" )</f>
        <v>0</v>
      </c>
      <c r="J33" s="11">
        <f>COUNTIFS(Beans!B:B, A33, Beans!A:A, "&gt;=2026-4-1", Beans!A:A,"&lt;2026-5-1" )</f>
        <v>0</v>
      </c>
      <c r="K33" s="7">
        <f>COUNTIFS(Beans!B:B, A33, Beans!A:A, "&gt;=2026-5-1", Beans!A:A,"&lt;2026-6-1" )</f>
        <v>0</v>
      </c>
      <c r="L33" s="11">
        <f>COUNTIFS(Beans!B:B, A33, Beans!A:A, "&gt;=2026-6-1", Beans!A:A,"&lt;2026-7-1" )</f>
        <v>0</v>
      </c>
      <c r="M33" s="11">
        <f>COUNTIFS(Beans!B:B, A33, Beans!A:A, "&gt;=2026-7-1", Beans!A:A,"&lt;2026-8-1" )</f>
        <v>0</v>
      </c>
      <c r="N33" s="7">
        <f>COUNTIFS(Beans!B:B, A33, Beans!A:A, "&gt;=2026-8-1", Beans!A:A,"&lt;2026-9-1" )</f>
        <v>0</v>
      </c>
      <c r="O33" s="11">
        <f>COUNTIFS(Beans!B:B, A33, Beans!A:A, "&gt;=2026-9-1", Beans!A:A,"&lt;2026-10-1" )</f>
        <v>0</v>
      </c>
      <c r="P33" s="11">
        <f>COUNTIFS(Beans!B:B, A33, Beans!A:A, "&gt;=2026-10-1", Beans!A:A,"&lt;2026-11-1" )</f>
        <v>0</v>
      </c>
      <c r="Q33" s="7">
        <f>COUNTIFS(Beans!B:B, A33, Beans!A:A, "&gt;=2026-11-1", Beans!A:A,"&lt;2026-12-1" )</f>
        <v>0</v>
      </c>
      <c r="R33" s="15">
        <f>COUNTIFS(Beans!B:B, A33, Beans!A:A, "&gt;=2026-12-1", Beans!A:A,"&lt;2027-1-1" )</f>
        <v>0</v>
      </c>
    </row>
    <row r="34" ht="43.5" customHeight="1">
      <c r="A34" s="9" t="s">
        <v>145</v>
      </c>
      <c r="B34" s="6" t="s">
        <v>27</v>
      </c>
      <c r="C34" s="51" t="s">
        <v>138</v>
      </c>
      <c r="D34" s="7"/>
      <c r="E34" s="11">
        <f t="shared" si="1"/>
        <v>0</v>
      </c>
      <c r="F34" s="12" t="str">
        <f>IF(E30+E31+E32+E33+E34 = 0, "n/a", E34/(E30+E31+E32+E33+E34))</f>
        <v>n/a</v>
      </c>
      <c r="G34" s="11">
        <f>COUNTIFS(Beans!B:B, A34, Beans!A:A, "&gt;=2026-1-1", Beans!A:A,"&lt;2026-2-1" )</f>
        <v>0</v>
      </c>
      <c r="H34" s="7">
        <f>COUNTIFS(Beans!B:B, A34, Beans!A:A, "&gt;=2026-2-1", Beans!A:A,"&lt;2026-3-1" )</f>
        <v>0</v>
      </c>
      <c r="I34" s="11">
        <f>COUNTIFS(Beans!B:B, A34, Beans!A:A, "&gt;=2026-3-1", Beans!A:A,"&lt;2026-4-1" )</f>
        <v>0</v>
      </c>
      <c r="J34" s="11">
        <f>COUNTIFS(Beans!B:B, A34, Beans!A:A, "&gt;=2026-4-1", Beans!A:A,"&lt;2026-5-1" )</f>
        <v>0</v>
      </c>
      <c r="K34" s="7">
        <f>COUNTIFS(Beans!B:B, A34, Beans!A:A, "&gt;=2026-5-1", Beans!A:A,"&lt;2026-6-1" )</f>
        <v>0</v>
      </c>
      <c r="L34" s="11">
        <f>COUNTIFS(Beans!B:B, A34, Beans!A:A, "&gt;=2026-6-1", Beans!A:A,"&lt;2026-7-1" )</f>
        <v>0</v>
      </c>
      <c r="M34" s="11">
        <f>COUNTIFS(Beans!B:B, A34, Beans!A:A, "&gt;=2026-7-1", Beans!A:A,"&lt;2026-8-1" )</f>
        <v>0</v>
      </c>
      <c r="N34" s="7">
        <f>COUNTIFS(Beans!B:B, A34, Beans!A:A, "&gt;=2026-8-1", Beans!A:A,"&lt;2026-9-1" )</f>
        <v>0</v>
      </c>
      <c r="O34" s="11">
        <f>COUNTIFS(Beans!B:B, A34, Beans!A:A, "&gt;=2026-9-1", Beans!A:A,"&lt;2026-10-1" )</f>
        <v>0</v>
      </c>
      <c r="P34" s="11">
        <f>COUNTIFS(Beans!B:B, A34, Beans!A:A, "&gt;=2026-10-1", Beans!A:A,"&lt;2026-11-1" )</f>
        <v>0</v>
      </c>
      <c r="Q34" s="7">
        <f>COUNTIFS(Beans!B:B, A34, Beans!A:A, "&gt;=2026-11-1", Beans!A:A,"&lt;2026-12-1" )</f>
        <v>0</v>
      </c>
      <c r="R34" s="15">
        <f>COUNTIFS(Beans!B:B, A34, Beans!A:A, "&gt;=2026-12-1", Beans!A:A,"&lt;2027-1-1" )</f>
        <v>0</v>
      </c>
    </row>
    <row r="35">
      <c r="A35" s="6" t="s">
        <v>99</v>
      </c>
      <c r="B35" s="6" t="s">
        <v>16</v>
      </c>
      <c r="C35" s="5" t="s">
        <v>146</v>
      </c>
      <c r="D35" s="11"/>
      <c r="E35" s="11">
        <f t="shared" si="1"/>
        <v>0</v>
      </c>
      <c r="F35" s="12" t="str">
        <f>IF(E35+E36 = 0, "n/a", E35/(E35+E36))</f>
        <v>n/a</v>
      </c>
      <c r="G35" s="11">
        <f>COUNTIFS(Beans!B:B, A35, Beans!A:A, "&gt;=2026-1-1", Beans!A:A,"&lt;2026-2-1" )</f>
        <v>0</v>
      </c>
      <c r="H35" s="7">
        <f>COUNTIFS(Beans!B:B, A35, Beans!A:A, "&gt;=2026-2-1", Beans!A:A,"&lt;2026-3-1" )</f>
        <v>0</v>
      </c>
      <c r="I35" s="11">
        <f>COUNTIFS(Beans!B:B, A35, Beans!A:A, "&gt;=2026-3-1", Beans!A:A,"&lt;2026-4-1" )</f>
        <v>0</v>
      </c>
      <c r="J35" s="11">
        <f>COUNTIFS(Beans!B:B, A35, Beans!A:A, "&gt;=2026-4-1", Beans!A:A,"&lt;2026-5-1" )</f>
        <v>0</v>
      </c>
      <c r="K35" s="7">
        <f>COUNTIFS(Beans!B:B, A35, Beans!A:A, "&gt;=2026-5-1", Beans!A:A,"&lt;2026-6-1" )</f>
        <v>0</v>
      </c>
      <c r="L35" s="11">
        <f>COUNTIFS(Beans!B:B, A35, Beans!A:A, "&gt;=2026-6-1", Beans!A:A,"&lt;2026-7-1" )</f>
        <v>0</v>
      </c>
      <c r="M35" s="11">
        <f>COUNTIFS(Beans!B:B, A35, Beans!A:A, "&gt;=2026-7-1", Beans!A:A,"&lt;2026-8-1" )</f>
        <v>0</v>
      </c>
      <c r="N35" s="7">
        <f>COUNTIFS(Beans!B:B, A35, Beans!A:A, "&gt;=2026-8-1", Beans!A:A,"&lt;2026-9-1" )</f>
        <v>0</v>
      </c>
      <c r="O35" s="11">
        <f>COUNTIFS(Beans!B:B, A35, Beans!A:A, "&gt;=2026-9-1", Beans!A:A,"&lt;2026-10-1" )</f>
        <v>0</v>
      </c>
      <c r="P35" s="11">
        <f>COUNTIFS(Beans!B:B, A35, Beans!A:A, "&gt;=2026-10-1", Beans!A:A,"&lt;2026-11-1" )</f>
        <v>0</v>
      </c>
      <c r="Q35" s="7">
        <f>COUNTIFS(Beans!B:B, A35, Beans!A:A, "&gt;=2026-11-1", Beans!A:A,"&lt;2026-12-1" )</f>
        <v>0</v>
      </c>
      <c r="R35" s="15">
        <f>COUNTIFS(Beans!B:B, A35, Beans!A:A, "&gt;=2026-12-1", Beans!A:A,"&lt;2027-1-1" )</f>
        <v>0</v>
      </c>
    </row>
    <row r="36">
      <c r="A36" s="6" t="s">
        <v>111</v>
      </c>
      <c r="B36" s="6" t="s">
        <v>21</v>
      </c>
      <c r="C36" s="5" t="s">
        <v>146</v>
      </c>
      <c r="D36" s="11"/>
      <c r="E36" s="11">
        <f t="shared" si="1"/>
        <v>0</v>
      </c>
      <c r="F36" s="12" t="str">
        <f>IF(E35+E36 = 0, "n/a", E36/(E35+E36))</f>
        <v>n/a</v>
      </c>
      <c r="G36" s="11">
        <f>COUNTIFS(Beans!B:B, A36, Beans!A:A, "&gt;=2026-1-1", Beans!A:A,"&lt;2026-2-1" )</f>
        <v>0</v>
      </c>
      <c r="H36" s="7">
        <f>COUNTIFS(Beans!B:B, A36, Beans!A:A, "&gt;=2026-2-1", Beans!A:A,"&lt;2026-3-1" )</f>
        <v>0</v>
      </c>
      <c r="I36" s="11">
        <f>COUNTIFS(Beans!B:B, A36, Beans!A:A, "&gt;=2026-3-1", Beans!A:A,"&lt;2026-4-1" )</f>
        <v>0</v>
      </c>
      <c r="J36" s="11">
        <f>COUNTIFS(Beans!B:B, A36, Beans!A:A, "&gt;=2026-4-1", Beans!A:A,"&lt;2026-5-1" )</f>
        <v>0</v>
      </c>
      <c r="K36" s="7">
        <f>COUNTIFS(Beans!B:B, A36, Beans!A:A, "&gt;=2026-5-1", Beans!A:A,"&lt;2026-6-1" )</f>
        <v>0</v>
      </c>
      <c r="L36" s="11">
        <f>COUNTIFS(Beans!B:B, A36, Beans!A:A, "&gt;=2026-6-1", Beans!A:A,"&lt;2026-7-1" )</f>
        <v>0</v>
      </c>
      <c r="M36" s="11">
        <f>COUNTIFS(Beans!B:B, A36, Beans!A:A, "&gt;=2026-7-1", Beans!A:A,"&lt;2026-8-1" )</f>
        <v>0</v>
      </c>
      <c r="N36" s="7">
        <f>COUNTIFS(Beans!B:B, A36, Beans!A:A, "&gt;=2026-8-1", Beans!A:A,"&lt;2026-9-1" )</f>
        <v>0</v>
      </c>
      <c r="O36" s="11">
        <f>COUNTIFS(Beans!B:B, A36, Beans!A:A, "&gt;=2026-9-1", Beans!A:A,"&lt;2026-10-1" )</f>
        <v>0</v>
      </c>
      <c r="P36" s="11">
        <f>COUNTIFS(Beans!B:B, A36, Beans!A:A, "&gt;=2026-10-1", Beans!A:A,"&lt;2026-11-1" )</f>
        <v>0</v>
      </c>
      <c r="Q36" s="7">
        <f>COUNTIFS(Beans!B:B, A36, Beans!A:A, "&gt;=2026-11-1", Beans!A:A,"&lt;2026-12-1" )</f>
        <v>0</v>
      </c>
      <c r="R36" s="15">
        <f>COUNTIFS(Beans!B:B, A36, Beans!A:A, "&gt;=2026-12-1", Beans!A:A,"&lt;2027-1-1" )</f>
        <v>0</v>
      </c>
    </row>
    <row r="37">
      <c r="A37" s="7"/>
      <c r="B37" s="7"/>
      <c r="D37" s="7"/>
      <c r="E37" s="7">
        <f>SUM(E2:E36)</f>
        <v>84</v>
      </c>
      <c r="F37" s="7"/>
      <c r="G37" s="7">
        <f t="shared" ref="G37:R37" si="3">SUM(G2:G34)</f>
        <v>15</v>
      </c>
      <c r="H37" s="7">
        <f t="shared" si="3"/>
        <v>10</v>
      </c>
      <c r="I37" s="7">
        <f t="shared" si="3"/>
        <v>2</v>
      </c>
      <c r="J37" s="7">
        <f t="shared" si="3"/>
        <v>6</v>
      </c>
      <c r="K37" s="7">
        <f t="shared" si="3"/>
        <v>9</v>
      </c>
      <c r="L37" s="7">
        <f t="shared" si="3"/>
        <v>2</v>
      </c>
      <c r="M37" s="7">
        <f t="shared" si="3"/>
        <v>1</v>
      </c>
      <c r="N37" s="7">
        <f t="shared" si="3"/>
        <v>11</v>
      </c>
      <c r="O37" s="7">
        <f t="shared" si="3"/>
        <v>28</v>
      </c>
      <c r="P37" s="7">
        <f t="shared" si="3"/>
        <v>0</v>
      </c>
      <c r="Q37" s="7">
        <f t="shared" si="3"/>
        <v>0</v>
      </c>
      <c r="R37" s="7">
        <f t="shared" si="3"/>
        <v>0</v>
      </c>
    </row>
    <row r="39">
      <c r="A39" s="5" t="s">
        <v>16</v>
      </c>
      <c r="B39" s="35">
        <f t="shared" ref="B39:B40" si="4">E2+E4+E6+E8+E10+E12+E14+E16+E18+E20+E22+E24+E26+E28+E35</f>
        <v>25</v>
      </c>
    </row>
    <row r="40">
      <c r="A40" s="5" t="s">
        <v>21</v>
      </c>
      <c r="B40" s="35">
        <f t="shared" si="4"/>
        <v>59</v>
      </c>
    </row>
    <row r="41">
      <c r="A41" s="5" t="s">
        <v>27</v>
      </c>
      <c r="B41" s="35">
        <f>SUM(E30:E34)</f>
        <v>0</v>
      </c>
    </row>
    <row r="42">
      <c r="B42" s="35">
        <f>SUM(B39:B41)</f>
        <v>84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205</v>
      </c>
      <c r="B1" s="42" t="s">
        <v>206</v>
      </c>
    </row>
    <row r="3">
      <c r="A3" s="43"/>
      <c r="B3" s="44" t="str">
        <f>'2026 Bean Description'!C2</f>
        <v>1st-Curr</v>
      </c>
      <c r="C3" s="43"/>
      <c r="D3" s="43"/>
      <c r="E3" s="45" t="str">
        <f>'2026 Bean Description'!C4</f>
        <v>4th-Curr</v>
      </c>
      <c r="F3" s="43"/>
      <c r="G3" s="43"/>
      <c r="H3" s="45" t="str">
        <f>'2026 Bean Description'!C6</f>
        <v>1st-Curr</v>
      </c>
      <c r="I3" s="43"/>
      <c r="J3" s="43"/>
      <c r="K3" s="45" t="str">
        <f>'2026 Bean Description'!C8</f>
        <v>5th-Curr</v>
      </c>
      <c r="L3" s="43"/>
      <c r="M3" s="43"/>
      <c r="N3" s="45" t="str">
        <f>'2026 Bean Description'!C10</f>
        <v>1st-Curr</v>
      </c>
      <c r="O3" s="43"/>
    </row>
    <row r="4">
      <c r="A4" s="46"/>
      <c r="B4" s="47" t="str">
        <f>'2026 Bean Description'!A2</f>
        <v>Juicy Pear</v>
      </c>
      <c r="C4" s="47" t="str">
        <f>'2026 Bean Description'!A3</f>
        <v>Booger</v>
      </c>
      <c r="D4" s="46"/>
      <c r="E4" s="47" t="str">
        <f>'2026 Bean Description'!A4</f>
        <v>Strawberry Smoothie</v>
      </c>
      <c r="F4" s="47" t="str">
        <f>'2026 Bean Description'!A5</f>
        <v>Dead Fish (Rotten)</v>
      </c>
      <c r="G4" s="46"/>
      <c r="H4" s="47" t="str">
        <f>'2026 Bean Description'!A6</f>
        <v>Berry Blue</v>
      </c>
      <c r="I4" s="47" t="str">
        <f>'2026 Bean Description'!A7</f>
        <v>Toothpaste</v>
      </c>
      <c r="J4" s="46"/>
      <c r="K4" s="47" t="str">
        <f>'2026 Bean Description'!A8</f>
        <v>Birthday Cake</v>
      </c>
      <c r="L4" s="47" t="str">
        <f>'2026 Bean Description'!A9</f>
        <v>Dirty Dishwater</v>
      </c>
      <c r="M4" s="46"/>
      <c r="N4" s="47" t="str">
        <f>'2026 Bean Description'!A10</f>
        <v>Peach</v>
      </c>
      <c r="O4" s="47" t="str">
        <f>'2026 Bean Description'!A11</f>
        <v>Barf</v>
      </c>
    </row>
    <row r="5">
      <c r="A5" s="44" t="s">
        <v>174</v>
      </c>
      <c r="B5" s="48">
        <f>'2026 Bean Description'!G2</f>
        <v>0</v>
      </c>
      <c r="C5" s="48">
        <f>'2026 Bean Description'!G3</f>
        <v>3</v>
      </c>
      <c r="D5" s="43"/>
      <c r="E5" s="48">
        <f>'2026 Bean Description'!G4</f>
        <v>0</v>
      </c>
      <c r="F5" s="48">
        <f>'2026 Bean Description'!G5</f>
        <v>0</v>
      </c>
      <c r="G5" s="43"/>
      <c r="H5" s="48">
        <f>'2026 Bean Description'!G6</f>
        <v>0</v>
      </c>
      <c r="I5" s="48">
        <f>'2026 Bean Description'!G7</f>
        <v>0</v>
      </c>
      <c r="J5" s="43"/>
      <c r="K5" s="48">
        <f>'2026 Bean Description'!G8</f>
        <v>0</v>
      </c>
      <c r="L5" s="48">
        <f>'2026 Bean Description'!G9</f>
        <v>0</v>
      </c>
      <c r="M5" s="43"/>
      <c r="N5" s="48">
        <f>'2026 Bean Description'!G10</f>
        <v>0</v>
      </c>
      <c r="O5" s="48">
        <f>'2026 Bean Description'!G11</f>
        <v>1</v>
      </c>
    </row>
    <row r="6">
      <c r="A6" s="44" t="s">
        <v>175</v>
      </c>
      <c r="B6" s="43">
        <f>'2026 Bean Description'!H2</f>
        <v>0</v>
      </c>
      <c r="C6" s="43">
        <f>'2026 Bean Description'!H3</f>
        <v>1</v>
      </c>
      <c r="D6" s="43"/>
      <c r="E6" s="48">
        <f>'2026 Bean Description'!H4</f>
        <v>0</v>
      </c>
      <c r="F6" s="48">
        <f>'2026 Bean Description'!H5</f>
        <v>0</v>
      </c>
      <c r="G6" s="43"/>
      <c r="H6" s="43">
        <f>'2026 Bean Description'!H6</f>
        <v>0</v>
      </c>
      <c r="I6" s="43">
        <f>'2026 Bean Description'!H7</f>
        <v>0</v>
      </c>
      <c r="J6" s="43"/>
      <c r="K6" s="49">
        <f>'2026 Bean Description'!H8</f>
        <v>0</v>
      </c>
      <c r="L6" s="43">
        <f>'2026 Bean Description'!H9</f>
        <v>0</v>
      </c>
      <c r="M6" s="43"/>
      <c r="N6" s="43">
        <f>'2026 Bean Description'!H10</f>
        <v>0</v>
      </c>
      <c r="O6" s="43">
        <f>'2026 Bean Description'!H11</f>
        <v>0</v>
      </c>
    </row>
    <row r="7">
      <c r="A7" s="44" t="s">
        <v>176</v>
      </c>
      <c r="B7" s="48">
        <f>'2026 Bean Description'!I2</f>
        <v>0</v>
      </c>
      <c r="C7" s="48">
        <f>'2026 Bean Description'!I3</f>
        <v>0</v>
      </c>
      <c r="D7" s="43"/>
      <c r="E7" s="48">
        <f>'2026 Bean Description'!I4</f>
        <v>1</v>
      </c>
      <c r="F7" s="48">
        <f>'2026 Bean Description'!I5</f>
        <v>0</v>
      </c>
      <c r="G7" s="43"/>
      <c r="H7" s="48">
        <f>'2026 Bean Description'!I6</f>
        <v>0</v>
      </c>
      <c r="I7" s="48">
        <f>'2026 Bean Description'!I7</f>
        <v>0</v>
      </c>
      <c r="J7" s="43"/>
      <c r="K7" s="48">
        <f>'2026 Bean Description'!I8</f>
        <v>0</v>
      </c>
      <c r="L7" s="48">
        <f>'2026 Bean Description'!I9</f>
        <v>0</v>
      </c>
      <c r="M7" s="43"/>
      <c r="N7" s="48">
        <f>'2026 Bean Description'!I10</f>
        <v>0</v>
      </c>
      <c r="O7" s="48">
        <f>'2026 Bean Description'!I11</f>
        <v>0</v>
      </c>
    </row>
    <row r="8">
      <c r="A8" s="44" t="s">
        <v>177</v>
      </c>
      <c r="B8" s="50">
        <f>'2026 Bean Description'!J2</f>
        <v>1</v>
      </c>
      <c r="C8" s="50">
        <f>'2026 Bean Description'!J3</f>
        <v>0</v>
      </c>
      <c r="D8" s="43"/>
      <c r="E8" s="48">
        <f>'2026 Bean Description'!J4</f>
        <v>0</v>
      </c>
      <c r="F8" s="48">
        <f>'2026 Bean Description'!J5</f>
        <v>0</v>
      </c>
      <c r="G8" s="43"/>
      <c r="H8" s="43">
        <f>'2026 Bean Description'!J6</f>
        <v>0</v>
      </c>
      <c r="I8" s="50">
        <f>'2026 Bean Description'!J7</f>
        <v>0</v>
      </c>
      <c r="J8" s="43"/>
      <c r="K8" s="43">
        <f>'2026 Bean Description'!J8</f>
        <v>0</v>
      </c>
      <c r="L8" s="50">
        <f>'2026 Bean Description'!J9</f>
        <v>0</v>
      </c>
      <c r="M8" s="43"/>
      <c r="N8" s="50">
        <f>'2026 Bean Description'!J10</f>
        <v>0</v>
      </c>
      <c r="O8" s="50">
        <f>'2026 Bean Description'!J11</f>
        <v>1</v>
      </c>
    </row>
    <row r="9">
      <c r="A9" s="44" t="s">
        <v>178</v>
      </c>
      <c r="B9" s="50">
        <f>'2026 Bean Description'!K2</f>
        <v>0</v>
      </c>
      <c r="C9" s="50">
        <f>'2026 Bean Description'!K3</f>
        <v>3</v>
      </c>
      <c r="D9" s="43"/>
      <c r="E9" s="48">
        <f>'2026 Bean Description'!K4</f>
        <v>0</v>
      </c>
      <c r="F9" s="48">
        <f>'2026 Bean Description'!K5</f>
        <v>0</v>
      </c>
      <c r="G9" s="43"/>
      <c r="H9" s="43">
        <f>'2026 Bean Description'!K6</f>
        <v>0</v>
      </c>
      <c r="I9" s="50">
        <f>'2026 Bean Description'!K7</f>
        <v>0</v>
      </c>
      <c r="J9" s="43"/>
      <c r="K9" s="43">
        <f>'2026 Bean Description'!K8</f>
        <v>0</v>
      </c>
      <c r="L9" s="50">
        <f>'2026 Bean Description'!K9</f>
        <v>0</v>
      </c>
      <c r="M9" s="43"/>
      <c r="N9" s="50">
        <f>'2026 Bean Description'!K10</f>
        <v>1</v>
      </c>
      <c r="O9" s="50">
        <f>'2026 Bean Description'!K11</f>
        <v>1</v>
      </c>
    </row>
    <row r="10">
      <c r="A10" s="44" t="s">
        <v>179</v>
      </c>
      <c r="B10" s="50">
        <f>'2026 Bean Description'!L2</f>
        <v>0</v>
      </c>
      <c r="C10" s="50">
        <f>'2026 Bean Description'!L3</f>
        <v>0</v>
      </c>
      <c r="D10" s="43"/>
      <c r="E10" s="48">
        <f>'2026 Bean Description'!L4</f>
        <v>1</v>
      </c>
      <c r="F10" s="48">
        <f>'2026 Bean Description'!L5</f>
        <v>0</v>
      </c>
      <c r="G10" s="43"/>
      <c r="H10" s="43">
        <f>'2026 Bean Description'!L6</f>
        <v>0</v>
      </c>
      <c r="I10" s="50">
        <f>'2026 Bean Description'!L7</f>
        <v>0</v>
      </c>
      <c r="J10" s="43"/>
      <c r="K10" s="43">
        <f>'2026 Bean Description'!L8</f>
        <v>0</v>
      </c>
      <c r="L10" s="50">
        <f>'2026 Bean Description'!L9</f>
        <v>0</v>
      </c>
      <c r="M10" s="43"/>
      <c r="N10" s="50">
        <f>'2026 Bean Description'!L10</f>
        <v>0</v>
      </c>
      <c r="O10" s="50">
        <f>'2026 Bean Description'!L11</f>
        <v>1</v>
      </c>
    </row>
    <row r="11">
      <c r="A11" s="44" t="s">
        <v>180</v>
      </c>
      <c r="B11" s="50">
        <f>'2026 Bean Description'!M2</f>
        <v>0</v>
      </c>
      <c r="C11" s="50">
        <f>'2026 Bean Description'!M3</f>
        <v>0</v>
      </c>
      <c r="D11" s="43"/>
      <c r="E11" s="48">
        <f>'2026 Bean Description'!M4</f>
        <v>0</v>
      </c>
      <c r="F11" s="48">
        <f>'2026 Bean Description'!M5</f>
        <v>0</v>
      </c>
      <c r="G11" s="43"/>
      <c r="H11" s="43">
        <f>'2026 Bean Description'!M6</f>
        <v>0</v>
      </c>
      <c r="I11" s="50">
        <f>'2026 Bean Description'!M7</f>
        <v>0</v>
      </c>
      <c r="J11" s="43"/>
      <c r="K11" s="43">
        <f>'2026 Bean Description'!M8</f>
        <v>0</v>
      </c>
      <c r="L11" s="50">
        <f>'2026 Bean Description'!M9</f>
        <v>0</v>
      </c>
      <c r="M11" s="43"/>
      <c r="N11" s="50">
        <f>'2026 Bean Description'!M10</f>
        <v>0</v>
      </c>
      <c r="O11" s="50">
        <f>'2026 Bean Description'!M11</f>
        <v>0</v>
      </c>
    </row>
    <row r="12">
      <c r="A12" s="44" t="s">
        <v>181</v>
      </c>
      <c r="B12" s="50">
        <f>'2026 Bean Description'!N2</f>
        <v>0</v>
      </c>
      <c r="C12" s="50">
        <f>'2026 Bean Description'!N3</f>
        <v>1</v>
      </c>
      <c r="D12" s="43"/>
      <c r="E12" s="48">
        <f>'2026 Bean Description'!N4</f>
        <v>2</v>
      </c>
      <c r="F12" s="48">
        <f>'2026 Bean Description'!N5</f>
        <v>0</v>
      </c>
      <c r="G12" s="43"/>
      <c r="H12" s="43">
        <f>'2026 Bean Description'!N6</f>
        <v>0</v>
      </c>
      <c r="I12" s="50">
        <f>'2026 Bean Description'!N7</f>
        <v>0</v>
      </c>
      <c r="J12" s="43"/>
      <c r="K12" s="43">
        <f>'2026 Bean Description'!N8</f>
        <v>0</v>
      </c>
      <c r="L12" s="50">
        <f>'2026 Bean Description'!N9</f>
        <v>0</v>
      </c>
      <c r="M12" s="43"/>
      <c r="N12" s="50">
        <f>'2026 Bean Description'!N10</f>
        <v>0</v>
      </c>
      <c r="O12" s="50">
        <f>'2026 Bean Description'!N11</f>
        <v>0</v>
      </c>
    </row>
    <row r="13">
      <c r="A13" s="44" t="s">
        <v>182</v>
      </c>
      <c r="B13" s="50">
        <f>'2026 Bean Description'!O2</f>
        <v>0</v>
      </c>
      <c r="C13" s="50">
        <f>'2026 Bean Description'!O3</f>
        <v>5</v>
      </c>
      <c r="D13" s="43"/>
      <c r="E13" s="48">
        <f>'2026 Bean Description'!O4</f>
        <v>4</v>
      </c>
      <c r="F13" s="48">
        <f>'2026 Bean Description'!O5</f>
        <v>3</v>
      </c>
      <c r="G13" s="43"/>
      <c r="H13" s="43">
        <f>'2026 Bean Description'!O6</f>
        <v>0</v>
      </c>
      <c r="I13" s="50">
        <f>'2026 Bean Description'!O7</f>
        <v>0</v>
      </c>
      <c r="J13" s="43"/>
      <c r="K13" s="43">
        <f>'2026 Bean Description'!O8</f>
        <v>0</v>
      </c>
      <c r="L13" s="50">
        <f>'2026 Bean Description'!O9</f>
        <v>0</v>
      </c>
      <c r="M13" s="43"/>
      <c r="N13" s="50">
        <f>'2026 Bean Description'!O10</f>
        <v>0</v>
      </c>
      <c r="O13" s="50">
        <f>'2026 Bean Description'!O11</f>
        <v>1</v>
      </c>
    </row>
    <row r="14">
      <c r="A14" s="44" t="s">
        <v>183</v>
      </c>
      <c r="B14" s="50">
        <f>'2026 Bean Description'!P2</f>
        <v>0</v>
      </c>
      <c r="C14" s="50">
        <f>'2026 Bean Description'!P3</f>
        <v>0</v>
      </c>
      <c r="D14" s="43"/>
      <c r="E14" s="48">
        <f>'2026 Bean Description'!P4</f>
        <v>0</v>
      </c>
      <c r="F14" s="48">
        <f>'2026 Bean Description'!P5</f>
        <v>0</v>
      </c>
      <c r="G14" s="43"/>
      <c r="H14" s="43">
        <f>'2026 Bean Description'!P6</f>
        <v>0</v>
      </c>
      <c r="I14" s="50">
        <f>'2026 Bean Description'!P7</f>
        <v>0</v>
      </c>
      <c r="J14" s="43"/>
      <c r="K14" s="43">
        <f>'2026 Bean Description'!P8</f>
        <v>0</v>
      </c>
      <c r="L14" s="50">
        <f>'2026 Bean Description'!P9</f>
        <v>0</v>
      </c>
      <c r="M14" s="43"/>
      <c r="N14" s="50">
        <f>'2026 Bean Description'!P10</f>
        <v>0</v>
      </c>
      <c r="O14" s="50">
        <f>'2026 Bean Description'!P11</f>
        <v>0</v>
      </c>
    </row>
    <row r="15">
      <c r="A15" s="44" t="s">
        <v>184</v>
      </c>
      <c r="B15" s="50">
        <f>'2026 Bean Description'!Q2</f>
        <v>0</v>
      </c>
      <c r="C15" s="50">
        <f>'2026 Bean Description'!Q3</f>
        <v>0</v>
      </c>
      <c r="D15" s="43"/>
      <c r="E15" s="48">
        <f>'2026 Bean Description'!Q4</f>
        <v>0</v>
      </c>
      <c r="F15" s="48">
        <f>'2026 Bean Description'!Q5</f>
        <v>0</v>
      </c>
      <c r="G15" s="43"/>
      <c r="H15" s="43">
        <f>'2026 Bean Description'!Q6</f>
        <v>0</v>
      </c>
      <c r="I15" s="50">
        <f>'2026 Bean Description'!Q7</f>
        <v>0</v>
      </c>
      <c r="J15" s="43"/>
      <c r="K15" s="43">
        <f>'2026 Bean Description'!Q8</f>
        <v>0</v>
      </c>
      <c r="L15" s="50">
        <f>'2026 Bean Description'!Q9</f>
        <v>0</v>
      </c>
      <c r="M15" s="43"/>
      <c r="N15" s="50">
        <f>'2026 Bean Description'!Q10</f>
        <v>0</v>
      </c>
      <c r="O15" s="50">
        <f>'2026 Bean Description'!Q11</f>
        <v>0</v>
      </c>
    </row>
    <row r="16">
      <c r="A16" s="44" t="s">
        <v>185</v>
      </c>
      <c r="B16" s="50">
        <f>'2026 Bean Description'!R2</f>
        <v>0</v>
      </c>
      <c r="C16" s="50">
        <f>'2026 Bean Description'!R3</f>
        <v>0</v>
      </c>
      <c r="D16" s="43"/>
      <c r="E16" s="48">
        <f>'2026 Bean Description'!R4</f>
        <v>0</v>
      </c>
      <c r="F16" s="48">
        <f>'2026 Bean Description'!R5</f>
        <v>0</v>
      </c>
      <c r="G16" s="43"/>
      <c r="H16" s="43">
        <f>'2026 Bean Description'!R6</f>
        <v>0</v>
      </c>
      <c r="I16" s="50">
        <f>'2026 Bean Description'!R7</f>
        <v>0</v>
      </c>
      <c r="J16" s="43"/>
      <c r="K16" s="43">
        <f>'2026 Bean Description'!R8</f>
        <v>0</v>
      </c>
      <c r="L16" s="50">
        <f>'2026 Bean Description'!R9</f>
        <v>0</v>
      </c>
      <c r="M16" s="43"/>
      <c r="N16" s="50">
        <f>'2026 Bean Description'!R10</f>
        <v>0</v>
      </c>
      <c r="O16" s="50">
        <f>'2026 Bean Description'!R11</f>
        <v>0</v>
      </c>
    </row>
    <row r="17">
      <c r="A17" s="43"/>
      <c r="B17" s="50"/>
      <c r="C17" s="50"/>
      <c r="D17" s="43"/>
      <c r="E17" s="50"/>
      <c r="F17" s="50"/>
      <c r="G17" s="43"/>
      <c r="H17" s="43"/>
      <c r="I17" s="50"/>
      <c r="J17" s="43"/>
      <c r="K17" s="43"/>
      <c r="L17" s="50"/>
      <c r="M17" s="43"/>
      <c r="N17" s="50"/>
      <c r="O17" s="50"/>
    </row>
    <row r="18">
      <c r="A18" s="43"/>
      <c r="B18" s="44" t="str">
        <f>'2026 Bean Description'!C12</f>
        <v>3rd-Curr</v>
      </c>
      <c r="C18" s="43"/>
      <c r="D18" s="43"/>
      <c r="E18" s="45" t="str">
        <f>'2026 Bean Description'!C14</f>
        <v>6th-Curr</v>
      </c>
      <c r="F18" s="43"/>
      <c r="G18" s="43"/>
      <c r="H18" s="45" t="str">
        <f>'2026 Bean Description'!C16</f>
        <v>5th-Curr</v>
      </c>
      <c r="I18" s="43"/>
      <c r="J18" s="43"/>
      <c r="K18" s="45" t="str">
        <f>'2026 Bean Description'!C18</f>
        <v>6th-Curr</v>
      </c>
      <c r="L18" s="43"/>
      <c r="M18" s="43"/>
      <c r="N18" s="45" t="str">
        <f>'2026 Bean Description'!C20</f>
        <v>1st-Curr</v>
      </c>
      <c r="O18" s="43"/>
    </row>
    <row r="19">
      <c r="A19" s="46"/>
      <c r="B19" s="47" t="str">
        <f>'2026 Bean Description'!A12</f>
        <v>Tutti Fruitti</v>
      </c>
      <c r="C19" s="47" t="str">
        <f>'2026 Bean Description'!A13</f>
        <v>Stinky Socks</v>
      </c>
      <c r="D19" s="46"/>
      <c r="E19" s="47" t="str">
        <f>'2026 Bean Description'!A14</f>
        <v>Pomegranate</v>
      </c>
      <c r="F19" s="47" t="str">
        <f>'2026 Bean Description'!A15</f>
        <v>Old Bandage</v>
      </c>
      <c r="G19" s="46"/>
      <c r="H19" s="47" t="str">
        <f>'2026 Bean Description'!A16</f>
        <v>Toasted Marshmallow</v>
      </c>
      <c r="I19" s="47" t="str">
        <f>'2026 Bean Description'!A17</f>
        <v>Stink Bug</v>
      </c>
      <c r="J19" s="46"/>
      <c r="K19" s="47" t="str">
        <f>'2026 Bean Description'!A18</f>
        <v>Cappuccino</v>
      </c>
      <c r="L19" s="47" t="str">
        <f>'2026 Bean Description'!A19</f>
        <v>Liver &amp; Onion</v>
      </c>
      <c r="M19" s="46"/>
      <c r="N19" s="47" t="str">
        <f>'2026 Bean Description'!A20</f>
        <v>Buttered Popcorn</v>
      </c>
      <c r="O19" s="47" t="str">
        <f>'2026 Bean Description'!A21</f>
        <v>Rotten Egg</v>
      </c>
    </row>
    <row r="20">
      <c r="A20" s="44" t="s">
        <v>174</v>
      </c>
      <c r="B20" s="48">
        <f>'2026 Bean Description'!G12</f>
        <v>0</v>
      </c>
      <c r="C20" s="48">
        <f>'2026 Bean Description'!G13</f>
        <v>0</v>
      </c>
      <c r="D20" s="43"/>
      <c r="E20" s="48">
        <f>'2026 Bean Description'!G14</f>
        <v>0</v>
      </c>
      <c r="F20" s="48">
        <f>'2026 Bean Description'!G15</f>
        <v>3</v>
      </c>
      <c r="G20" s="43"/>
      <c r="H20" s="43">
        <f>'2026 Bean Description'!G16</f>
        <v>1</v>
      </c>
      <c r="I20" s="43">
        <f>'2026 Bean Description'!G17</f>
        <v>2</v>
      </c>
      <c r="J20" s="43"/>
      <c r="K20" s="48">
        <f>'2026 Bean Description'!G18</f>
        <v>0</v>
      </c>
      <c r="L20" s="48">
        <f>'2026 Bean Description'!G19</f>
        <v>2</v>
      </c>
      <c r="M20" s="43"/>
      <c r="N20" s="48">
        <f>'2026 Bean Description'!G20</f>
        <v>0</v>
      </c>
      <c r="O20" s="48">
        <f>'2026 Bean Description'!G21</f>
        <v>0</v>
      </c>
    </row>
    <row r="21">
      <c r="A21" s="44" t="s">
        <v>175</v>
      </c>
      <c r="B21" s="43">
        <f>'2026 Bean Description'!H12</f>
        <v>0</v>
      </c>
      <c r="C21" s="43">
        <f>'2026 Bean Description'!H13</f>
        <v>0</v>
      </c>
      <c r="D21" s="43"/>
      <c r="E21" s="43">
        <f>'2026 Bean Description'!H14</f>
        <v>2</v>
      </c>
      <c r="F21" s="43">
        <f>'2026 Bean Description'!H15</f>
        <v>2</v>
      </c>
      <c r="G21" s="43"/>
      <c r="H21" s="43">
        <f>'2026 Bean Description'!H16</f>
        <v>2</v>
      </c>
      <c r="I21" s="43">
        <f>'2026 Bean Description'!H17</f>
        <v>0</v>
      </c>
      <c r="J21" s="43"/>
      <c r="K21" s="43">
        <f>'2026 Bean Description'!H18</f>
        <v>0</v>
      </c>
      <c r="L21" s="43">
        <f>'2026 Bean Description'!H19</f>
        <v>0</v>
      </c>
      <c r="M21" s="43"/>
      <c r="N21" s="43">
        <f>'2026 Bean Description'!H20</f>
        <v>0</v>
      </c>
      <c r="O21" s="43">
        <f>'2026 Bean Description'!H21</f>
        <v>0</v>
      </c>
    </row>
    <row r="22">
      <c r="A22" s="44" t="s">
        <v>176</v>
      </c>
      <c r="B22" s="48">
        <f>'2026 Bean Description'!I12</f>
        <v>0</v>
      </c>
      <c r="C22" s="48">
        <f>'2026 Bean Description'!I13</f>
        <v>0</v>
      </c>
      <c r="D22" s="43"/>
      <c r="E22" s="43">
        <f>'2026 Bean Description'!I14</f>
        <v>0</v>
      </c>
      <c r="F22" s="43">
        <f>'2026 Bean Description'!I15</f>
        <v>0</v>
      </c>
      <c r="G22" s="43"/>
      <c r="H22" s="48">
        <f>'2026 Bean Description'!I16</f>
        <v>0</v>
      </c>
      <c r="I22" s="48">
        <f>'2026 Bean Description'!I17</f>
        <v>0</v>
      </c>
      <c r="J22" s="43"/>
      <c r="K22" s="43">
        <f>'2026 Bean Description'!I18</f>
        <v>0</v>
      </c>
      <c r="L22" s="43">
        <f>'2026 Bean Description'!I19</f>
        <v>0</v>
      </c>
      <c r="M22" s="43"/>
      <c r="N22" s="48">
        <f>'2026 Bean Description'!I20</f>
        <v>0</v>
      </c>
      <c r="O22" s="48">
        <f>'2026 Bean Description'!I21</f>
        <v>0</v>
      </c>
    </row>
    <row r="23">
      <c r="A23" s="44" t="s">
        <v>177</v>
      </c>
      <c r="B23" s="43">
        <f>'2026 Bean Description'!J12</f>
        <v>1</v>
      </c>
      <c r="C23" s="50">
        <f>'2026 Bean Description'!J13</f>
        <v>0</v>
      </c>
      <c r="D23" s="43"/>
      <c r="E23" s="43">
        <f>'2026 Bean Description'!J14</f>
        <v>0</v>
      </c>
      <c r="F23" s="43">
        <f>'2026 Bean Description'!J15</f>
        <v>0</v>
      </c>
      <c r="G23" s="43"/>
      <c r="H23" s="43">
        <f>'2026 Bean Description'!J16</f>
        <v>0</v>
      </c>
      <c r="I23" s="50">
        <f>'2026 Bean Description'!J17</f>
        <v>1</v>
      </c>
      <c r="J23" s="43"/>
      <c r="K23" s="43">
        <f>'2026 Bean Description'!J18</f>
        <v>0</v>
      </c>
      <c r="L23" s="49">
        <f>'2026 Bean Description'!J19</f>
        <v>0</v>
      </c>
      <c r="M23" s="43"/>
      <c r="N23" s="43">
        <f>'2026 Bean Description'!J20</f>
        <v>0</v>
      </c>
      <c r="O23" s="50">
        <f>'2026 Bean Description'!J21</f>
        <v>0</v>
      </c>
    </row>
    <row r="24">
      <c r="A24" s="44" t="s">
        <v>178</v>
      </c>
      <c r="B24" s="43">
        <f>'2026 Bean Description'!K12</f>
        <v>1</v>
      </c>
      <c r="C24" s="50">
        <f>'2026 Bean Description'!K13</f>
        <v>0</v>
      </c>
      <c r="D24" s="43"/>
      <c r="E24" s="43">
        <f>'2026 Bean Description'!K14</f>
        <v>1</v>
      </c>
      <c r="F24" s="43">
        <f>'2026 Bean Description'!K15</f>
        <v>1</v>
      </c>
      <c r="G24" s="43"/>
      <c r="H24" s="43">
        <f>'2026 Bean Description'!K16</f>
        <v>0</v>
      </c>
      <c r="I24" s="50">
        <f>'2026 Bean Description'!K17</f>
        <v>1</v>
      </c>
      <c r="J24" s="43"/>
      <c r="K24" s="43">
        <f>'2026 Bean Description'!K18</f>
        <v>0</v>
      </c>
      <c r="L24" s="49">
        <f>'2026 Bean Description'!K19</f>
        <v>0</v>
      </c>
      <c r="M24" s="43"/>
      <c r="N24" s="43">
        <f>'2026 Bean Description'!K20</f>
        <v>0</v>
      </c>
      <c r="O24" s="50">
        <f>'2026 Bean Description'!K21</f>
        <v>0</v>
      </c>
    </row>
    <row r="25">
      <c r="A25" s="44" t="s">
        <v>179</v>
      </c>
      <c r="B25" s="43">
        <f>'2026 Bean Description'!L12</f>
        <v>0</v>
      </c>
      <c r="C25" s="50">
        <f>'2026 Bean Description'!L13</f>
        <v>0</v>
      </c>
      <c r="D25" s="43"/>
      <c r="E25" s="43">
        <f>'2026 Bean Description'!L14</f>
        <v>0</v>
      </c>
      <c r="F25" s="43">
        <f>'2026 Bean Description'!L15</f>
        <v>0</v>
      </c>
      <c r="G25" s="43"/>
      <c r="H25" s="43">
        <f>'2026 Bean Description'!L16</f>
        <v>0</v>
      </c>
      <c r="I25" s="50">
        <f>'2026 Bean Description'!L17</f>
        <v>0</v>
      </c>
      <c r="J25" s="43"/>
      <c r="K25" s="43">
        <f>'2026 Bean Description'!L18</f>
        <v>0</v>
      </c>
      <c r="L25" s="49">
        <f>'2026 Bean Description'!L19</f>
        <v>0</v>
      </c>
      <c r="M25" s="43"/>
      <c r="N25" s="43">
        <f>'2026 Bean Description'!L20</f>
        <v>0</v>
      </c>
      <c r="O25" s="50">
        <f>'2026 Bean Description'!L21</f>
        <v>0</v>
      </c>
    </row>
    <row r="26">
      <c r="A26" s="44" t="s">
        <v>180</v>
      </c>
      <c r="B26" s="43">
        <f>'2026 Bean Description'!M12</f>
        <v>0</v>
      </c>
      <c r="C26" s="50">
        <f>'2026 Bean Description'!M13</f>
        <v>0</v>
      </c>
      <c r="D26" s="43"/>
      <c r="E26" s="43">
        <f>'2026 Bean Description'!M14</f>
        <v>0</v>
      </c>
      <c r="F26" s="43">
        <f>'2026 Bean Description'!M15</f>
        <v>1</v>
      </c>
      <c r="G26" s="43"/>
      <c r="H26" s="43">
        <f>'2026 Bean Description'!M16</f>
        <v>0</v>
      </c>
      <c r="I26" s="50">
        <f>'2026 Bean Description'!M17</f>
        <v>0</v>
      </c>
      <c r="J26" s="43"/>
      <c r="K26" s="43">
        <f>'2026 Bean Description'!M18</f>
        <v>0</v>
      </c>
      <c r="L26" s="49">
        <f>'2026 Bean Description'!M19</f>
        <v>0</v>
      </c>
      <c r="M26" s="43"/>
      <c r="N26" s="43">
        <f>'2026 Bean Description'!M20</f>
        <v>0</v>
      </c>
      <c r="O26" s="50">
        <f>'2026 Bean Description'!M21</f>
        <v>0</v>
      </c>
    </row>
    <row r="27">
      <c r="A27" s="44" t="s">
        <v>181</v>
      </c>
      <c r="B27" s="43">
        <f>'2026 Bean Description'!N12</f>
        <v>0</v>
      </c>
      <c r="C27" s="50">
        <f>'2026 Bean Description'!N13</f>
        <v>1</v>
      </c>
      <c r="D27" s="43"/>
      <c r="E27" s="43">
        <f>'2026 Bean Description'!N14</f>
        <v>1</v>
      </c>
      <c r="F27" s="43">
        <f>'2026 Bean Description'!N15</f>
        <v>1</v>
      </c>
      <c r="G27" s="43"/>
      <c r="H27" s="43">
        <f>'2026 Bean Description'!N16</f>
        <v>0</v>
      </c>
      <c r="I27" s="50">
        <f>'2026 Bean Description'!N17</f>
        <v>0</v>
      </c>
      <c r="J27" s="43"/>
      <c r="K27" s="43">
        <f>'2026 Bean Description'!N18</f>
        <v>1</v>
      </c>
      <c r="L27" s="49">
        <f>'2026 Bean Description'!N19</f>
        <v>1</v>
      </c>
      <c r="M27" s="43"/>
      <c r="N27" s="43">
        <f>'2026 Bean Description'!N20</f>
        <v>0</v>
      </c>
      <c r="O27" s="50">
        <f>'2026 Bean Description'!N21</f>
        <v>0</v>
      </c>
    </row>
    <row r="28">
      <c r="A28" s="44" t="s">
        <v>182</v>
      </c>
      <c r="B28" s="43">
        <f>'2026 Bean Description'!O12</f>
        <v>1</v>
      </c>
      <c r="C28" s="50">
        <f>'2026 Bean Description'!O13</f>
        <v>2</v>
      </c>
      <c r="D28" s="43"/>
      <c r="E28" s="43">
        <f>'2026 Bean Description'!O14</f>
        <v>0</v>
      </c>
      <c r="F28" s="43">
        <f>'2026 Bean Description'!O15</f>
        <v>2</v>
      </c>
      <c r="G28" s="43"/>
      <c r="H28" s="43">
        <f>'2026 Bean Description'!O16</f>
        <v>0</v>
      </c>
      <c r="I28" s="50">
        <f>'2026 Bean Description'!O17</f>
        <v>1</v>
      </c>
      <c r="J28" s="43"/>
      <c r="K28" s="43">
        <f>'2026 Bean Description'!O18</f>
        <v>1</v>
      </c>
      <c r="L28" s="49">
        <f>'2026 Bean Description'!O19</f>
        <v>2</v>
      </c>
      <c r="M28" s="43"/>
      <c r="N28" s="43">
        <f>'2026 Bean Description'!O20</f>
        <v>0</v>
      </c>
      <c r="O28" s="50">
        <f>'2026 Bean Description'!O21</f>
        <v>0</v>
      </c>
    </row>
    <row r="29">
      <c r="A29" s="44" t="s">
        <v>183</v>
      </c>
      <c r="B29" s="43">
        <f>'2026 Bean Description'!P12</f>
        <v>0</v>
      </c>
      <c r="C29" s="50">
        <f>'2026 Bean Description'!P13</f>
        <v>0</v>
      </c>
      <c r="D29" s="43"/>
      <c r="E29" s="43">
        <f>'2026 Bean Description'!P14</f>
        <v>0</v>
      </c>
      <c r="F29" s="43">
        <f>'2026 Bean Description'!P15</f>
        <v>0</v>
      </c>
      <c r="G29" s="43"/>
      <c r="H29" s="43">
        <f>'2026 Bean Description'!P16</f>
        <v>0</v>
      </c>
      <c r="I29" s="50">
        <f>'2026 Bean Description'!P17</f>
        <v>0</v>
      </c>
      <c r="J29" s="43"/>
      <c r="K29" s="43">
        <f>'2026 Bean Description'!P18</f>
        <v>0</v>
      </c>
      <c r="L29" s="49">
        <f>'2026 Bean Description'!P19</f>
        <v>0</v>
      </c>
      <c r="M29" s="43"/>
      <c r="N29" s="43">
        <f>'2026 Bean Description'!P20</f>
        <v>0</v>
      </c>
      <c r="O29" s="50">
        <f>'2026 Bean Description'!P21</f>
        <v>0</v>
      </c>
    </row>
    <row r="30">
      <c r="A30" s="44" t="s">
        <v>184</v>
      </c>
      <c r="B30" s="43">
        <f>'2026 Bean Description'!Q12</f>
        <v>0</v>
      </c>
      <c r="C30" s="50">
        <f>'2026 Bean Description'!Q13</f>
        <v>0</v>
      </c>
      <c r="D30" s="43"/>
      <c r="E30" s="43">
        <f>'2026 Bean Description'!Q14</f>
        <v>0</v>
      </c>
      <c r="F30" s="43">
        <f>'2026 Bean Description'!Q15</f>
        <v>0</v>
      </c>
      <c r="G30" s="43"/>
      <c r="H30" s="43">
        <f>'2026 Bean Description'!Q16</f>
        <v>0</v>
      </c>
      <c r="I30" s="50">
        <f>'2026 Bean Description'!Q17</f>
        <v>0</v>
      </c>
      <c r="J30" s="43"/>
      <c r="K30" s="43">
        <f>'2026 Bean Description'!Q18</f>
        <v>0</v>
      </c>
      <c r="L30" s="49">
        <f>'2026 Bean Description'!Q19</f>
        <v>0</v>
      </c>
      <c r="M30" s="43"/>
      <c r="N30" s="43">
        <f>'2026 Bean Description'!Q20</f>
        <v>0</v>
      </c>
      <c r="O30" s="50">
        <f>'2026 Bean Description'!Q21</f>
        <v>0</v>
      </c>
    </row>
    <row r="31">
      <c r="A31" s="44" t="s">
        <v>185</v>
      </c>
      <c r="B31" s="43">
        <f>'2026 Bean Description'!R12</f>
        <v>0</v>
      </c>
      <c r="C31" s="50">
        <f>'2026 Bean Description'!R13</f>
        <v>0</v>
      </c>
      <c r="D31" s="43"/>
      <c r="E31" s="43">
        <f>'2026 Bean Description'!R14</f>
        <v>0</v>
      </c>
      <c r="F31" s="43">
        <f>'2026 Bean Description'!R15</f>
        <v>0</v>
      </c>
      <c r="G31" s="43"/>
      <c r="H31" s="43">
        <f>'2026 Bean Description'!R16</f>
        <v>0</v>
      </c>
      <c r="I31" s="50">
        <f>'2026 Bean Description'!R17</f>
        <v>0</v>
      </c>
      <c r="J31" s="43"/>
      <c r="K31" s="43">
        <f>'2026 Bean Description'!R18</f>
        <v>0</v>
      </c>
      <c r="L31" s="49">
        <f>'2026 Bean Description'!R19</f>
        <v>0</v>
      </c>
      <c r="M31" s="43"/>
      <c r="N31" s="43">
        <f>'2026 Bean Description'!R20</f>
        <v>0</v>
      </c>
      <c r="O31" s="50">
        <f>'2026 Bean Description'!R21</f>
        <v>0</v>
      </c>
    </row>
    <row r="32">
      <c r="A32" s="43"/>
      <c r="B32" s="43"/>
      <c r="C32" s="50"/>
      <c r="D32" s="43"/>
      <c r="E32" s="43"/>
      <c r="F32" s="43"/>
      <c r="G32" s="52"/>
      <c r="H32" s="52"/>
      <c r="I32" s="42"/>
      <c r="J32" s="52"/>
      <c r="K32" s="52"/>
      <c r="L32" s="52"/>
      <c r="M32" s="52"/>
      <c r="N32" s="52"/>
      <c r="O32" s="42"/>
    </row>
    <row r="33">
      <c r="A33" s="43"/>
      <c r="B33" s="44" t="str">
        <f>'2026 Bean Description'!C27</f>
        <v>7th-Curr</v>
      </c>
      <c r="C33" s="43"/>
      <c r="D33" s="43"/>
      <c r="E33" s="45" t="str">
        <f>'2026 Bean Description'!C29</f>
        <v>7th-Curr</v>
      </c>
      <c r="F33" s="43"/>
      <c r="G33" s="43"/>
      <c r="H33" s="45" t="str">
        <f>'2026 Bean Description'!C26</f>
        <v>7th-Curr</v>
      </c>
      <c r="I33" s="43"/>
      <c r="J33" s="43"/>
      <c r="K33" s="45" t="str">
        <f>'2026 Bean Description'!C28</f>
        <v>7th-Curr</v>
      </c>
      <c r="L33" s="43"/>
      <c r="M33" s="43"/>
      <c r="N33" s="45" t="str">
        <f>'2026 Bean Description'!C35</f>
        <v>?</v>
      </c>
      <c r="O33" s="52"/>
    </row>
    <row r="34">
      <c r="A34" s="46"/>
      <c r="B34" s="47" t="str">
        <f>'2026 Bean Description'!A22</f>
        <v>Chocolate Pudding</v>
      </c>
      <c r="C34" s="47" t="str">
        <f>'2026 Bean Description'!A23</f>
        <v>Dog Food</v>
      </c>
      <c r="D34" s="46"/>
      <c r="E34" s="47" t="str">
        <f>'2026 Bean Description'!A24</f>
        <v>Coconut</v>
      </c>
      <c r="F34" s="47" t="str">
        <f>'2026 Bean Description'!A25</f>
        <v>Spoiled Milk</v>
      </c>
      <c r="G34" s="46"/>
      <c r="H34" s="47" t="str">
        <f>'2026 Bean Description'!A26</f>
        <v>Top Banana</v>
      </c>
      <c r="I34" s="47" t="str">
        <f>'2026 Bean Description'!A27</f>
        <v>Wet Dog</v>
      </c>
      <c r="J34" s="46"/>
      <c r="K34" s="47" t="str">
        <f>'2026 Bean Description'!A28</f>
        <v>Licorice</v>
      </c>
      <c r="L34" s="47" t="str">
        <f>'2026 Bean Description'!A29</f>
        <v>Burnt Rubber</v>
      </c>
      <c r="M34" s="53"/>
      <c r="N34" s="47" t="str">
        <f>'2026 Bean Description'!A35</f>
        <v>Mystery Bean (Good)</v>
      </c>
      <c r="O34" s="47" t="str">
        <f>'2026 Bean Description'!A36</f>
        <v>Mystery Bean (Bad)</v>
      </c>
    </row>
    <row r="35">
      <c r="A35" s="44" t="s">
        <v>174</v>
      </c>
      <c r="B35" s="54">
        <f>'2026 Bean Description'!G22</f>
        <v>0</v>
      </c>
      <c r="C35" s="54">
        <f>'2026 Bean Description'!G23</f>
        <v>0</v>
      </c>
      <c r="D35" s="43"/>
      <c r="E35" s="54">
        <f>'2026 Bean Description'!G24</f>
        <v>0</v>
      </c>
      <c r="F35" s="54">
        <f>'2026 Bean Description'!G25</f>
        <v>0</v>
      </c>
      <c r="G35" s="53"/>
      <c r="H35" s="54">
        <f>'2026 Bean Description'!G26</f>
        <v>0</v>
      </c>
      <c r="I35" s="54">
        <f>'2026 Bean Description'!G27</f>
        <v>3</v>
      </c>
      <c r="J35" s="53"/>
      <c r="K35" s="54">
        <f>'2026 Bean Description'!G28</f>
        <v>0</v>
      </c>
      <c r="L35" s="55">
        <f>'2026 Bean Description'!G29</f>
        <v>0</v>
      </c>
      <c r="M35" s="53"/>
      <c r="N35" s="54">
        <f>'2026 Bean Description'!G35</f>
        <v>0</v>
      </c>
      <c r="O35" s="54">
        <f>'2026 Bean Description'!G36</f>
        <v>0</v>
      </c>
    </row>
    <row r="36">
      <c r="A36" s="44" t="s">
        <v>175</v>
      </c>
      <c r="B36" s="49">
        <f>'2026 Bean Description'!H22</f>
        <v>0</v>
      </c>
      <c r="C36" s="43">
        <f>'2026 Bean Description'!H23</f>
        <v>0</v>
      </c>
      <c r="D36" s="43"/>
      <c r="E36" s="43">
        <f>'2026 Bean Description'!H24</f>
        <v>0</v>
      </c>
      <c r="F36" s="43">
        <f>'2026 Bean Description'!H25</f>
        <v>0</v>
      </c>
      <c r="G36" s="52"/>
      <c r="H36" s="43">
        <f>'2026 Bean Description'!H26</f>
        <v>0</v>
      </c>
      <c r="I36" s="54">
        <f>'2026 Bean Description'!H27</f>
        <v>3</v>
      </c>
      <c r="J36" s="52"/>
      <c r="K36" s="43">
        <f>'2026 Bean Description'!H28</f>
        <v>0</v>
      </c>
      <c r="L36" s="54">
        <f>'2026 Bean Description'!H29</f>
        <v>0</v>
      </c>
      <c r="M36" s="52"/>
      <c r="N36" s="43">
        <f>'2026 Bean Description'!H35</f>
        <v>0</v>
      </c>
      <c r="O36" s="43">
        <f>'2026 Bean Description'!H36</f>
        <v>0</v>
      </c>
    </row>
    <row r="37">
      <c r="A37" s="44" t="s">
        <v>176</v>
      </c>
      <c r="B37" s="48">
        <f>'2026 Bean Description'!I22</f>
        <v>0</v>
      </c>
      <c r="C37" s="48">
        <f>'2026 Bean Description'!I23</f>
        <v>0</v>
      </c>
      <c r="D37" s="43"/>
      <c r="E37" s="48">
        <f>'2026 Bean Description'!I24</f>
        <v>0</v>
      </c>
      <c r="F37" s="48">
        <f>'2026 Bean Description'!I25</f>
        <v>0</v>
      </c>
      <c r="G37" s="52"/>
      <c r="H37" s="48">
        <f>'2026 Bean Description'!I26</f>
        <v>0</v>
      </c>
      <c r="I37" s="43">
        <f>'2026 Bean Description'!I27</f>
        <v>1</v>
      </c>
      <c r="J37" s="52"/>
      <c r="K37" s="48">
        <f>'2026 Bean Description'!I28</f>
        <v>0</v>
      </c>
      <c r="L37" s="43">
        <f>'2026 Bean Description'!I29</f>
        <v>0</v>
      </c>
      <c r="M37" s="52"/>
      <c r="N37" s="48">
        <f>'2026 Bean Description'!I35</f>
        <v>0</v>
      </c>
      <c r="O37" s="48">
        <f>'2026 Bean Description'!I36</f>
        <v>0</v>
      </c>
    </row>
    <row r="38">
      <c r="A38" s="44" t="s">
        <v>177</v>
      </c>
      <c r="B38" s="43">
        <f>'2026 Bean Description'!J22</f>
        <v>0</v>
      </c>
      <c r="C38" s="50">
        <f>'2026 Bean Description'!J23</f>
        <v>0</v>
      </c>
      <c r="D38" s="43"/>
      <c r="E38" s="50">
        <f>'2026 Bean Description'!J24</f>
        <v>0</v>
      </c>
      <c r="F38" s="43">
        <f>'2026 Bean Description'!J25</f>
        <v>0</v>
      </c>
      <c r="G38" s="52"/>
      <c r="H38" s="50">
        <f>'2026 Bean Description'!J26</f>
        <v>0</v>
      </c>
      <c r="I38" s="48">
        <f>'2026 Bean Description'!J27</f>
        <v>1</v>
      </c>
      <c r="J38" s="52"/>
      <c r="K38" s="56">
        <f>'2026 Bean Description'!J28</f>
        <v>1</v>
      </c>
      <c r="L38" s="48">
        <f>'2026 Bean Description'!J29</f>
        <v>0</v>
      </c>
      <c r="M38" s="52"/>
      <c r="N38" s="49">
        <f>'2026 Bean Description'!J35</f>
        <v>0</v>
      </c>
      <c r="O38" s="49">
        <f>'2026 Bean Description'!J36</f>
        <v>0</v>
      </c>
    </row>
    <row r="39">
      <c r="A39" s="44" t="s">
        <v>178</v>
      </c>
      <c r="B39" s="57">
        <f>'2026 Bean Description'!K22</f>
        <v>0</v>
      </c>
      <c r="C39" s="57">
        <f>'2026 Bean Description'!K23</f>
        <v>0</v>
      </c>
      <c r="D39" s="57"/>
      <c r="E39" s="57">
        <f>'2026 Bean Description'!K24</f>
        <v>0</v>
      </c>
      <c r="F39" s="58">
        <f>'2026 Bean Description'!K25</f>
        <v>0</v>
      </c>
      <c r="G39" s="57"/>
      <c r="H39" s="57">
        <f>'2026 Bean Description'!K26</f>
        <v>0</v>
      </c>
      <c r="I39" s="50">
        <f>'2026 Bean Description'!K27</f>
        <v>0</v>
      </c>
      <c r="J39" s="52"/>
      <c r="K39" s="55">
        <f>'2026 Bean Description'!K28</f>
        <v>0</v>
      </c>
      <c r="L39" s="56">
        <f>'2026 Bean Description'!K29</f>
        <v>0</v>
      </c>
      <c r="M39" s="52"/>
      <c r="N39" s="49">
        <f>'2026 Bean Description'!K35</f>
        <v>0</v>
      </c>
      <c r="O39" s="57">
        <f>'2026 Bean Description'!K36</f>
        <v>0</v>
      </c>
    </row>
    <row r="40">
      <c r="A40" s="44" t="s">
        <v>179</v>
      </c>
      <c r="B40" s="57">
        <f>'2026 Bean Description'!L22</f>
        <v>0</v>
      </c>
      <c r="C40" s="57">
        <f>'2026 Bean Description'!L23</f>
        <v>0</v>
      </c>
      <c r="D40" s="57"/>
      <c r="E40" s="57">
        <f>'2026 Bean Description'!L24</f>
        <v>0</v>
      </c>
      <c r="F40" s="58">
        <f>'2026 Bean Description'!L25</f>
        <v>0</v>
      </c>
      <c r="G40" s="57"/>
      <c r="H40" s="57">
        <f>'2026 Bean Description'!L26</f>
        <v>0</v>
      </c>
      <c r="I40" s="57">
        <f>'2026 Bean Description'!L27</f>
        <v>0</v>
      </c>
      <c r="J40" s="52"/>
      <c r="K40" s="55">
        <f>'2026 Bean Description'!L28</f>
        <v>0</v>
      </c>
      <c r="L40" s="55">
        <f>'2026 Bean Description'!L29</f>
        <v>0</v>
      </c>
      <c r="M40" s="52"/>
      <c r="N40" s="49">
        <f>'2026 Bean Description'!L35</f>
        <v>0</v>
      </c>
      <c r="O40" s="59">
        <f>'2026 Bean Description'!L36</f>
        <v>0</v>
      </c>
    </row>
    <row r="41">
      <c r="A41" s="44" t="s">
        <v>180</v>
      </c>
      <c r="B41" s="57">
        <f>'2026 Bean Description'!M22</f>
        <v>0</v>
      </c>
      <c r="C41" s="57">
        <f>'2026 Bean Description'!M23</f>
        <v>0</v>
      </c>
      <c r="D41" s="57"/>
      <c r="E41" s="57">
        <f>'2026 Bean Description'!M24</f>
        <v>0</v>
      </c>
      <c r="F41" s="58">
        <f>'2026 Bean Description'!M25</f>
        <v>0</v>
      </c>
      <c r="G41" s="57"/>
      <c r="H41" s="57">
        <f>'2026 Bean Description'!M26</f>
        <v>0</v>
      </c>
      <c r="I41" s="57">
        <f>'2026 Bean Description'!M27</f>
        <v>0</v>
      </c>
      <c r="J41" s="52"/>
      <c r="K41" s="55">
        <f>'2026 Bean Description'!M28</f>
        <v>0</v>
      </c>
      <c r="L41" s="55">
        <f>'2026 Bean Description'!M29</f>
        <v>0</v>
      </c>
      <c r="M41" s="52"/>
      <c r="N41" s="49">
        <f>'2026 Bean Description'!M35</f>
        <v>0</v>
      </c>
      <c r="O41" s="59">
        <f>'2026 Bean Description'!M36</f>
        <v>0</v>
      </c>
    </row>
    <row r="42">
      <c r="A42" s="44" t="s">
        <v>181</v>
      </c>
      <c r="B42" s="57">
        <f>'2026 Bean Description'!N22</f>
        <v>0</v>
      </c>
      <c r="C42" s="57">
        <f>'2026 Bean Description'!N23</f>
        <v>0</v>
      </c>
      <c r="D42" s="57"/>
      <c r="E42" s="57">
        <f>'2026 Bean Description'!N24</f>
        <v>0</v>
      </c>
      <c r="F42" s="58">
        <f>'2026 Bean Description'!N25</f>
        <v>0</v>
      </c>
      <c r="G42" s="57"/>
      <c r="H42" s="57">
        <f>'2026 Bean Description'!N26</f>
        <v>0</v>
      </c>
      <c r="I42" s="57">
        <f>'2026 Bean Description'!N27</f>
        <v>2</v>
      </c>
      <c r="J42" s="52"/>
      <c r="K42" s="55">
        <f>'2026 Bean Description'!N28</f>
        <v>0</v>
      </c>
      <c r="L42" s="55">
        <f>'2026 Bean Description'!N29</f>
        <v>1</v>
      </c>
      <c r="M42" s="52"/>
      <c r="N42" s="49">
        <f>'2026 Bean Description'!N35</f>
        <v>0</v>
      </c>
      <c r="O42" s="59">
        <f>'2026 Bean Description'!N36</f>
        <v>0</v>
      </c>
    </row>
    <row r="43">
      <c r="A43" s="44" t="s">
        <v>182</v>
      </c>
      <c r="B43" s="57">
        <f>'2026 Bean Description'!O22</f>
        <v>0</v>
      </c>
      <c r="C43" s="57">
        <f>'2026 Bean Description'!O23</f>
        <v>0</v>
      </c>
      <c r="D43" s="57"/>
      <c r="E43" s="57">
        <f>'2026 Bean Description'!O24</f>
        <v>0</v>
      </c>
      <c r="F43" s="58">
        <f>'2026 Bean Description'!O25</f>
        <v>0</v>
      </c>
      <c r="G43" s="57"/>
      <c r="H43" s="57">
        <f>'2026 Bean Description'!O26</f>
        <v>1</v>
      </c>
      <c r="I43" s="57">
        <f>'2026 Bean Description'!O27</f>
        <v>3</v>
      </c>
      <c r="J43" s="52"/>
      <c r="K43" s="55">
        <f>'2026 Bean Description'!O28</f>
        <v>1</v>
      </c>
      <c r="L43" s="55">
        <f>'2026 Bean Description'!O29</f>
        <v>1</v>
      </c>
      <c r="M43" s="52"/>
      <c r="N43" s="49">
        <f>'2026 Bean Description'!O35</f>
        <v>0</v>
      </c>
      <c r="O43" s="59">
        <f>'2026 Bean Description'!O36</f>
        <v>0</v>
      </c>
    </row>
    <row r="44">
      <c r="A44" s="60" t="s">
        <v>183</v>
      </c>
      <c r="B44" s="61">
        <f>'2026 Bean Description'!P22</f>
        <v>0</v>
      </c>
      <c r="C44" s="61">
        <f>'2026 Bean Description'!P23</f>
        <v>0</v>
      </c>
      <c r="D44" s="62"/>
      <c r="E44" s="61">
        <f>'2026 Bean Description'!P24</f>
        <v>0</v>
      </c>
      <c r="F44" s="61">
        <f>'2026 Bean Description'!P25</f>
        <v>0</v>
      </c>
      <c r="G44" s="62"/>
      <c r="H44" s="61">
        <f>'2026 Bean Description'!P26</f>
        <v>0</v>
      </c>
      <c r="I44" s="57">
        <f>'2026 Bean Description'!P27</f>
        <v>0</v>
      </c>
      <c r="J44" s="62"/>
      <c r="K44" s="55">
        <f>'2026 Bean Description'!P28</f>
        <v>0</v>
      </c>
      <c r="L44" s="55">
        <f>'2026 Bean Description'!P29</f>
        <v>0</v>
      </c>
      <c r="M44" s="62"/>
      <c r="N44" s="61">
        <f>'2026 Bean Description'!P35</f>
        <v>0</v>
      </c>
      <c r="O44" s="61">
        <f>'2026 Bean Description'!P36</f>
        <v>0</v>
      </c>
      <c r="P44" s="63"/>
      <c r="Q44" s="64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</row>
    <row r="45">
      <c r="A45" s="60" t="s">
        <v>184</v>
      </c>
      <c r="B45" s="61">
        <f>'2026 Bean Description'!Q22</f>
        <v>0</v>
      </c>
      <c r="C45" s="61">
        <f>'2026 Bean Description'!Q23</f>
        <v>0</v>
      </c>
      <c r="D45" s="62"/>
      <c r="E45" s="61">
        <f>'2026 Bean Description'!Q24</f>
        <v>0</v>
      </c>
      <c r="F45" s="61">
        <f>'2026 Bean Description'!Q25</f>
        <v>0</v>
      </c>
      <c r="G45" s="62"/>
      <c r="H45" s="61">
        <f>'2026 Bean Description'!Q26</f>
        <v>0</v>
      </c>
      <c r="I45" s="61">
        <f>'2026 Bean Description'!Q27</f>
        <v>0</v>
      </c>
      <c r="J45" s="62"/>
      <c r="K45" s="55">
        <f>'2026 Bean Description'!Q28</f>
        <v>0</v>
      </c>
      <c r="L45" s="55">
        <f>'2026 Bean Description'!Q29</f>
        <v>0</v>
      </c>
      <c r="M45" s="62"/>
      <c r="N45" s="61">
        <f>'2026 Bean Description'!Q35</f>
        <v>0</v>
      </c>
      <c r="O45" s="61">
        <f>'2026 Bean Description'!Q36</f>
        <v>0</v>
      </c>
      <c r="P45" s="63"/>
      <c r="Q45" s="64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</row>
    <row r="46">
      <c r="A46" s="60" t="s">
        <v>185</v>
      </c>
      <c r="B46" s="61">
        <f>'2026 Bean Description'!R22</f>
        <v>0</v>
      </c>
      <c r="C46" s="61">
        <f>'2026 Bean Description'!R23</f>
        <v>0</v>
      </c>
      <c r="D46" s="62"/>
      <c r="E46" s="61">
        <f>'2026 Bean Description'!R24</f>
        <v>0</v>
      </c>
      <c r="F46" s="61">
        <f>'2026 Bean Description'!R25</f>
        <v>0</v>
      </c>
      <c r="G46" s="62"/>
      <c r="H46" s="61">
        <f>'2026 Bean Description'!R26</f>
        <v>0</v>
      </c>
      <c r="I46" s="61">
        <f>'2026 Bean Description'!R27</f>
        <v>0</v>
      </c>
      <c r="J46" s="62"/>
      <c r="K46" s="55">
        <f>'2026 Bean Description'!R28</f>
        <v>0</v>
      </c>
      <c r="L46" s="55">
        <f>'2026 Bean Description'!R29</f>
        <v>0</v>
      </c>
      <c r="M46" s="62"/>
      <c r="N46" s="61">
        <f>'2026 Bean Description'!R35</f>
        <v>0</v>
      </c>
      <c r="O46" s="61">
        <f>'2026 Bean Description'!R36</f>
        <v>0</v>
      </c>
      <c r="P46" s="63"/>
      <c r="Q46" s="64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</row>
    <row r="47">
      <c r="G47" s="52"/>
      <c r="I47" s="52"/>
      <c r="J47" s="52"/>
      <c r="L47" s="52"/>
      <c r="M47" s="52"/>
      <c r="N47" s="52"/>
      <c r="O47" s="52"/>
    </row>
    <row r="48">
      <c r="A48" s="43"/>
      <c r="B48" s="47" t="s">
        <v>137</v>
      </c>
      <c r="C48" s="47" t="s">
        <v>139</v>
      </c>
      <c r="D48" s="47" t="s">
        <v>140</v>
      </c>
      <c r="E48" s="47" t="s">
        <v>141</v>
      </c>
      <c r="F48" s="47" t="s">
        <v>145</v>
      </c>
      <c r="G48" s="52"/>
      <c r="I48" s="52"/>
      <c r="J48" s="52"/>
      <c r="L48" s="52"/>
      <c r="M48" s="52"/>
      <c r="N48" s="52"/>
      <c r="O48" s="52"/>
    </row>
    <row r="49">
      <c r="A49" s="44" t="s">
        <v>174</v>
      </c>
      <c r="B49" s="43">
        <f>'2024 Bean Description'!G2</f>
        <v>0</v>
      </c>
      <c r="C49" s="43">
        <f>'2024 Bean Description'!G31</f>
        <v>0</v>
      </c>
      <c r="D49" s="43">
        <f>'2024 Bean Description'!G32</f>
        <v>0</v>
      </c>
      <c r="E49" s="43">
        <f>'2024 Bean Description'!G33</f>
        <v>0</v>
      </c>
      <c r="F49" s="48">
        <f>'2024 Bean Description'!G34</f>
        <v>0</v>
      </c>
      <c r="G49" s="52"/>
      <c r="I49" s="65" t="s">
        <v>209</v>
      </c>
      <c r="J49" s="65" t="s">
        <v>210</v>
      </c>
      <c r="L49" s="52"/>
      <c r="M49" s="52"/>
      <c r="N49" s="52"/>
      <c r="O49" s="52"/>
    </row>
    <row r="50">
      <c r="A50" s="44" t="s">
        <v>175</v>
      </c>
      <c r="B50" s="43">
        <f>'2024 Bean Description'!H30</f>
        <v>0</v>
      </c>
      <c r="C50" s="43">
        <f>'2024 Bean Description'!H31</f>
        <v>0</v>
      </c>
      <c r="D50" s="43">
        <f>'2024 Bean Description'!H32</f>
        <v>0</v>
      </c>
      <c r="E50" s="43">
        <f>'2024 Bean Description'!H33</f>
        <v>0</v>
      </c>
      <c r="F50" s="43">
        <f>'2024 Bean Description'!H34</f>
        <v>0</v>
      </c>
      <c r="G50" s="52"/>
      <c r="I50" s="62"/>
      <c r="J50" s="66" t="s">
        <v>211</v>
      </c>
    </row>
    <row r="51">
      <c r="A51" s="44" t="s">
        <v>176</v>
      </c>
      <c r="B51" s="43">
        <f>'2024 Bean Description'!I30</f>
        <v>0</v>
      </c>
      <c r="C51" s="43">
        <f>'2024 Bean Description'!I31</f>
        <v>0</v>
      </c>
      <c r="D51" s="43">
        <f>'2024 Bean Description'!I32</f>
        <v>0</v>
      </c>
      <c r="E51" s="43">
        <f>'2024 Bean Description'!I33</f>
        <v>0</v>
      </c>
      <c r="F51" s="48">
        <f>'2024 Bean Description'!I34</f>
        <v>0</v>
      </c>
    </row>
    <row r="52">
      <c r="A52" s="44" t="s">
        <v>177</v>
      </c>
      <c r="B52" s="49">
        <f>'2024 Bean Description'!J30</f>
        <v>0</v>
      </c>
      <c r="C52" s="49">
        <f>'2024 Bean Description'!J31</f>
        <v>0</v>
      </c>
      <c r="D52" s="49">
        <f>'2024 Bean Description'!J32</f>
        <v>0</v>
      </c>
      <c r="E52" s="49">
        <f>'2024 Bean Description'!J33</f>
        <v>0</v>
      </c>
      <c r="F52" s="49">
        <f>'2024 Bean Description'!J34</f>
        <v>0</v>
      </c>
    </row>
    <row r="53">
      <c r="A53" s="44" t="s">
        <v>178</v>
      </c>
      <c r="B53" s="49">
        <f>'2024 Bean Description'!K30</f>
        <v>0</v>
      </c>
      <c r="C53" s="49">
        <f>'2024 Bean Description'!K31</f>
        <v>0</v>
      </c>
      <c r="D53" s="49">
        <f>'2024 Bean Description'!K32</f>
        <v>0</v>
      </c>
      <c r="E53" s="49">
        <f>'2024 Bean Description'!K33</f>
        <v>0</v>
      </c>
      <c r="F53" s="49">
        <f>'2024 Bean Description'!K34</f>
        <v>0</v>
      </c>
    </row>
    <row r="54">
      <c r="A54" s="44" t="s">
        <v>179</v>
      </c>
      <c r="B54" s="49">
        <f>'2024 Bean Description'!L30</f>
        <v>0</v>
      </c>
      <c r="C54" s="49">
        <f>'2024 Bean Description'!L31</f>
        <v>0</v>
      </c>
      <c r="D54" s="49">
        <f>'2024 Bean Description'!L32</f>
        <v>0</v>
      </c>
      <c r="E54" s="49">
        <f>'2024 Bean Description'!L33</f>
        <v>0</v>
      </c>
      <c r="F54" s="49">
        <f>'2024 Bean Description'!L34</f>
        <v>0</v>
      </c>
    </row>
    <row r="55">
      <c r="A55" s="44" t="s">
        <v>180</v>
      </c>
      <c r="B55" s="49">
        <f>'2024 Bean Description'!M30</f>
        <v>0</v>
      </c>
      <c r="C55" s="49">
        <f>'2024 Bean Description'!M31</f>
        <v>0</v>
      </c>
      <c r="D55" s="49">
        <f>'2024 Bean Description'!M32</f>
        <v>0</v>
      </c>
      <c r="E55" s="49">
        <f>'2024 Bean Description'!M33</f>
        <v>0</v>
      </c>
      <c r="F55" s="49">
        <f>'2024 Bean Description'!M34</f>
        <v>0</v>
      </c>
    </row>
    <row r="56">
      <c r="A56" s="44" t="s">
        <v>181</v>
      </c>
      <c r="B56" s="49">
        <f>'2024 Bean Description'!N30</f>
        <v>0</v>
      </c>
      <c r="C56" s="49">
        <f>'2024 Bean Description'!N31</f>
        <v>0</v>
      </c>
      <c r="D56" s="49">
        <f>'2024 Bean Description'!N32</f>
        <v>0</v>
      </c>
      <c r="E56" s="49">
        <f>'2024 Bean Description'!N33</f>
        <v>0</v>
      </c>
      <c r="F56" s="49">
        <f>'2024 Bean Description'!N34</f>
        <v>0</v>
      </c>
    </row>
    <row r="57">
      <c r="A57" s="44" t="s">
        <v>182</v>
      </c>
      <c r="B57" s="49">
        <f>'2024 Bean Description'!O30</f>
        <v>0</v>
      </c>
      <c r="C57" s="49">
        <f>'2024 Bean Description'!O31</f>
        <v>0</v>
      </c>
      <c r="D57" s="49">
        <f>'2024 Bean Description'!O32</f>
        <v>0</v>
      </c>
      <c r="E57" s="49">
        <f>'2024 Bean Description'!O33</f>
        <v>0</v>
      </c>
      <c r="F57" s="49">
        <f>'2024 Bean Description'!O34</f>
        <v>0</v>
      </c>
    </row>
    <row r="58">
      <c r="A58" s="44" t="s">
        <v>183</v>
      </c>
      <c r="B58" s="49">
        <f>'2024 Bean Description'!P30</f>
        <v>0</v>
      </c>
      <c r="C58" s="49">
        <f>'2024 Bean Description'!P31</f>
        <v>0</v>
      </c>
      <c r="D58" s="49">
        <f>'2024 Bean Description'!P32</f>
        <v>0</v>
      </c>
      <c r="E58" s="49">
        <f>'2024 Bean Description'!P33</f>
        <v>0</v>
      </c>
      <c r="F58" s="49">
        <f>'2024 Bean Description'!P34</f>
        <v>0</v>
      </c>
    </row>
    <row r="59">
      <c r="A59" s="44" t="s">
        <v>184</v>
      </c>
      <c r="B59" s="49">
        <f>'2024 Bean Description'!Q30</f>
        <v>0</v>
      </c>
      <c r="C59" s="49">
        <f>'2024 Bean Description'!Q31</f>
        <v>0</v>
      </c>
      <c r="D59" s="49">
        <f>'2024 Bean Description'!Q32</f>
        <v>0</v>
      </c>
      <c r="E59" s="49">
        <f>'2024 Bean Description'!Q33</f>
        <v>0</v>
      </c>
      <c r="F59" s="49">
        <f>'2024 Bean Description'!Q34</f>
        <v>0</v>
      </c>
    </row>
    <row r="60">
      <c r="A60" s="44" t="s">
        <v>185</v>
      </c>
      <c r="B60" s="49">
        <f>'2024 Bean Description'!R2</f>
        <v>0</v>
      </c>
      <c r="C60" s="49">
        <f>'2024 Bean Description'!R31</f>
        <v>0</v>
      </c>
      <c r="D60" s="49">
        <f>'2024 Bean Description'!R32</f>
        <v>0</v>
      </c>
      <c r="E60" s="49">
        <f>'2024 Bean Description'!R33</f>
        <v>0</v>
      </c>
      <c r="F60" s="49">
        <f>'2024 Bean Description'!R34</f>
        <v>0</v>
      </c>
    </row>
    <row r="63">
      <c r="A63" s="67"/>
      <c r="B63" s="68" t="s">
        <v>16</v>
      </c>
      <c r="C63" s="68" t="s">
        <v>21</v>
      </c>
      <c r="D63" s="68" t="s">
        <v>27</v>
      </c>
      <c r="E63" s="69" t="s">
        <v>25</v>
      </c>
    </row>
    <row r="64">
      <c r="A64" s="68" t="s">
        <v>174</v>
      </c>
      <c r="B64" s="70">
        <f t="shared" ref="B64:C64" si="1">B5+E5+H5+K5+N5+B20+E20+H20+K20+N20+B35+E35+H35+K35+N35</f>
        <v>1</v>
      </c>
      <c r="C64" s="70">
        <f t="shared" si="1"/>
        <v>14</v>
      </c>
      <c r="D64" s="70">
        <f t="shared" ref="D64:D75" si="3">SUM(B49:F49)</f>
        <v>0</v>
      </c>
      <c r="E64" s="71">
        <f t="shared" ref="E64:E75" si="4">SUM(B64:D64)</f>
        <v>15</v>
      </c>
      <c r="F64" s="72">
        <f t="shared" ref="F64:F75" si="5">E64/((31/7)*5)</f>
        <v>0.6774193548</v>
      </c>
      <c r="G64" s="5" t="s">
        <v>213</v>
      </c>
      <c r="I64" s="15" t="str">
        <f t="shared" ref="I64:I76" si="6">CONCATENATE(A64, " BEANS ", "Good: ", B64, " Bad: ", C64, " Spicy: ", D64)</f>
        <v>January BEANS Good: 1 Bad: 14 Spicy: 0</v>
      </c>
    </row>
    <row r="65">
      <c r="A65" s="68" t="s">
        <v>175</v>
      </c>
      <c r="B65" s="70">
        <f t="shared" ref="B65:C65" si="2">B6+E6+H6+K6+N6+B21+E21+H21+K21+N21+B36+E36+H36+K36+N36</f>
        <v>4</v>
      </c>
      <c r="C65" s="70">
        <f t="shared" si="2"/>
        <v>6</v>
      </c>
      <c r="D65" s="70">
        <f t="shared" si="3"/>
        <v>0</v>
      </c>
      <c r="E65" s="71">
        <f t="shared" si="4"/>
        <v>10</v>
      </c>
      <c r="F65" s="72">
        <f t="shared" si="5"/>
        <v>0.4516129032</v>
      </c>
      <c r="G65" s="5" t="s">
        <v>213</v>
      </c>
      <c r="I65" s="15" t="str">
        <f t="shared" si="6"/>
        <v>February BEANS Good: 4 Bad: 6 Spicy: 0</v>
      </c>
    </row>
    <row r="66">
      <c r="A66" s="68" t="s">
        <v>176</v>
      </c>
      <c r="B66" s="70">
        <f t="shared" ref="B66:C66" si="7">B7+E7+H7+K7+N7+B22+E22+H22+K22+N22+B37+E37+H37+K37+N37</f>
        <v>1</v>
      </c>
      <c r="C66" s="70">
        <f t="shared" si="7"/>
        <v>1</v>
      </c>
      <c r="D66" s="70">
        <f t="shared" si="3"/>
        <v>0</v>
      </c>
      <c r="E66" s="71">
        <f t="shared" si="4"/>
        <v>2</v>
      </c>
      <c r="F66" s="72">
        <f t="shared" si="5"/>
        <v>0.09032258065</v>
      </c>
      <c r="G66" s="5" t="s">
        <v>213</v>
      </c>
      <c r="I66" s="15" t="str">
        <f t="shared" si="6"/>
        <v>March BEANS Good: 1 Bad: 1 Spicy: 0</v>
      </c>
    </row>
    <row r="67">
      <c r="A67" s="73" t="s">
        <v>177</v>
      </c>
      <c r="B67" s="70">
        <f t="shared" ref="B67:C67" si="8">B8+E8+H8+K8+N8+B23+E23+H23+K23+N23+B38+E38+H38+K38+N38</f>
        <v>3</v>
      </c>
      <c r="C67" s="70">
        <f t="shared" si="8"/>
        <v>3</v>
      </c>
      <c r="D67" s="70">
        <f t="shared" si="3"/>
        <v>0</v>
      </c>
      <c r="E67" s="71">
        <f t="shared" si="4"/>
        <v>6</v>
      </c>
      <c r="F67" s="72">
        <f t="shared" si="5"/>
        <v>0.2709677419</v>
      </c>
      <c r="G67" s="5" t="s">
        <v>213</v>
      </c>
      <c r="I67" s="15" t="str">
        <f t="shared" si="6"/>
        <v>April BEANS Good: 3 Bad: 3 Spicy: 0</v>
      </c>
    </row>
    <row r="68">
      <c r="A68" s="73" t="s">
        <v>178</v>
      </c>
      <c r="B68" s="70">
        <f t="shared" ref="B68:C68" si="9">B9+E9+H9+K9+N9+B24+E24+H24+K24+N24+B39+E39+H39+K39+N39</f>
        <v>3</v>
      </c>
      <c r="C68" s="70">
        <f t="shared" si="9"/>
        <v>6</v>
      </c>
      <c r="D68" s="70">
        <f t="shared" si="3"/>
        <v>0</v>
      </c>
      <c r="E68" s="71">
        <f t="shared" si="4"/>
        <v>9</v>
      </c>
      <c r="F68" s="72">
        <f t="shared" si="5"/>
        <v>0.4064516129</v>
      </c>
      <c r="G68" s="5" t="s">
        <v>213</v>
      </c>
      <c r="I68" s="15" t="str">
        <f t="shared" si="6"/>
        <v>May BEANS Good: 3 Bad: 6 Spicy: 0</v>
      </c>
    </row>
    <row r="69">
      <c r="A69" s="73" t="s">
        <v>179</v>
      </c>
      <c r="B69" s="70">
        <f t="shared" ref="B69:C69" si="10">B10+E10+H10+K10+N10+B25+E25+H25+K25+N25+B40+E40+H40+K40+N40</f>
        <v>1</v>
      </c>
      <c r="C69" s="70">
        <f t="shared" si="10"/>
        <v>1</v>
      </c>
      <c r="D69" s="70">
        <f t="shared" si="3"/>
        <v>0</v>
      </c>
      <c r="E69" s="71">
        <f t="shared" si="4"/>
        <v>2</v>
      </c>
      <c r="F69" s="72">
        <f t="shared" si="5"/>
        <v>0.09032258065</v>
      </c>
      <c r="G69" s="5" t="s">
        <v>213</v>
      </c>
      <c r="I69" s="15" t="str">
        <f t="shared" si="6"/>
        <v>June BEANS Good: 1 Bad: 1 Spicy: 0</v>
      </c>
    </row>
    <row r="70">
      <c r="A70" s="73" t="s">
        <v>180</v>
      </c>
      <c r="B70" s="70">
        <f t="shared" ref="B70:C70" si="11">B11+E11+H11+K11+N11+B26+E26+H26+K26+N26+B41+E41+H41+K41+N41</f>
        <v>0</v>
      </c>
      <c r="C70" s="70">
        <f t="shared" si="11"/>
        <v>1</v>
      </c>
      <c r="D70" s="70">
        <f t="shared" si="3"/>
        <v>0</v>
      </c>
      <c r="E70" s="71">
        <f t="shared" si="4"/>
        <v>1</v>
      </c>
      <c r="F70" s="72">
        <f t="shared" si="5"/>
        <v>0.04516129032</v>
      </c>
      <c r="G70" s="5" t="s">
        <v>213</v>
      </c>
      <c r="I70" s="15" t="str">
        <f t="shared" si="6"/>
        <v>July BEANS Good: 0 Bad: 1 Spicy: 0</v>
      </c>
    </row>
    <row r="71">
      <c r="A71" s="73" t="s">
        <v>181</v>
      </c>
      <c r="B71" s="70">
        <f t="shared" ref="B71:C71" si="12">B12+E12+H12+K12+N12+B27+E27+H27+K27+N27+B42+E42+H42+K42+N42</f>
        <v>4</v>
      </c>
      <c r="C71" s="70">
        <f t="shared" si="12"/>
        <v>7</v>
      </c>
      <c r="D71" s="70">
        <f t="shared" si="3"/>
        <v>0</v>
      </c>
      <c r="E71" s="71">
        <f t="shared" si="4"/>
        <v>11</v>
      </c>
      <c r="F71" s="72">
        <f t="shared" si="5"/>
        <v>0.4967741935</v>
      </c>
      <c r="G71" s="5" t="s">
        <v>213</v>
      </c>
      <c r="I71" s="15" t="str">
        <f t="shared" si="6"/>
        <v>August BEANS Good: 4 Bad: 7 Spicy: 0</v>
      </c>
    </row>
    <row r="72">
      <c r="A72" s="73" t="s">
        <v>182</v>
      </c>
      <c r="B72" s="70">
        <f t="shared" ref="B72:C72" si="13">B13+E13+H13+K13+N13+B28+E28+H28+K28+N28+B43+E43+H43+K43+N43</f>
        <v>8</v>
      </c>
      <c r="C72" s="70">
        <f t="shared" si="13"/>
        <v>20</v>
      </c>
      <c r="D72" s="70">
        <f t="shared" si="3"/>
        <v>0</v>
      </c>
      <c r="E72" s="71">
        <f t="shared" si="4"/>
        <v>28</v>
      </c>
      <c r="F72" s="72">
        <f t="shared" si="5"/>
        <v>1.264516129</v>
      </c>
      <c r="G72" s="5" t="s">
        <v>213</v>
      </c>
      <c r="I72" s="15" t="str">
        <f t="shared" si="6"/>
        <v>September BEANS Good: 8 Bad: 20 Spicy: 0</v>
      </c>
    </row>
    <row r="73">
      <c r="A73" s="73" t="s">
        <v>183</v>
      </c>
      <c r="B73" s="70">
        <f t="shared" ref="B73:C73" si="14">B14+E14+H14+K14+N14+B29+E29+H29+K29+N29+B44+E44+H44+K44+N44</f>
        <v>0</v>
      </c>
      <c r="C73" s="70">
        <f t="shared" si="14"/>
        <v>0</v>
      </c>
      <c r="D73" s="70">
        <f t="shared" si="3"/>
        <v>0</v>
      </c>
      <c r="E73" s="71">
        <f t="shared" si="4"/>
        <v>0</v>
      </c>
      <c r="F73" s="72">
        <f t="shared" si="5"/>
        <v>0</v>
      </c>
      <c r="G73" s="5" t="s">
        <v>213</v>
      </c>
      <c r="I73" s="15" t="str">
        <f t="shared" si="6"/>
        <v>October BEANS Good: 0 Bad: 0 Spicy: 0</v>
      </c>
    </row>
    <row r="74">
      <c r="A74" s="73" t="s">
        <v>184</v>
      </c>
      <c r="B74" s="70">
        <f t="shared" ref="B74:C74" si="15">B15+E15+H15+K15+N15+B30+E30+H30+K30+N30+B45+E45+H45+K45+N45</f>
        <v>0</v>
      </c>
      <c r="C74" s="70">
        <f t="shared" si="15"/>
        <v>0</v>
      </c>
      <c r="D74" s="70">
        <f t="shared" si="3"/>
        <v>0</v>
      </c>
      <c r="E74" s="71">
        <f t="shared" si="4"/>
        <v>0</v>
      </c>
      <c r="F74" s="72">
        <f t="shared" si="5"/>
        <v>0</v>
      </c>
      <c r="G74" s="5" t="s">
        <v>213</v>
      </c>
      <c r="I74" s="15" t="str">
        <f t="shared" si="6"/>
        <v>November BEANS Good: 0 Bad: 0 Spicy: 0</v>
      </c>
    </row>
    <row r="75">
      <c r="A75" s="73" t="s">
        <v>185</v>
      </c>
      <c r="B75" s="70">
        <f t="shared" ref="B75:C75" si="16">B16+E16+H16+K16+N16+B31+E31+H31+K31+N31+B46+E46+H46+K46+N46</f>
        <v>0</v>
      </c>
      <c r="C75" s="70">
        <f t="shared" si="16"/>
        <v>0</v>
      </c>
      <c r="D75" s="70">
        <f t="shared" si="3"/>
        <v>0</v>
      </c>
      <c r="E75" s="71">
        <f t="shared" si="4"/>
        <v>0</v>
      </c>
      <c r="F75" s="72">
        <f t="shared" si="5"/>
        <v>0</v>
      </c>
      <c r="G75" s="5" t="s">
        <v>213</v>
      </c>
      <c r="I75" s="15" t="str">
        <f t="shared" si="6"/>
        <v>December BEANS Good: 0 Bad: 0 Spicy: 0</v>
      </c>
    </row>
    <row r="76">
      <c r="A76" s="5" t="s">
        <v>25</v>
      </c>
      <c r="B76" s="74">
        <f t="shared" ref="B76:E76" si="17">SUM(B64:B75)</f>
        <v>25</v>
      </c>
      <c r="C76" s="74">
        <f t="shared" si="17"/>
        <v>59</v>
      </c>
      <c r="D76" s="74">
        <f t="shared" si="17"/>
        <v>0</v>
      </c>
      <c r="E76" s="74">
        <f t="shared" si="17"/>
        <v>84</v>
      </c>
      <c r="F76" s="75">
        <f>(E76 / (DATE(YEAR(TODAY()),MONTH(TODAY()),DAY(TODAY()))-DATE(YEAR(TODAY()),1,0)))</f>
        <v>0.3146067416</v>
      </c>
      <c r="G76" s="5" t="s">
        <v>221</v>
      </c>
      <c r="I76" s="15" t="str">
        <f t="shared" si="6"/>
        <v>Total BEANS Good: 25 Bad: 59 Spicy: 0</v>
      </c>
      <c r="L76" s="5" t="s">
        <v>222</v>
      </c>
    </row>
    <row r="77">
      <c r="B77" s="25">
        <f>if(E76-D76 = 0, 'Overall Bean Summary'!J7, B76/(E76-D76))</f>
        <v>0.2976190476</v>
      </c>
      <c r="C77" s="25">
        <f>if(E76-D76 = 0, 'Overall Bean Summary'!L7, C76/(E76-D76))</f>
        <v>0.7023809524</v>
      </c>
      <c r="D77" s="25"/>
      <c r="E77" s="72"/>
      <c r="F77" s="72">
        <f>E76 / (((DATE(YEAR(TODAY()),MONTH(TODAY()),DAY(TODAY()))-DATE(YEAR(TODAY()),1,0))/7)*5)</f>
        <v>0.4404494382</v>
      </c>
      <c r="G77" s="5" t="s">
        <v>213</v>
      </c>
    </row>
    <row r="78">
      <c r="A78" s="7"/>
      <c r="B78" s="6"/>
      <c r="C78" s="6"/>
      <c r="D78" s="6"/>
      <c r="E78" s="5"/>
    </row>
    <row r="79">
      <c r="A79" s="76" t="s">
        <v>223</v>
      </c>
      <c r="B79" s="77">
        <f>ROUNDDOWN((B76/E76)*E79,0)</f>
        <v>33</v>
      </c>
      <c r="C79" s="77">
        <f>ROUNDDOWN((C76/E76)*E79,0)</f>
        <v>80</v>
      </c>
      <c r="D79" s="77">
        <f>ROUNDDOWN((D76/E76)*E79,0)</f>
        <v>0</v>
      </c>
      <c r="E79" s="78">
        <f>ROUNDDOWN((E76 / (DATE(YEAR(TODAY()),MONTH(TODAY()),DAY(TODAY()))-DATE(YEAR(TODAY()),1,0))) * 365,0)</f>
        <v>114</v>
      </c>
      <c r="G79" s="15" t="str">
        <f>CONCATENATE(A79, " BEANS ", "Good: ", B79, " Bad: ", C79, " Spicy: ", D79)</f>
        <v>Estimated 2025 BEANS Good: 33 Bad: 80 Spicy: 0</v>
      </c>
    </row>
    <row r="80">
      <c r="A80" s="7"/>
      <c r="B80" s="6"/>
      <c r="C80" s="6"/>
      <c r="D80" s="6"/>
    </row>
    <row r="81">
      <c r="A81" s="7"/>
      <c r="B81" s="6"/>
      <c r="C81" s="6"/>
      <c r="D81" s="6"/>
    </row>
    <row r="82">
      <c r="A82" s="7"/>
      <c r="B82" s="6"/>
      <c r="C82" s="6"/>
      <c r="D82" s="6"/>
    </row>
    <row r="83">
      <c r="A83" s="6"/>
      <c r="B83" s="6"/>
      <c r="C83" s="6"/>
      <c r="D83" s="10"/>
    </row>
    <row r="84">
      <c r="A84" s="6"/>
      <c r="B84" s="6"/>
      <c r="C84" s="7"/>
      <c r="D84" s="79"/>
    </row>
    <row r="85">
      <c r="A85" s="6"/>
      <c r="B85" s="6"/>
      <c r="C85" s="7"/>
      <c r="D85" s="10"/>
    </row>
    <row r="86">
      <c r="A86" s="6"/>
      <c r="B86" s="6"/>
      <c r="C86" s="7"/>
      <c r="D86" s="10"/>
    </row>
    <row r="87">
      <c r="A87" s="6"/>
      <c r="B87" s="6"/>
      <c r="C87" s="7"/>
      <c r="D87" s="10"/>
    </row>
    <row r="88">
      <c r="A88" s="6"/>
      <c r="B88" s="6"/>
      <c r="C88" s="7"/>
      <c r="D88" s="10"/>
    </row>
    <row r="89">
      <c r="A89" s="6"/>
      <c r="B89" s="6"/>
      <c r="C89" s="7"/>
      <c r="D89" s="10"/>
    </row>
    <row r="90">
      <c r="A90" s="6"/>
      <c r="B90" s="6"/>
      <c r="C90" s="7"/>
      <c r="D90" s="10"/>
    </row>
    <row r="91">
      <c r="A91" s="6"/>
      <c r="B91" s="6"/>
      <c r="C91" s="7"/>
      <c r="D91" s="10"/>
    </row>
    <row r="92">
      <c r="A92" s="6"/>
      <c r="B92" s="6"/>
      <c r="C92" s="7"/>
      <c r="D92" s="10"/>
    </row>
    <row r="93">
      <c r="A93" s="6"/>
      <c r="B93" s="6"/>
      <c r="C93" s="7"/>
      <c r="D93" s="10"/>
    </row>
    <row r="94">
      <c r="A94" s="6"/>
      <c r="B94" s="6"/>
      <c r="C94" s="7"/>
      <c r="D94" s="10"/>
    </row>
    <row r="95">
      <c r="A95" s="6"/>
      <c r="B95" s="6"/>
      <c r="C95" s="7"/>
      <c r="D95" s="10"/>
    </row>
    <row r="96">
      <c r="A96" s="6"/>
      <c r="B96" s="6"/>
      <c r="C96" s="7"/>
      <c r="D96" s="10"/>
    </row>
    <row r="97">
      <c r="A97" s="6"/>
      <c r="B97" s="6"/>
      <c r="C97" s="7"/>
      <c r="D97" s="10"/>
    </row>
    <row r="98">
      <c r="A98" s="6"/>
      <c r="B98" s="6"/>
      <c r="C98" s="7"/>
      <c r="D98" s="10"/>
    </row>
    <row r="99">
      <c r="A99" s="6"/>
      <c r="B99" s="6"/>
      <c r="C99" s="7"/>
      <c r="D99" s="79"/>
    </row>
    <row r="100">
      <c r="A100" s="6"/>
      <c r="B100" s="6"/>
      <c r="C100" s="7"/>
      <c r="D100" s="79"/>
    </row>
    <row r="101">
      <c r="A101" s="6"/>
      <c r="B101" s="6"/>
      <c r="C101" s="7"/>
      <c r="D101" s="10"/>
    </row>
    <row r="102">
      <c r="A102" s="6"/>
      <c r="B102" s="6"/>
      <c r="C102" s="7"/>
      <c r="D102" s="10"/>
    </row>
    <row r="103">
      <c r="A103" s="6"/>
      <c r="B103" s="6"/>
      <c r="C103" s="7"/>
      <c r="D103" s="10"/>
    </row>
    <row r="104">
      <c r="A104" s="6"/>
      <c r="B104" s="6"/>
      <c r="C104" s="7"/>
      <c r="D104" s="79"/>
    </row>
    <row r="105">
      <c r="A105" s="6"/>
      <c r="B105" s="6"/>
      <c r="C105" s="7"/>
      <c r="D105" s="10"/>
    </row>
    <row r="106">
      <c r="A106" s="6"/>
      <c r="B106" s="6"/>
      <c r="C106" s="7"/>
      <c r="D106" s="10"/>
    </row>
    <row r="107">
      <c r="A107" s="6"/>
      <c r="B107" s="6"/>
      <c r="C107" s="7"/>
      <c r="D107" s="10"/>
    </row>
    <row r="108">
      <c r="A108" s="6"/>
      <c r="B108" s="6"/>
      <c r="C108" s="7"/>
      <c r="D108" s="10"/>
    </row>
    <row r="109">
      <c r="A109" s="6"/>
      <c r="B109" s="6"/>
      <c r="C109" s="7"/>
      <c r="D109" s="10"/>
    </row>
    <row r="110">
      <c r="A110" s="6"/>
      <c r="B110" s="6"/>
      <c r="C110" s="7"/>
      <c r="D110" s="10"/>
    </row>
    <row r="111">
      <c r="A111" s="6"/>
      <c r="B111" s="6"/>
      <c r="C111" s="7"/>
      <c r="D111" s="79"/>
    </row>
    <row r="112">
      <c r="A112" s="6"/>
      <c r="B112" s="6"/>
      <c r="C112" s="7"/>
      <c r="D112" s="10"/>
    </row>
    <row r="113">
      <c r="A113" s="6"/>
      <c r="B113" s="6"/>
      <c r="C113" s="7"/>
      <c r="D113" s="10"/>
    </row>
    <row r="114">
      <c r="A114" s="6"/>
      <c r="B114" s="6"/>
      <c r="C114" s="7"/>
      <c r="D114" s="10"/>
    </row>
    <row r="115">
      <c r="A115" s="6"/>
      <c r="B115" s="6"/>
      <c r="C115" s="7"/>
      <c r="D115" s="10"/>
    </row>
    <row r="116">
      <c r="A116" s="6"/>
      <c r="B116" s="6"/>
      <c r="C116" s="7"/>
      <c r="D116" s="10"/>
    </row>
    <row r="117">
      <c r="A117" s="6"/>
      <c r="B117" s="6"/>
      <c r="C117" s="7"/>
      <c r="D117" s="10"/>
    </row>
    <row r="118">
      <c r="A118" s="6"/>
      <c r="B118" s="6"/>
      <c r="C118" s="7"/>
      <c r="D118" s="10"/>
    </row>
    <row r="119">
      <c r="A119" s="6"/>
      <c r="B119" s="6"/>
      <c r="C119" s="7"/>
      <c r="D119" s="10"/>
    </row>
    <row r="120">
      <c r="A120" s="6"/>
      <c r="B120" s="6"/>
      <c r="C120" s="7"/>
      <c r="D120" s="10"/>
    </row>
    <row r="121">
      <c r="A121" s="6"/>
      <c r="B121" s="6"/>
      <c r="C121" s="7"/>
      <c r="D121" s="10"/>
    </row>
    <row r="122">
      <c r="A122" s="6"/>
      <c r="B122" s="6"/>
      <c r="C122" s="7"/>
      <c r="D122" s="10"/>
    </row>
    <row r="123">
      <c r="A123" s="6"/>
      <c r="B123" s="6"/>
      <c r="C123" s="7"/>
      <c r="D123" s="10"/>
    </row>
    <row r="124">
      <c r="A124" s="6"/>
      <c r="B124" s="6"/>
      <c r="C124" s="7"/>
      <c r="D124" s="10"/>
    </row>
    <row r="125">
      <c r="A125" s="6"/>
      <c r="B125" s="6"/>
      <c r="C125" s="7"/>
      <c r="D125" s="10"/>
    </row>
    <row r="126">
      <c r="A126" s="6"/>
      <c r="B126" s="6"/>
      <c r="C126" s="7"/>
      <c r="D126" s="10"/>
    </row>
    <row r="127">
      <c r="A127" s="6"/>
      <c r="B127" s="7"/>
      <c r="C127" s="7"/>
      <c r="D127" s="10"/>
    </row>
    <row r="128">
      <c r="A128" s="6"/>
      <c r="B128" s="7"/>
      <c r="C128" s="7"/>
      <c r="D128" s="10"/>
    </row>
    <row r="129">
      <c r="A129" s="6"/>
      <c r="B129" s="7"/>
      <c r="C129" s="7"/>
      <c r="D129" s="10"/>
    </row>
    <row r="130">
      <c r="A130" s="6"/>
      <c r="B130" s="7"/>
      <c r="C130" s="7"/>
      <c r="D130" s="10"/>
    </row>
    <row r="131">
      <c r="A131" s="6"/>
      <c r="B131" s="7"/>
      <c r="C131" s="7"/>
      <c r="D131" s="10"/>
    </row>
    <row r="132">
      <c r="A132" s="6"/>
      <c r="B132" s="7"/>
      <c r="C132" s="7"/>
      <c r="D132" s="10"/>
    </row>
    <row r="133">
      <c r="A133" s="6"/>
      <c r="B133" s="7"/>
      <c r="C133" s="7"/>
      <c r="D133" s="10"/>
    </row>
    <row r="134">
      <c r="A134" s="6"/>
      <c r="B134" s="7"/>
      <c r="C134" s="7"/>
      <c r="D134" s="10"/>
    </row>
    <row r="135">
      <c r="A135" s="6"/>
      <c r="B135" s="7"/>
      <c r="C135" s="7"/>
      <c r="D135" s="10"/>
    </row>
    <row r="136">
      <c r="A136" s="6"/>
      <c r="B136" s="7"/>
      <c r="C136" s="7"/>
      <c r="D136" s="10"/>
    </row>
    <row r="137">
      <c r="A137" s="6"/>
      <c r="B137" s="7"/>
      <c r="C137" s="7"/>
      <c r="D137" s="10"/>
    </row>
    <row r="138">
      <c r="A138" s="6"/>
      <c r="B138" s="7"/>
      <c r="C138" s="7"/>
      <c r="D138" s="6"/>
    </row>
    <row r="139">
      <c r="A139" s="6"/>
      <c r="B139" s="7"/>
      <c r="C139" s="7"/>
      <c r="D139" s="6"/>
    </row>
  </sheetData>
  <mergeCells count="1">
    <mergeCell ref="B1:C1"/>
  </mergeCell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9.25"/>
    <col customWidth="1" min="5" max="5" width="7.38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 t="shared" ref="E2:E36" si="1">SUM(G2:R2)</f>
        <v>4</v>
      </c>
      <c r="F2" s="12">
        <f>IF(E2+E3 = 0, "n/a", E2/(E2+E3))</f>
        <v>0.3333333333</v>
      </c>
      <c r="G2" s="11">
        <f>COUNTIFS(Beans!B:B, A2, Beans!A:A, "&gt;=2025-1-1", Beans!A:A,"&lt;2025-2-1" )</f>
        <v>0</v>
      </c>
      <c r="H2" s="7">
        <f>COUNTIFS(Beans!B:B, A2, Beans!A:A, "&gt;=2025-2-1", Beans!A:A,"&lt;2025-3-1" )</f>
        <v>2</v>
      </c>
      <c r="I2" s="11">
        <f>COUNTIFS(Beans!B:B, A2, Beans!A:A, "&gt;=2025-3-1", Beans!A:A,"&lt;2025-4-1" )</f>
        <v>0</v>
      </c>
      <c r="J2" s="11">
        <f>COUNTIFS(Beans!B:B, A2, Beans!A:A, "&gt;=2025-4-1", Beans!A:A,"&lt;2025-5-1" )</f>
        <v>1</v>
      </c>
      <c r="K2" s="7">
        <f>COUNTIFS(Beans!B:B, A2, Beans!A:A, "&gt;=2025-5-1", Beans!A:A,"&lt;2025-6-1" )</f>
        <v>1</v>
      </c>
      <c r="L2" s="11">
        <f>COUNTIFS(Beans!B:B, A2, Beans!A:A, "&gt;=2025-6-1", Beans!A:A,"&lt;2025-7-1" )</f>
        <v>0</v>
      </c>
      <c r="M2" s="11">
        <f>COUNTIFS(Beans!B:B, A2, Beans!A:A, "&gt;=2025-7-1", Beans!A:A,"&lt;2025-8-1" )</f>
        <v>0</v>
      </c>
      <c r="N2" s="7">
        <f>COUNTIFS(Beans!B:B, A2, Beans!A:A, "&gt;=2025-8-1", Beans!A:A,"&lt;2025-9-1" )</f>
        <v>0</v>
      </c>
      <c r="O2" s="11">
        <f>COUNTIFS(Beans!B:B, A2, Beans!A:A, "&gt;=2025-9-1", Beans!A:A,"&lt;2025-10-1" )</f>
        <v>0</v>
      </c>
      <c r="P2" s="11">
        <f>COUNTIFS(Beans!B:B, A2, Beans!A:A, "&gt;=2025-10-1", Beans!A:A,"&lt;2025-11-1" )</f>
        <v>0</v>
      </c>
      <c r="Q2" s="7">
        <f>COUNTIFS(Beans!B:B, A2, Beans!A:A, "&gt;=2025-11-1", Beans!A:A,"&lt;2025-12-1" )</f>
        <v>0</v>
      </c>
      <c r="R2" s="15">
        <f>COUNTIFS(Beans!B:B, A2, Beans!A:A, "&gt;=2025-12-1", Beans!A:A,"&lt;2026-1-1" )</f>
        <v>0</v>
      </c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 t="shared" si="1"/>
        <v>8</v>
      </c>
      <c r="F3" s="12">
        <f>IF(E2+E3 = 0, "n/a", E3/(E2+E3))</f>
        <v>0.6666666667</v>
      </c>
      <c r="G3" s="11">
        <f>COUNTIFS(Beans!B:B, A3, Beans!A:A, "&gt;=2025-1-1", Beans!A:A,"&lt;2025-2-1" )</f>
        <v>0</v>
      </c>
      <c r="H3" s="7">
        <f>COUNTIFS(Beans!B:B, A3, Beans!A:A, "&gt;=2025-2-1", Beans!A:A,"&lt;2025-3-1" )</f>
        <v>0</v>
      </c>
      <c r="I3" s="11">
        <f>COUNTIFS(Beans!B:B, A3, Beans!A:A, "&gt;=2025-3-1", Beans!A:A,"&lt;2025-4-1" )</f>
        <v>1</v>
      </c>
      <c r="J3" s="11">
        <f>COUNTIFS(Beans!B:B, A3, Beans!A:A, "&gt;=2025-4-1", Beans!A:A,"&lt;2025-5-1" )</f>
        <v>1</v>
      </c>
      <c r="K3" s="7">
        <f>COUNTIFS(Beans!B:B, A3, Beans!A:A, "&gt;=2025-5-1", Beans!A:A,"&lt;2025-6-1" )</f>
        <v>2</v>
      </c>
      <c r="L3" s="11">
        <f>COUNTIFS(Beans!B:B, A3, Beans!A:A, "&gt;=2025-6-1", Beans!A:A,"&lt;2025-7-1" )</f>
        <v>0</v>
      </c>
      <c r="M3" s="11">
        <f>COUNTIFS(Beans!B:B, A3, Beans!A:A, "&gt;=2025-7-1", Beans!A:A,"&lt;2025-8-1" )</f>
        <v>2</v>
      </c>
      <c r="N3" s="7">
        <f>COUNTIFS(Beans!B:B, A3, Beans!A:A, "&gt;=2025-8-1", Beans!A:A,"&lt;2025-9-1" )</f>
        <v>0</v>
      </c>
      <c r="O3" s="11">
        <f>COUNTIFS(Beans!B:B, A3, Beans!A:A, "&gt;=2025-9-1", Beans!A:A,"&lt;2025-10-1" )</f>
        <v>0</v>
      </c>
      <c r="P3" s="11">
        <f>COUNTIFS(Beans!B:B, A3, Beans!A:A, "&gt;=2025-10-1", Beans!A:A,"&lt;2025-11-1" )</f>
        <v>0</v>
      </c>
      <c r="Q3" s="7">
        <f>COUNTIFS(Beans!B:B, A3, Beans!A:A, "&gt;=2025-11-1", Beans!A:A,"&lt;2025-12-1" )</f>
        <v>0</v>
      </c>
      <c r="R3" s="15">
        <f>COUNTIFS(Beans!B:B, A3, Beans!A:A, "&gt;=2025-12-1", Beans!A:A,"&lt;2026-1-1" )</f>
        <v>2</v>
      </c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 t="shared" si="1"/>
        <v>3</v>
      </c>
      <c r="F4" s="12">
        <f>IF(E4+E5 = 0, "n/a", E4/(E4+E5))</f>
        <v>0.3</v>
      </c>
      <c r="G4" s="11">
        <f>COUNTIFS(Beans!B:B, A4, Beans!A:A, "&gt;=2025-1-1", Beans!A:A,"&lt;2025-2-1" )</f>
        <v>0</v>
      </c>
      <c r="H4" s="7">
        <f>COUNTIFS(Beans!B:B, A4, Beans!A:A, "&gt;=2025-2-1", Beans!A:A,"&lt;2025-3-1" )</f>
        <v>1</v>
      </c>
      <c r="I4" s="11">
        <f>COUNTIFS(Beans!B:B, A4, Beans!A:A, "&gt;=2025-3-1", Beans!A:A,"&lt;2025-4-1" )</f>
        <v>0</v>
      </c>
      <c r="J4" s="11">
        <f>COUNTIFS(Beans!B:B, A4, Beans!A:A, "&gt;=2025-4-1", Beans!A:A,"&lt;2025-5-1" )</f>
        <v>0</v>
      </c>
      <c r="K4" s="7">
        <f>COUNTIFS(Beans!B:B, A4, Beans!A:A, "&gt;=2025-5-1", Beans!A:A,"&lt;2025-6-1" )</f>
        <v>0</v>
      </c>
      <c r="L4" s="11">
        <f>COUNTIFS(Beans!B:B, A4, Beans!A:A, "&gt;=2025-6-1", Beans!A:A,"&lt;2025-7-1" )</f>
        <v>0</v>
      </c>
      <c r="M4" s="11">
        <f>COUNTIFS(Beans!B:B, A4, Beans!A:A, "&gt;=2025-7-1", Beans!A:A,"&lt;2025-8-1" )</f>
        <v>0</v>
      </c>
      <c r="N4" s="7">
        <f>COUNTIFS(Beans!B:B, A4, Beans!A:A, "&gt;=2025-8-1", Beans!A:A,"&lt;2025-9-1" )</f>
        <v>0</v>
      </c>
      <c r="O4" s="11">
        <f>COUNTIFS(Beans!B:B, A4, Beans!A:A, "&gt;=2025-9-1", Beans!A:A,"&lt;2025-10-1" )</f>
        <v>1</v>
      </c>
      <c r="P4" s="11">
        <f>COUNTIFS(Beans!B:B, A4, Beans!A:A, "&gt;=2025-10-1", Beans!A:A,"&lt;2025-11-1" )</f>
        <v>0</v>
      </c>
      <c r="Q4" s="7">
        <f>COUNTIFS(Beans!B:B, A4, Beans!A:A, "&gt;=2025-11-1", Beans!A:A,"&lt;2025-12-1" )</f>
        <v>0</v>
      </c>
      <c r="R4" s="15">
        <f>COUNTIFS(Beans!B:B, A4, Beans!A:A, "&gt;=2025-12-1", Beans!A:A,"&lt;2026-1-1" )</f>
        <v>1</v>
      </c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 t="shared" si="1"/>
        <v>7</v>
      </c>
      <c r="F5" s="12">
        <f>IF(E4+E5 = 0, "n/a", E5/(E4+E5))</f>
        <v>0.7</v>
      </c>
      <c r="G5" s="11">
        <f>COUNTIFS(Beans!B:B, A5, Beans!A:A, "&gt;=2025-1-1", Beans!A:A,"&lt;2025-2-1" )</f>
        <v>0</v>
      </c>
      <c r="H5" s="7">
        <f>COUNTIFS(Beans!B:B, A5, Beans!A:A, "&gt;=2025-2-1", Beans!A:A,"&lt;2025-3-1" )</f>
        <v>1</v>
      </c>
      <c r="I5" s="11">
        <f>COUNTIFS(Beans!B:B, A5, Beans!A:A, "&gt;=2025-3-1", Beans!A:A,"&lt;2025-4-1" )</f>
        <v>0</v>
      </c>
      <c r="J5" s="11">
        <f>COUNTIFS(Beans!B:B, A5, Beans!A:A, "&gt;=2025-4-1", Beans!A:A,"&lt;2025-5-1" )</f>
        <v>1</v>
      </c>
      <c r="K5" s="7">
        <f>COUNTIFS(Beans!B:B, A5, Beans!A:A, "&gt;=2025-5-1", Beans!A:A,"&lt;2025-6-1" )</f>
        <v>1</v>
      </c>
      <c r="L5" s="11">
        <f>COUNTIFS(Beans!B:B, A5, Beans!A:A, "&gt;=2025-6-1", Beans!A:A,"&lt;2025-7-1" )</f>
        <v>0</v>
      </c>
      <c r="M5" s="11">
        <f>COUNTIFS(Beans!B:B, A5, Beans!A:A, "&gt;=2025-7-1", Beans!A:A,"&lt;2025-8-1" )</f>
        <v>1</v>
      </c>
      <c r="N5" s="7">
        <f>COUNTIFS(Beans!B:B, A5, Beans!A:A, "&gt;=2025-8-1", Beans!A:A,"&lt;2025-9-1" )</f>
        <v>0</v>
      </c>
      <c r="O5" s="11">
        <f>COUNTIFS(Beans!B:B, A5, Beans!A:A, "&gt;=2025-9-1", Beans!A:A,"&lt;2025-10-1" )</f>
        <v>1</v>
      </c>
      <c r="P5" s="11">
        <f>COUNTIFS(Beans!B:B, A5, Beans!A:A, "&gt;=2025-10-1", Beans!A:A,"&lt;2025-11-1" )</f>
        <v>1</v>
      </c>
      <c r="Q5" s="7">
        <f>COUNTIFS(Beans!B:B, A5, Beans!A:A, "&gt;=2025-11-1", Beans!A:A,"&lt;2025-12-1" )</f>
        <v>0</v>
      </c>
      <c r="R5" s="15">
        <f>COUNTIFS(Beans!B:B, A5, Beans!A:A, "&gt;=2025-12-1", Beans!A:A,"&lt;2026-1-1" )</f>
        <v>1</v>
      </c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 t="shared" si="1"/>
        <v>1</v>
      </c>
      <c r="F6" s="12">
        <f>IF(E6+E7 = 0, "n/a", E6/(E6+E7))</f>
        <v>1</v>
      </c>
      <c r="G6" s="11">
        <f>COUNTIFS(Beans!B:B, A6, Beans!A:A, "&gt;=2025-1-1", Beans!A:A,"&lt;2025-2-1" )</f>
        <v>0</v>
      </c>
      <c r="H6" s="7">
        <f>COUNTIFS(Beans!B:B, A6, Beans!A:A, "&gt;=2025-2-1", Beans!A:A,"&lt;2025-3-1" )</f>
        <v>0</v>
      </c>
      <c r="I6" s="11">
        <f>COUNTIFS(Beans!B:B, A6, Beans!A:A, "&gt;=2025-3-1", Beans!A:A,"&lt;2025-4-1" )</f>
        <v>0</v>
      </c>
      <c r="J6" s="11">
        <f>COUNTIFS(Beans!B:B, A6, Beans!A:A, "&gt;=2025-4-1", Beans!A:A,"&lt;2025-5-1" )</f>
        <v>0</v>
      </c>
      <c r="K6" s="7">
        <f>COUNTIFS(Beans!B:B, A6, Beans!A:A, "&gt;=2025-5-1", Beans!A:A,"&lt;2025-6-1" )</f>
        <v>0</v>
      </c>
      <c r="L6" s="11">
        <f>COUNTIFS(Beans!B:B, A6, Beans!A:A, "&gt;=2025-6-1", Beans!A:A,"&lt;2025-7-1" )</f>
        <v>0</v>
      </c>
      <c r="M6" s="11">
        <f>COUNTIFS(Beans!B:B, A6, Beans!A:A, "&gt;=2025-7-1", Beans!A:A,"&lt;2025-8-1" )</f>
        <v>1</v>
      </c>
      <c r="N6" s="7">
        <f>COUNTIFS(Beans!B:B, A6, Beans!A:A, "&gt;=2025-8-1", Beans!A:A,"&lt;2025-9-1" )</f>
        <v>0</v>
      </c>
      <c r="O6" s="11">
        <f>COUNTIFS(Beans!B:B, A6, Beans!A:A, "&gt;=2025-9-1", Beans!A:A,"&lt;2025-10-1" )</f>
        <v>0</v>
      </c>
      <c r="P6" s="11">
        <f>COUNTIFS(Beans!B:B, A6, Beans!A:A, "&gt;=2025-10-1", Beans!A:A,"&lt;2025-11-1" )</f>
        <v>0</v>
      </c>
      <c r="Q6" s="7">
        <f>COUNTIFS(Beans!B:B, A6, Beans!A:A, "&gt;=2025-11-1", Beans!A:A,"&lt;2025-12-1" )</f>
        <v>0</v>
      </c>
      <c r="R6" s="15">
        <f>COUNTIFS(Beans!B:B, A6, Beans!A:A, "&gt;=2025-12-1", Beans!A:A,"&lt;2026-1-1" )</f>
        <v>0</v>
      </c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 t="shared" si="1"/>
        <v>0</v>
      </c>
      <c r="F7" s="12">
        <f>IF(E6+E7 = 0, "n/a", E7/(E6+E7))</f>
        <v>0</v>
      </c>
      <c r="G7" s="11">
        <f>COUNTIFS(Beans!B:B, A7, Beans!A:A, "&gt;=2025-1-1", Beans!A:A,"&lt;2025-2-1" )</f>
        <v>0</v>
      </c>
      <c r="H7" s="7">
        <f>COUNTIFS(Beans!B:B, A7, Beans!A:A, "&gt;=2025-2-1", Beans!A:A,"&lt;2025-3-1" )</f>
        <v>0</v>
      </c>
      <c r="I7" s="11">
        <f>COUNTIFS(Beans!B:B, A7, Beans!A:A, "&gt;=2025-3-1", Beans!A:A,"&lt;2025-4-1" )</f>
        <v>0</v>
      </c>
      <c r="J7" s="11">
        <f>COUNTIFS(Beans!B:B, A7, Beans!A:A, "&gt;=2025-4-1", Beans!A:A,"&lt;2025-5-1" )</f>
        <v>0</v>
      </c>
      <c r="K7" s="7">
        <f>COUNTIFS(Beans!B:B, A7, Beans!A:A, "&gt;=2025-5-1", Beans!A:A,"&lt;2025-6-1" )</f>
        <v>0</v>
      </c>
      <c r="L7" s="11">
        <f>COUNTIFS(Beans!B:B, A7, Beans!A:A, "&gt;=2025-6-1", Beans!A:A,"&lt;2025-7-1" )</f>
        <v>0</v>
      </c>
      <c r="M7" s="11">
        <f>COUNTIFS(Beans!B:B, A7, Beans!A:A, "&gt;=2025-7-1", Beans!A:A,"&lt;2025-8-1" )</f>
        <v>0</v>
      </c>
      <c r="N7" s="7">
        <f>COUNTIFS(Beans!B:B, A7, Beans!A:A, "&gt;=2025-8-1", Beans!A:A,"&lt;2025-9-1" )</f>
        <v>0</v>
      </c>
      <c r="O7" s="11">
        <f>COUNTIFS(Beans!B:B, A7, Beans!A:A, "&gt;=2025-9-1", Beans!A:A,"&lt;2025-10-1" )</f>
        <v>0</v>
      </c>
      <c r="P7" s="11">
        <f>COUNTIFS(Beans!B:B, A7, Beans!A:A, "&gt;=2025-10-1", Beans!A:A,"&lt;2025-11-1" )</f>
        <v>0</v>
      </c>
      <c r="Q7" s="7">
        <f>COUNTIFS(Beans!B:B, A7, Beans!A:A, "&gt;=2025-11-1", Beans!A:A,"&lt;2025-12-1" )</f>
        <v>0</v>
      </c>
      <c r="R7" s="15">
        <f>COUNTIFS(Beans!B:B, A7, Beans!A:A, "&gt;=2025-12-1", Beans!A:A,"&lt;2026-1-1" )</f>
        <v>0</v>
      </c>
    </row>
    <row r="8" ht="30.0" customHeight="1">
      <c r="A8" s="9" t="s">
        <v>53</v>
      </c>
      <c r="B8" s="6" t="s">
        <v>16</v>
      </c>
      <c r="C8" s="10" t="s">
        <v>102</v>
      </c>
      <c r="D8" s="11" t="str">
        <f>D9</f>
        <v/>
      </c>
      <c r="E8" s="11">
        <f t="shared" si="1"/>
        <v>2</v>
      </c>
      <c r="F8" s="12">
        <f>IF(E8+E9 = 0, "n/a", E8/(E8+E9))</f>
        <v>0.1666666667</v>
      </c>
      <c r="G8" s="11">
        <f>COUNTIFS(Beans!B:B, A8, Beans!A:A, "&gt;=2025-1-1", Beans!A:A,"&lt;2025-2-1" )</f>
        <v>0</v>
      </c>
      <c r="H8" s="7">
        <f>COUNTIFS(Beans!B:B, A8, Beans!A:A, "&gt;=2025-2-1", Beans!A:A,"&lt;2025-3-1" )</f>
        <v>1</v>
      </c>
      <c r="I8" s="11">
        <f>COUNTIFS(Beans!B:B, A8, Beans!A:A, "&gt;=2025-3-1", Beans!A:A,"&lt;2025-4-1" )</f>
        <v>1</v>
      </c>
      <c r="J8" s="11">
        <f>COUNTIFS(Beans!B:B, A8, Beans!A:A, "&gt;=2025-4-1", Beans!A:A,"&lt;2025-5-1" )</f>
        <v>0</v>
      </c>
      <c r="K8" s="7">
        <f>COUNTIFS(Beans!B:B, A8, Beans!A:A, "&gt;=2025-5-1", Beans!A:A,"&lt;2025-6-1" )</f>
        <v>0</v>
      </c>
      <c r="L8" s="11">
        <f>COUNTIFS(Beans!B:B, A8, Beans!A:A, "&gt;=2025-6-1", Beans!A:A,"&lt;2025-7-1" )</f>
        <v>0</v>
      </c>
      <c r="M8" s="11">
        <f>COUNTIFS(Beans!B:B, A8, Beans!A:A, "&gt;=2025-7-1", Beans!A:A,"&lt;2025-8-1" )</f>
        <v>0</v>
      </c>
      <c r="N8" s="7">
        <f>COUNTIFS(Beans!B:B, A8, Beans!A:A, "&gt;=2025-8-1", Beans!A:A,"&lt;2025-9-1" )</f>
        <v>0</v>
      </c>
      <c r="O8" s="11">
        <f>COUNTIFS(Beans!B:B, A8, Beans!A:A, "&gt;=2025-9-1", Beans!A:A,"&lt;2025-10-1" )</f>
        <v>0</v>
      </c>
      <c r="P8" s="11">
        <f>COUNTIFS(Beans!B:B, A8, Beans!A:A, "&gt;=2025-10-1", Beans!A:A,"&lt;2025-11-1" )</f>
        <v>0</v>
      </c>
      <c r="Q8" s="7">
        <f>COUNTIFS(Beans!B:B, A8, Beans!A:A, "&gt;=2025-11-1", Beans!A:A,"&lt;2025-12-1" )</f>
        <v>0</v>
      </c>
      <c r="R8" s="15">
        <f>COUNTIFS(Beans!B:B, A8, Beans!A:A, "&gt;=2025-12-1", Beans!A:A,"&lt;2026-1-1" )</f>
        <v>0</v>
      </c>
    </row>
    <row r="9" ht="30.0" customHeight="1">
      <c r="A9" s="9" t="s">
        <v>14</v>
      </c>
      <c r="B9" s="6" t="s">
        <v>21</v>
      </c>
      <c r="C9" s="10" t="s">
        <v>102</v>
      </c>
      <c r="D9" s="11"/>
      <c r="E9" s="11">
        <f t="shared" si="1"/>
        <v>10</v>
      </c>
      <c r="F9" s="12">
        <f>IF(E8+E9 = 0, "n/a", E9/(E8+E9))</f>
        <v>0.8333333333</v>
      </c>
      <c r="G9" s="11">
        <f>COUNTIFS(Beans!B:B, A9, Beans!A:A, "&gt;=2025-1-1", Beans!A:A,"&lt;2025-2-1" )</f>
        <v>0</v>
      </c>
      <c r="H9" s="7">
        <f>COUNTIFS(Beans!B:B, A9, Beans!A:A, "&gt;=2025-2-1", Beans!A:A,"&lt;2025-3-1" )</f>
        <v>1</v>
      </c>
      <c r="I9" s="11">
        <f>COUNTIFS(Beans!B:B, A9, Beans!A:A, "&gt;=2025-3-1", Beans!A:A,"&lt;2025-4-1" )</f>
        <v>1</v>
      </c>
      <c r="J9" s="11">
        <f>COUNTIFS(Beans!B:B, A9, Beans!A:A, "&gt;=2025-4-1", Beans!A:A,"&lt;2025-5-1" )</f>
        <v>2</v>
      </c>
      <c r="K9" s="7">
        <f>COUNTIFS(Beans!B:B, A9, Beans!A:A, "&gt;=2025-5-1", Beans!A:A,"&lt;2025-6-1" )</f>
        <v>1</v>
      </c>
      <c r="L9" s="11">
        <f>COUNTIFS(Beans!B:B, A9, Beans!A:A, "&gt;=2025-6-1", Beans!A:A,"&lt;2025-7-1" )</f>
        <v>0</v>
      </c>
      <c r="M9" s="11">
        <f>COUNTIFS(Beans!B:B, A9, Beans!A:A, "&gt;=2025-7-1", Beans!A:A,"&lt;2025-8-1" )</f>
        <v>2</v>
      </c>
      <c r="N9" s="7">
        <f>COUNTIFS(Beans!B:B, A9, Beans!A:A, "&gt;=2025-8-1", Beans!A:A,"&lt;2025-9-1" )</f>
        <v>0</v>
      </c>
      <c r="O9" s="11">
        <f>COUNTIFS(Beans!B:B, A9, Beans!A:A, "&gt;=2025-9-1", Beans!A:A,"&lt;2025-10-1" )</f>
        <v>1</v>
      </c>
      <c r="P9" s="11">
        <f>COUNTIFS(Beans!B:B, A9, Beans!A:A, "&gt;=2025-10-1", Beans!A:A,"&lt;2025-11-1" )</f>
        <v>1</v>
      </c>
      <c r="Q9" s="7">
        <f>COUNTIFS(Beans!B:B, A9, Beans!A:A, "&gt;=2025-11-1", Beans!A:A,"&lt;2025-12-1" )</f>
        <v>1</v>
      </c>
      <c r="R9" s="15">
        <f>COUNTIFS(Beans!B:B, A9, Beans!A:A, "&gt;=2025-12-1", Beans!A:A,"&lt;2026-1-1" )</f>
        <v>0</v>
      </c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 t="shared" si="1"/>
        <v>3</v>
      </c>
      <c r="F10" s="12">
        <f>IF(E10+E11 = 0, "n/a", E10/(E10+E11))</f>
        <v>0.2</v>
      </c>
      <c r="G10" s="11">
        <f>COUNTIFS(Beans!B:B, A10, Beans!A:A, "&gt;=2025-1-1", Beans!A:A,"&lt;2025-2-1" )</f>
        <v>0</v>
      </c>
      <c r="H10" s="7">
        <f>COUNTIFS(Beans!B:B, A10, Beans!A:A, "&gt;=2025-2-1", Beans!A:A,"&lt;2025-3-1" )</f>
        <v>0</v>
      </c>
      <c r="I10" s="11">
        <f>COUNTIFS(Beans!B:B, A10, Beans!A:A, "&gt;=2025-3-1", Beans!A:A,"&lt;2025-4-1" )</f>
        <v>1</v>
      </c>
      <c r="J10" s="11">
        <f>COUNTIFS(Beans!B:B, A10, Beans!A:A, "&gt;=2025-4-1", Beans!A:A,"&lt;2025-5-1" )</f>
        <v>0</v>
      </c>
      <c r="K10" s="7">
        <f>COUNTIFS(Beans!B:B, A10, Beans!A:A, "&gt;=2025-5-1", Beans!A:A,"&lt;2025-6-1" )</f>
        <v>0</v>
      </c>
      <c r="L10" s="11">
        <f>COUNTIFS(Beans!B:B, A10, Beans!A:A, "&gt;=2025-6-1", Beans!A:A,"&lt;2025-7-1" )</f>
        <v>0</v>
      </c>
      <c r="M10" s="11">
        <f>COUNTIFS(Beans!B:B, A10, Beans!A:A, "&gt;=2025-7-1", Beans!A:A,"&lt;2025-8-1" )</f>
        <v>0</v>
      </c>
      <c r="N10" s="7">
        <f>COUNTIFS(Beans!B:B, A10, Beans!A:A, "&gt;=2025-8-1", Beans!A:A,"&lt;2025-9-1" )</f>
        <v>0</v>
      </c>
      <c r="O10" s="11">
        <f>COUNTIFS(Beans!B:B, A10, Beans!A:A, "&gt;=2025-9-1", Beans!A:A,"&lt;2025-10-1" )</f>
        <v>0</v>
      </c>
      <c r="P10" s="11">
        <f>COUNTIFS(Beans!B:B, A10, Beans!A:A, "&gt;=2025-10-1", Beans!A:A,"&lt;2025-11-1" )</f>
        <v>0</v>
      </c>
      <c r="Q10" s="7">
        <f>COUNTIFS(Beans!B:B, A10, Beans!A:A, "&gt;=2025-11-1", Beans!A:A,"&lt;2025-12-1" )</f>
        <v>2</v>
      </c>
      <c r="R10" s="15">
        <f>COUNTIFS(Beans!B:B, A10, Beans!A:A, "&gt;=2025-12-1", Beans!A:A,"&lt;2026-1-1" )</f>
        <v>0</v>
      </c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 t="shared" si="1"/>
        <v>12</v>
      </c>
      <c r="F11" s="12">
        <f>IF(E10+E11 = 0, "n/a", E11/(E10+E11))</f>
        <v>0.8</v>
      </c>
      <c r="G11" s="11">
        <f>COUNTIFS(Beans!B:B, A11, Beans!A:A, "&gt;=2025-1-1", Beans!A:A,"&lt;2025-2-1" )</f>
        <v>0</v>
      </c>
      <c r="H11" s="7">
        <f>COUNTIFS(Beans!B:B, A11, Beans!A:A, "&gt;=2025-2-1", Beans!A:A,"&lt;2025-3-1" )</f>
        <v>3</v>
      </c>
      <c r="I11" s="11">
        <f>COUNTIFS(Beans!B:B, A11, Beans!A:A, "&gt;=2025-3-1", Beans!A:A,"&lt;2025-4-1" )</f>
        <v>3</v>
      </c>
      <c r="J11" s="11">
        <f>COUNTIFS(Beans!B:B, A11, Beans!A:A, "&gt;=2025-4-1", Beans!A:A,"&lt;2025-5-1" )</f>
        <v>1</v>
      </c>
      <c r="K11" s="7">
        <f>COUNTIFS(Beans!B:B, A11, Beans!A:A, "&gt;=2025-5-1", Beans!A:A,"&lt;2025-6-1" )</f>
        <v>0</v>
      </c>
      <c r="L11" s="11">
        <f>COUNTIFS(Beans!B:B, A11, Beans!A:A, "&gt;=2025-6-1", Beans!A:A,"&lt;2025-7-1" )</f>
        <v>1</v>
      </c>
      <c r="M11" s="11">
        <f>COUNTIFS(Beans!B:B, A11, Beans!A:A, "&gt;=2025-7-1", Beans!A:A,"&lt;2025-8-1" )</f>
        <v>2</v>
      </c>
      <c r="N11" s="7">
        <f>COUNTIFS(Beans!B:B, A11, Beans!A:A, "&gt;=2025-8-1", Beans!A:A,"&lt;2025-9-1" )</f>
        <v>0</v>
      </c>
      <c r="O11" s="11">
        <f>COUNTIFS(Beans!B:B, A11, Beans!A:A, "&gt;=2025-9-1", Beans!A:A,"&lt;2025-10-1" )</f>
        <v>0</v>
      </c>
      <c r="P11" s="11">
        <f>COUNTIFS(Beans!B:B, A11, Beans!A:A, "&gt;=2025-10-1", Beans!A:A,"&lt;2025-11-1" )</f>
        <v>0</v>
      </c>
      <c r="Q11" s="7">
        <f>COUNTIFS(Beans!B:B, A11, Beans!A:A, "&gt;=2025-11-1", Beans!A:A,"&lt;2025-12-1" )</f>
        <v>1</v>
      </c>
      <c r="R11" s="15">
        <f>COUNTIFS(Beans!B:B, A11, Beans!A:A, "&gt;=2025-12-1", Beans!A:A,"&lt;2026-1-1" )</f>
        <v>1</v>
      </c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 t="shared" si="1"/>
        <v>4</v>
      </c>
      <c r="F12" s="12">
        <f>IF(E12+E13 = 0, "n/a", E12/(E12+E13))</f>
        <v>0.2352941176</v>
      </c>
      <c r="G12" s="11">
        <f>COUNTIFS(Beans!B:B, A12, Beans!A:A, "&gt;=2025-1-1", Beans!A:A,"&lt;2025-2-1" )</f>
        <v>0</v>
      </c>
      <c r="H12" s="7">
        <f>COUNTIFS(Beans!B:B, A12, Beans!A:A, "&gt;=2025-2-1", Beans!A:A,"&lt;2025-3-1" )</f>
        <v>1</v>
      </c>
      <c r="I12" s="11">
        <f>COUNTIFS(Beans!B:B, A12, Beans!A:A, "&gt;=2025-3-1", Beans!A:A,"&lt;2025-4-1" )</f>
        <v>1</v>
      </c>
      <c r="J12" s="11">
        <f>COUNTIFS(Beans!B:B, A12, Beans!A:A, "&gt;=2025-4-1", Beans!A:A,"&lt;2025-5-1" )</f>
        <v>0</v>
      </c>
      <c r="K12" s="7">
        <f>COUNTIFS(Beans!B:B, A12, Beans!A:A, "&gt;=2025-5-1", Beans!A:A,"&lt;2025-6-1" )</f>
        <v>1</v>
      </c>
      <c r="L12" s="11">
        <f>COUNTIFS(Beans!B:B, A12, Beans!A:A, "&gt;=2025-6-1", Beans!A:A,"&lt;2025-7-1" )</f>
        <v>0</v>
      </c>
      <c r="M12" s="11">
        <f>COUNTIFS(Beans!B:B, A12, Beans!A:A, "&gt;=2025-7-1", Beans!A:A,"&lt;2025-8-1" )</f>
        <v>0</v>
      </c>
      <c r="N12" s="7">
        <f>COUNTIFS(Beans!B:B, A12, Beans!A:A, "&gt;=2025-8-1", Beans!A:A,"&lt;2025-9-1" )</f>
        <v>0</v>
      </c>
      <c r="O12" s="11">
        <f>COUNTIFS(Beans!B:B, A12, Beans!A:A, "&gt;=2025-9-1", Beans!A:A,"&lt;2025-10-1" )</f>
        <v>0</v>
      </c>
      <c r="P12" s="11">
        <f>COUNTIFS(Beans!B:B, A12, Beans!A:A, "&gt;=2025-10-1", Beans!A:A,"&lt;2025-11-1" )</f>
        <v>0</v>
      </c>
      <c r="Q12" s="7">
        <f>COUNTIFS(Beans!B:B, A12, Beans!A:A, "&gt;=2025-11-1", Beans!A:A,"&lt;2025-12-1" )</f>
        <v>1</v>
      </c>
      <c r="R12" s="15">
        <f>COUNTIFS(Beans!B:B, A12, Beans!A:A, "&gt;=2025-12-1", Beans!A:A,"&lt;2026-1-1" )</f>
        <v>0</v>
      </c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 t="shared" si="1"/>
        <v>13</v>
      </c>
      <c r="F13" s="12">
        <f>IF(E12+E13 = 0, "n/a", E13/(E12+E13))</f>
        <v>0.7647058824</v>
      </c>
      <c r="G13" s="11">
        <f>COUNTIFS(Beans!B:B, A13, Beans!A:A, "&gt;=2025-1-1", Beans!A:A,"&lt;2025-2-1" )</f>
        <v>0</v>
      </c>
      <c r="H13" s="7">
        <f>COUNTIFS(Beans!B:B, A13, Beans!A:A, "&gt;=2025-2-1", Beans!A:A,"&lt;2025-3-1" )</f>
        <v>2</v>
      </c>
      <c r="I13" s="11">
        <f>COUNTIFS(Beans!B:B, A13, Beans!A:A, "&gt;=2025-3-1", Beans!A:A,"&lt;2025-4-1" )</f>
        <v>2</v>
      </c>
      <c r="J13" s="11">
        <f>COUNTIFS(Beans!B:B, A13, Beans!A:A, "&gt;=2025-4-1", Beans!A:A,"&lt;2025-5-1" )</f>
        <v>2</v>
      </c>
      <c r="K13" s="7">
        <f>COUNTIFS(Beans!B:B, A13, Beans!A:A, "&gt;=2025-5-1", Beans!A:A,"&lt;2025-6-1" )</f>
        <v>3</v>
      </c>
      <c r="L13" s="11">
        <f>COUNTIFS(Beans!B:B, A13, Beans!A:A, "&gt;=2025-6-1", Beans!A:A,"&lt;2025-7-1" )</f>
        <v>0</v>
      </c>
      <c r="M13" s="11">
        <f>COUNTIFS(Beans!B:B, A13, Beans!A:A, "&gt;=2025-7-1", Beans!A:A,"&lt;2025-8-1" )</f>
        <v>0</v>
      </c>
      <c r="N13" s="7">
        <f>COUNTIFS(Beans!B:B, A13, Beans!A:A, "&gt;=2025-8-1", Beans!A:A,"&lt;2025-9-1" )</f>
        <v>0</v>
      </c>
      <c r="O13" s="11">
        <f>COUNTIFS(Beans!B:B, A13, Beans!A:A, "&gt;=2025-9-1", Beans!A:A,"&lt;2025-10-1" )</f>
        <v>0</v>
      </c>
      <c r="P13" s="11">
        <f>COUNTIFS(Beans!B:B, A13, Beans!A:A, "&gt;=2025-10-1", Beans!A:A,"&lt;2025-11-1" )</f>
        <v>1</v>
      </c>
      <c r="Q13" s="7">
        <f>COUNTIFS(Beans!B:B, A13, Beans!A:A, "&gt;=2025-11-1", Beans!A:A,"&lt;2025-12-1" )</f>
        <v>1</v>
      </c>
      <c r="R13" s="15">
        <f>COUNTIFS(Beans!B:B, A13, Beans!A:A, "&gt;=2025-12-1", Beans!A:A,"&lt;2026-1-1" )</f>
        <v>2</v>
      </c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 t="shared" si="1"/>
        <v>8</v>
      </c>
      <c r="F14" s="12">
        <f>IF(E14+E15 = 0, "n/a", E14/(E14+E15))</f>
        <v>0.5333333333</v>
      </c>
      <c r="G14" s="11">
        <f>COUNTIFS(Beans!B:B, A14, Beans!A:A, "&gt;=2025-1-1", Beans!A:A,"&lt;2025-2-1" )</f>
        <v>0</v>
      </c>
      <c r="H14" s="7">
        <f>COUNTIFS(Beans!B:B, A14, Beans!A:A, "&gt;=2025-2-1", Beans!A:A,"&lt;2025-3-1" )</f>
        <v>0</v>
      </c>
      <c r="I14" s="11">
        <f>COUNTIFS(Beans!B:B, A14, Beans!A:A, "&gt;=2025-3-1", Beans!A:A,"&lt;2025-4-1" )</f>
        <v>1</v>
      </c>
      <c r="J14" s="11">
        <f>COUNTIFS(Beans!B:B, A14, Beans!A:A, "&gt;=2025-4-1", Beans!A:A,"&lt;2025-5-1" )</f>
        <v>1</v>
      </c>
      <c r="K14" s="7">
        <f>COUNTIFS(Beans!B:B, A14, Beans!A:A, "&gt;=2025-5-1", Beans!A:A,"&lt;2025-6-1" )</f>
        <v>2</v>
      </c>
      <c r="L14" s="11">
        <f>COUNTIFS(Beans!B:B, A14, Beans!A:A, "&gt;=2025-6-1", Beans!A:A,"&lt;2025-7-1" )</f>
        <v>0</v>
      </c>
      <c r="M14" s="11">
        <f>COUNTIFS(Beans!B:B, A14, Beans!A:A, "&gt;=2025-7-1", Beans!A:A,"&lt;2025-8-1" )</f>
        <v>0</v>
      </c>
      <c r="N14" s="7">
        <f>COUNTIFS(Beans!B:B, A14, Beans!A:A, "&gt;=2025-8-1", Beans!A:A,"&lt;2025-9-1" )</f>
        <v>0</v>
      </c>
      <c r="O14" s="11">
        <f>COUNTIFS(Beans!B:B, A14, Beans!A:A, "&gt;=2025-9-1", Beans!A:A,"&lt;2025-10-1" )</f>
        <v>1</v>
      </c>
      <c r="P14" s="11">
        <f>COUNTIFS(Beans!B:B, A14, Beans!A:A, "&gt;=2025-10-1", Beans!A:A,"&lt;2025-11-1" )</f>
        <v>0</v>
      </c>
      <c r="Q14" s="7">
        <f>COUNTIFS(Beans!B:B, A14, Beans!A:A, "&gt;=2025-11-1", Beans!A:A,"&lt;2025-12-1" )</f>
        <v>1</v>
      </c>
      <c r="R14" s="15">
        <f>COUNTIFS(Beans!B:B, A14, Beans!A:A, "&gt;=2025-12-1", Beans!A:A,"&lt;2026-1-1" )</f>
        <v>2</v>
      </c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 t="shared" si="1"/>
        <v>7</v>
      </c>
      <c r="F15" s="12">
        <f>IF(E14+E15 = 0, "n/a", E15/(E14+E15))</f>
        <v>0.4666666667</v>
      </c>
      <c r="G15" s="11">
        <f>COUNTIFS(Beans!B:B, A15, Beans!A:A, "&gt;=2025-1-1", Beans!A:A,"&lt;2025-2-1" )</f>
        <v>0</v>
      </c>
      <c r="H15" s="7">
        <f>COUNTIFS(Beans!B:B, A15, Beans!A:A, "&gt;=2025-2-1", Beans!A:A,"&lt;2025-3-1" )</f>
        <v>0</v>
      </c>
      <c r="I15" s="11">
        <f>COUNTIFS(Beans!B:B, A15, Beans!A:A, "&gt;=2025-3-1", Beans!A:A,"&lt;2025-4-1" )</f>
        <v>1</v>
      </c>
      <c r="J15" s="11">
        <f>COUNTIFS(Beans!B:B, A15, Beans!A:A, "&gt;=2025-4-1", Beans!A:A,"&lt;2025-5-1" )</f>
        <v>2</v>
      </c>
      <c r="K15" s="7">
        <f>COUNTIFS(Beans!B:B, A15, Beans!A:A, "&gt;=2025-5-1", Beans!A:A,"&lt;2025-6-1" )</f>
        <v>1</v>
      </c>
      <c r="L15" s="11">
        <f>COUNTIFS(Beans!B:B, A15, Beans!A:A, "&gt;=2025-6-1", Beans!A:A,"&lt;2025-7-1" )</f>
        <v>1</v>
      </c>
      <c r="M15" s="11">
        <f>COUNTIFS(Beans!B:B, A15, Beans!A:A, "&gt;=2025-7-1", Beans!A:A,"&lt;2025-8-1" )</f>
        <v>1</v>
      </c>
      <c r="N15" s="7">
        <f>COUNTIFS(Beans!B:B, A15, Beans!A:A, "&gt;=2025-8-1", Beans!A:A,"&lt;2025-9-1" )</f>
        <v>1</v>
      </c>
      <c r="O15" s="11">
        <f>COUNTIFS(Beans!B:B, A15, Beans!A:A, "&gt;=2025-9-1", Beans!A:A,"&lt;2025-10-1" )</f>
        <v>0</v>
      </c>
      <c r="P15" s="11">
        <f>COUNTIFS(Beans!B:B, A15, Beans!A:A, "&gt;=2025-10-1", Beans!A:A,"&lt;2025-11-1" )</f>
        <v>0</v>
      </c>
      <c r="Q15" s="7">
        <f>COUNTIFS(Beans!B:B, A15, Beans!A:A, "&gt;=2025-11-1", Beans!A:A,"&lt;2025-12-1" )</f>
        <v>0</v>
      </c>
      <c r="R15" s="15">
        <f>COUNTIFS(Beans!B:B, A15, Beans!A:A, "&gt;=2025-12-1", Beans!A:A,"&lt;2026-1-1" )</f>
        <v>0</v>
      </c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 t="shared" si="1"/>
        <v>4</v>
      </c>
      <c r="F16" s="12">
        <f>IF(E16+E17 = 0, "n/a", E16/(E16+E17))</f>
        <v>0.3636363636</v>
      </c>
      <c r="G16" s="11">
        <f>COUNTIFS(Beans!B:B, A16, Beans!A:A, "&gt;=2025-1-1", Beans!A:A,"&lt;2025-2-1" )</f>
        <v>0</v>
      </c>
      <c r="H16" s="7">
        <f>COUNTIFS(Beans!B:B, A16, Beans!A:A, "&gt;=2025-2-1", Beans!A:A,"&lt;2025-3-1" )</f>
        <v>0</v>
      </c>
      <c r="I16" s="11">
        <f>COUNTIFS(Beans!B:B, A16, Beans!A:A, "&gt;=2025-3-1", Beans!A:A,"&lt;2025-4-1" )</f>
        <v>0</v>
      </c>
      <c r="J16" s="11">
        <f>COUNTIFS(Beans!B:B, A16, Beans!A:A, "&gt;=2025-4-1", Beans!A:A,"&lt;2025-5-1" )</f>
        <v>1</v>
      </c>
      <c r="K16" s="7">
        <f>COUNTIFS(Beans!B:B, A16, Beans!A:A, "&gt;=2025-5-1", Beans!A:A,"&lt;2025-6-1" )</f>
        <v>0</v>
      </c>
      <c r="L16" s="11">
        <f>COUNTIFS(Beans!B:B, A16, Beans!A:A, "&gt;=2025-6-1", Beans!A:A,"&lt;2025-7-1" )</f>
        <v>0</v>
      </c>
      <c r="M16" s="11">
        <f>COUNTIFS(Beans!B:B, A16, Beans!A:A, "&gt;=2025-7-1", Beans!A:A,"&lt;2025-8-1" )</f>
        <v>0</v>
      </c>
      <c r="N16" s="7">
        <f>COUNTIFS(Beans!B:B, A16, Beans!A:A, "&gt;=2025-8-1", Beans!A:A,"&lt;2025-9-1" )</f>
        <v>0</v>
      </c>
      <c r="O16" s="11">
        <f>COUNTIFS(Beans!B:B, A16, Beans!A:A, "&gt;=2025-9-1", Beans!A:A,"&lt;2025-10-1" )</f>
        <v>0</v>
      </c>
      <c r="P16" s="11">
        <f>COUNTIFS(Beans!B:B, A16, Beans!A:A, "&gt;=2025-10-1", Beans!A:A,"&lt;2025-11-1" )</f>
        <v>1</v>
      </c>
      <c r="Q16" s="7">
        <f>COUNTIFS(Beans!B:B, A16, Beans!A:A, "&gt;=2025-11-1", Beans!A:A,"&lt;2025-12-1" )</f>
        <v>0</v>
      </c>
      <c r="R16" s="15">
        <f>COUNTIFS(Beans!B:B, A16, Beans!A:A, "&gt;=2025-12-1", Beans!A:A,"&lt;2026-1-1" )</f>
        <v>2</v>
      </c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 t="shared" si="1"/>
        <v>7</v>
      </c>
      <c r="F17" s="12">
        <f>IF(E16+E17 = 0, "n/a", E17/(E16+E17))</f>
        <v>0.6363636364</v>
      </c>
      <c r="G17" s="11">
        <f>COUNTIFS(Beans!B:B, A17, Beans!A:A, "&gt;=2025-1-1", Beans!A:A,"&lt;2025-2-1" )</f>
        <v>0</v>
      </c>
      <c r="H17" s="7">
        <f>COUNTIFS(Beans!B:B, A17, Beans!A:A, "&gt;=2025-2-1", Beans!A:A,"&lt;2025-3-1" )</f>
        <v>2</v>
      </c>
      <c r="I17" s="11">
        <f>COUNTIFS(Beans!B:B, A17, Beans!A:A, "&gt;=2025-3-1", Beans!A:A,"&lt;2025-4-1" )</f>
        <v>0</v>
      </c>
      <c r="J17" s="11">
        <f>COUNTIFS(Beans!B:B, A17, Beans!A:A, "&gt;=2025-4-1", Beans!A:A,"&lt;2025-5-1" )</f>
        <v>0</v>
      </c>
      <c r="K17" s="7">
        <f>COUNTIFS(Beans!B:B, A17, Beans!A:A, "&gt;=2025-5-1", Beans!A:A,"&lt;2025-6-1" )</f>
        <v>0</v>
      </c>
      <c r="L17" s="11">
        <f>COUNTIFS(Beans!B:B, A17, Beans!A:A, "&gt;=2025-6-1", Beans!A:A,"&lt;2025-7-1" )</f>
        <v>0</v>
      </c>
      <c r="M17" s="11">
        <f>COUNTIFS(Beans!B:B, A17, Beans!A:A, "&gt;=2025-7-1", Beans!A:A,"&lt;2025-8-1" )</f>
        <v>2</v>
      </c>
      <c r="N17" s="7">
        <f>COUNTIFS(Beans!B:B, A17, Beans!A:A, "&gt;=2025-8-1", Beans!A:A,"&lt;2025-9-1" )</f>
        <v>0</v>
      </c>
      <c r="O17" s="11">
        <f>COUNTIFS(Beans!B:B, A17, Beans!A:A, "&gt;=2025-9-1", Beans!A:A,"&lt;2025-10-1" )</f>
        <v>0</v>
      </c>
      <c r="P17" s="11">
        <f>COUNTIFS(Beans!B:B, A17, Beans!A:A, "&gt;=2025-10-1", Beans!A:A,"&lt;2025-11-1" )</f>
        <v>0</v>
      </c>
      <c r="Q17" s="7">
        <f>COUNTIFS(Beans!B:B, A17, Beans!A:A, "&gt;=2025-11-1", Beans!A:A,"&lt;2025-12-1" )</f>
        <v>0</v>
      </c>
      <c r="R17" s="15">
        <f>COUNTIFS(Beans!B:B, A17, Beans!A:A, "&gt;=2025-12-1", Beans!A:A,"&lt;2026-1-1" )</f>
        <v>3</v>
      </c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 t="shared" si="1"/>
        <v>6</v>
      </c>
      <c r="F18" s="12">
        <f>IF(E18+E19 = 0, "n/a", E18/(E18+E19))</f>
        <v>0.4285714286</v>
      </c>
      <c r="G18" s="11">
        <f>COUNTIFS(Beans!B:B, A18, Beans!A:A, "&gt;=2025-1-1", Beans!A:A,"&lt;2025-2-1" )</f>
        <v>0</v>
      </c>
      <c r="H18" s="7">
        <f>COUNTIFS(Beans!B:B, A18, Beans!A:A, "&gt;=2025-2-1", Beans!A:A,"&lt;2025-3-1" )</f>
        <v>3</v>
      </c>
      <c r="I18" s="11">
        <f>COUNTIFS(Beans!B:B, A18, Beans!A:A, "&gt;=2025-3-1", Beans!A:A,"&lt;2025-4-1" )</f>
        <v>0</v>
      </c>
      <c r="J18" s="11">
        <f>COUNTIFS(Beans!B:B, A18, Beans!A:A, "&gt;=2025-4-1", Beans!A:A,"&lt;2025-5-1" )</f>
        <v>0</v>
      </c>
      <c r="K18" s="7">
        <f>COUNTIFS(Beans!B:B, A18, Beans!A:A, "&gt;=2025-5-1", Beans!A:A,"&lt;2025-6-1" )</f>
        <v>1</v>
      </c>
      <c r="L18" s="11">
        <f>COUNTIFS(Beans!B:B, A18, Beans!A:A, "&gt;=2025-6-1", Beans!A:A,"&lt;2025-7-1" )</f>
        <v>0</v>
      </c>
      <c r="M18" s="11">
        <f>COUNTIFS(Beans!B:B, A18, Beans!A:A, "&gt;=2025-7-1", Beans!A:A,"&lt;2025-8-1" )</f>
        <v>1</v>
      </c>
      <c r="N18" s="7">
        <f>COUNTIFS(Beans!B:B, A18, Beans!A:A, "&gt;=2025-8-1", Beans!A:A,"&lt;2025-9-1" )</f>
        <v>0</v>
      </c>
      <c r="O18" s="11">
        <f>COUNTIFS(Beans!B:B, A18, Beans!A:A, "&gt;=2025-9-1", Beans!A:A,"&lt;2025-10-1" )</f>
        <v>0</v>
      </c>
      <c r="P18" s="11">
        <f>COUNTIFS(Beans!B:B, A18, Beans!A:A, "&gt;=2025-10-1", Beans!A:A,"&lt;2025-11-1" )</f>
        <v>0</v>
      </c>
      <c r="Q18" s="7">
        <f>COUNTIFS(Beans!B:B, A18, Beans!A:A, "&gt;=2025-11-1", Beans!A:A,"&lt;2025-12-1" )</f>
        <v>0</v>
      </c>
      <c r="R18" s="15">
        <f>COUNTIFS(Beans!B:B, A18, Beans!A:A, "&gt;=2025-12-1", Beans!A:A,"&lt;2026-1-1" )</f>
        <v>1</v>
      </c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 t="shared" si="1"/>
        <v>8</v>
      </c>
      <c r="F19" s="12">
        <f>IF(E18+E19 = 0, "n/a", E19/(E18+E19))</f>
        <v>0.5714285714</v>
      </c>
      <c r="G19" s="11">
        <f>COUNTIFS(Beans!B:B, A19, Beans!A:A, "&gt;=2025-1-1", Beans!A:A,"&lt;2025-2-1" )</f>
        <v>0</v>
      </c>
      <c r="H19" s="7">
        <f>COUNTIFS(Beans!B:B, A19, Beans!A:A, "&gt;=2025-2-1", Beans!A:A,"&lt;2025-3-1" )</f>
        <v>1</v>
      </c>
      <c r="I19" s="11">
        <f>COUNTIFS(Beans!B:B, A19, Beans!A:A, "&gt;=2025-3-1", Beans!A:A,"&lt;2025-4-1" )</f>
        <v>0</v>
      </c>
      <c r="J19" s="11">
        <f>COUNTIFS(Beans!B:B, A19, Beans!A:A, "&gt;=2025-4-1", Beans!A:A,"&lt;2025-5-1" )</f>
        <v>1</v>
      </c>
      <c r="K19" s="7">
        <f>COUNTIFS(Beans!B:B, A19, Beans!A:A, "&gt;=2025-5-1", Beans!A:A,"&lt;2025-6-1" )</f>
        <v>1</v>
      </c>
      <c r="L19" s="11">
        <f>COUNTIFS(Beans!B:B, A19, Beans!A:A, "&gt;=2025-6-1", Beans!A:A,"&lt;2025-7-1" )</f>
        <v>0</v>
      </c>
      <c r="M19" s="11">
        <f>COUNTIFS(Beans!B:B, A19, Beans!A:A, "&gt;=2025-7-1", Beans!A:A,"&lt;2025-8-1" )</f>
        <v>0</v>
      </c>
      <c r="N19" s="7">
        <f>COUNTIFS(Beans!B:B, A19, Beans!A:A, "&gt;=2025-8-1", Beans!A:A,"&lt;2025-9-1" )</f>
        <v>0</v>
      </c>
      <c r="O19" s="11">
        <f>COUNTIFS(Beans!B:B, A19, Beans!A:A, "&gt;=2025-9-1", Beans!A:A,"&lt;2025-10-1" )</f>
        <v>0</v>
      </c>
      <c r="P19" s="11">
        <f>COUNTIFS(Beans!B:B, A19, Beans!A:A, "&gt;=2025-10-1", Beans!A:A,"&lt;2025-11-1" )</f>
        <v>1</v>
      </c>
      <c r="Q19" s="7">
        <f>COUNTIFS(Beans!B:B, A19, Beans!A:A, "&gt;=2025-11-1", Beans!A:A,"&lt;2025-12-1" )</f>
        <v>1</v>
      </c>
      <c r="R19" s="15">
        <f>COUNTIFS(Beans!B:B, A19, Beans!A:A, "&gt;=2025-12-1", Beans!A:A,"&lt;2026-1-1" )</f>
        <v>3</v>
      </c>
    </row>
    <row r="20" ht="47.25" customHeight="1">
      <c r="A20" s="9" t="s">
        <v>67</v>
      </c>
      <c r="B20" s="6" t="s">
        <v>16</v>
      </c>
      <c r="C20" s="10" t="s">
        <v>35</v>
      </c>
      <c r="D20" s="11" t="str">
        <f>D21</f>
        <v/>
      </c>
      <c r="E20" s="11">
        <f t="shared" si="1"/>
        <v>1</v>
      </c>
      <c r="F20" s="12">
        <f>IF(E20+E21 = 0, "n/a", E20/(E20+E21))</f>
        <v>0.1111111111</v>
      </c>
      <c r="G20" s="11">
        <f>COUNTIFS(Beans!B:B, A20, Beans!A:A, "&gt;=2025-1-1", Beans!A:A,"&lt;2025-2-1" )</f>
        <v>0</v>
      </c>
      <c r="H20" s="7">
        <f>COUNTIFS(Beans!B:B, A20, Beans!A:A, "&gt;=2025-2-1", Beans!A:A,"&lt;2025-3-1" )</f>
        <v>1</v>
      </c>
      <c r="I20" s="11">
        <f>COUNTIFS(Beans!B:B, A20, Beans!A:A, "&gt;=2025-3-1", Beans!A:A,"&lt;2025-4-1" )</f>
        <v>0</v>
      </c>
      <c r="J20" s="11">
        <f>COUNTIFS(Beans!B:B, A20, Beans!A:A, "&gt;=2025-4-1", Beans!A:A,"&lt;2025-5-1" )</f>
        <v>0</v>
      </c>
      <c r="K20" s="7">
        <f>COUNTIFS(Beans!B:B, A20, Beans!A:A, "&gt;=2025-5-1", Beans!A:A,"&lt;2025-6-1" )</f>
        <v>0</v>
      </c>
      <c r="L20" s="11">
        <f>COUNTIFS(Beans!B:B, A20, Beans!A:A, "&gt;=2025-6-1", Beans!A:A,"&lt;2025-7-1" )</f>
        <v>0</v>
      </c>
      <c r="M20" s="11">
        <f>COUNTIFS(Beans!B:B, A20, Beans!A:A, "&gt;=2025-7-1", Beans!A:A,"&lt;2025-8-1" )</f>
        <v>0</v>
      </c>
      <c r="N20" s="7">
        <f>COUNTIFS(Beans!B:B, A20, Beans!A:A, "&gt;=2025-8-1", Beans!A:A,"&lt;2025-9-1" )</f>
        <v>0</v>
      </c>
      <c r="O20" s="11">
        <f>COUNTIFS(Beans!B:B, A20, Beans!A:A, "&gt;=2025-9-1", Beans!A:A,"&lt;2025-10-1" )</f>
        <v>0</v>
      </c>
      <c r="P20" s="11">
        <f>COUNTIFS(Beans!B:B, A20, Beans!A:A, "&gt;=2025-10-1", Beans!A:A,"&lt;2025-11-1" )</f>
        <v>0</v>
      </c>
      <c r="Q20" s="7">
        <f>COUNTIFS(Beans!B:B, A20, Beans!A:A, "&gt;=2025-11-1", Beans!A:A,"&lt;2025-12-1" )</f>
        <v>0</v>
      </c>
      <c r="R20" s="15">
        <f>COUNTIFS(Beans!B:B, A20, Beans!A:A, "&gt;=2025-12-1", Beans!A:A,"&lt;2026-1-1" )</f>
        <v>0</v>
      </c>
    </row>
    <row r="21" ht="49.5" customHeight="1">
      <c r="A21" s="9" t="s">
        <v>72</v>
      </c>
      <c r="B21" s="6" t="s">
        <v>21</v>
      </c>
      <c r="C21" s="10" t="s">
        <v>35</v>
      </c>
      <c r="D21" s="11"/>
      <c r="E21" s="11">
        <f t="shared" si="1"/>
        <v>8</v>
      </c>
      <c r="F21" s="12">
        <f>IF(E20+E21 = 0, "n/a", E21/(E20+E21))</f>
        <v>0.8888888889</v>
      </c>
      <c r="G21" s="80">
        <f>COUNTIFS(Beans!B:B, A21, Beans!A:A, "&gt;=2025-1-1", Beans!A:A,"&lt;2025-2-1" )</f>
        <v>0</v>
      </c>
      <c r="H21" s="80">
        <f>COUNTIFS(Beans!B:B, A21, Beans!A:A, "&gt;=2025-2-1", Beans!A:A,"&lt;2025-3-1" )</f>
        <v>3</v>
      </c>
      <c r="I21" s="80">
        <f>COUNTIFS(Beans!B:B, A21, Beans!A:A, "&gt;=2025-3-1", Beans!A:A,"&lt;2025-4-1" )</f>
        <v>2</v>
      </c>
      <c r="J21" s="80">
        <f>COUNTIFS(Beans!B:B, A21, Beans!A:A, "&gt;=2025-4-1", Beans!A:A,"&lt;2025-5-1" )</f>
        <v>2</v>
      </c>
      <c r="K21" s="80">
        <f>COUNTIFS(Beans!B:B, A21, Beans!A:A, "&gt;=2025-5-1", Beans!A:A,"&lt;2025-6-1" )</f>
        <v>0</v>
      </c>
      <c r="L21" s="80">
        <f>COUNTIFS(Beans!B:B, A21, Beans!A:A, "&gt;=2025-6-1", Beans!A:A,"&lt;2025-7-1" )</f>
        <v>0</v>
      </c>
      <c r="M21" s="80">
        <f>COUNTIFS(Beans!B:B, A21, Beans!A:A, "&gt;=2025-7-1", Beans!A:A,"&lt;2025-8-1" )</f>
        <v>0</v>
      </c>
      <c r="N21" s="80">
        <f>COUNTIFS(Beans!B:B, A21, Beans!A:A, "&gt;=2025-8-1", Beans!A:A,"&lt;2025-9-1" )</f>
        <v>0</v>
      </c>
      <c r="O21" s="80">
        <f>COUNTIFS(Beans!B:B, A21, Beans!A:A, "&gt;=2025-9-1", Beans!A:A,"&lt;2025-10-1" )</f>
        <v>0</v>
      </c>
      <c r="P21" s="80">
        <f>COUNTIFS(Beans!B:B, A21, Beans!A:A, "&gt;=2025-10-1", Beans!A:A,"&lt;2025-11-1" )</f>
        <v>1</v>
      </c>
      <c r="Q21" s="80">
        <f>COUNTIFS(Beans!B:B, A21, Beans!A:A, "&gt;=2025-11-1", Beans!A:A,"&lt;2025-12-1" )</f>
        <v>0</v>
      </c>
      <c r="R21" s="80">
        <f>COUNTIFS(Beans!B:B, A21, Beans!A:A, "&gt;=2025-12-1", Beans!A:A,"&lt;2026-1-1" )</f>
        <v>0</v>
      </c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 t="shared" si="1"/>
        <v>0</v>
      </c>
      <c r="F22" s="12" t="str">
        <f>IF(E22+E23 = 0, "n/a", E22/(E22+E23))</f>
        <v>n/a</v>
      </c>
      <c r="G22" s="80">
        <f>COUNTIFS(Beans!B:B, A22, Beans!A:A, "&gt;=2025-1-1", Beans!A:A,"&lt;2025-2-1" )</f>
        <v>0</v>
      </c>
      <c r="H22" s="80">
        <f>COUNTIFS(Beans!B:B, A22, Beans!A:A, "&gt;=2025-2-1", Beans!A:A,"&lt;2025-3-1" )</f>
        <v>0</v>
      </c>
      <c r="I22" s="80">
        <f>COUNTIFS(Beans!B:B, A22, Beans!A:A, "&gt;=2025-3-1", Beans!A:A,"&lt;2025-4-1" )</f>
        <v>0</v>
      </c>
      <c r="J22" s="80">
        <f>COUNTIFS(Beans!B:B, A22, Beans!A:A, "&gt;=2025-4-1", Beans!A:A,"&lt;2025-5-1" )</f>
        <v>0</v>
      </c>
      <c r="K22" s="80">
        <f>COUNTIFS(Beans!B:B, A22, Beans!A:A, "&gt;=2025-5-1", Beans!A:A,"&lt;2025-6-1" )</f>
        <v>0</v>
      </c>
      <c r="L22" s="80">
        <f>COUNTIFS(Beans!B:B, A22, Beans!A:A, "&gt;=2025-6-1", Beans!A:A,"&lt;2025-7-1" )</f>
        <v>0</v>
      </c>
      <c r="M22" s="80">
        <f>COUNTIFS(Beans!B:B, A22, Beans!A:A, "&gt;=2025-7-1", Beans!A:A,"&lt;2025-8-1" )</f>
        <v>0</v>
      </c>
      <c r="N22" s="80">
        <f>COUNTIFS(Beans!B:B, A22, Beans!A:A, "&gt;=2025-8-1", Beans!A:A,"&lt;2025-9-1" )</f>
        <v>0</v>
      </c>
      <c r="O22" s="80">
        <f>COUNTIFS(Beans!B:B, A22, Beans!A:A, "&gt;=2025-9-1", Beans!A:A,"&lt;2025-10-1" )</f>
        <v>0</v>
      </c>
      <c r="P22" s="80">
        <f>COUNTIFS(Beans!B:B, A22, Beans!A:A, "&gt;=2025-10-1", Beans!A:A,"&lt;2025-11-1" )</f>
        <v>0</v>
      </c>
      <c r="Q22" s="80">
        <f>COUNTIFS(Beans!B:B, A22, Beans!A:A, "&gt;=2025-11-1", Beans!A:A,"&lt;2025-12-1" )</f>
        <v>0</v>
      </c>
      <c r="R22" s="80">
        <f>COUNTIFS(Beans!B:B, A22, Beans!A:A, "&gt;=2025-12-1", Beans!A:A,"&lt;2026-1-1" )</f>
        <v>0</v>
      </c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 t="shared" si="1"/>
        <v>0</v>
      </c>
      <c r="F23" s="12" t="str">
        <f>IF(E22+E23 = 0, "n/a", E23/(E22+E23))</f>
        <v>n/a</v>
      </c>
      <c r="G23" s="80">
        <f>COUNTIFS(Beans!B:B, A23, Beans!A:A, "&gt;=2025-1-1", Beans!A:A,"&lt;2025-2-1" )</f>
        <v>0</v>
      </c>
      <c r="H23" s="80">
        <f>COUNTIFS(Beans!B:B, A23, Beans!A:A, "&gt;=2025-2-1", Beans!A:A,"&lt;2025-3-1" )</f>
        <v>0</v>
      </c>
      <c r="I23" s="80">
        <f>COUNTIFS(Beans!B:B, A23, Beans!A:A, "&gt;=2025-3-1", Beans!A:A,"&lt;2025-4-1" )</f>
        <v>0</v>
      </c>
      <c r="J23" s="80">
        <f>COUNTIFS(Beans!B:B, A23, Beans!A:A, "&gt;=2025-4-1", Beans!A:A,"&lt;2025-5-1" )</f>
        <v>0</v>
      </c>
      <c r="K23" s="80">
        <f>COUNTIFS(Beans!B:B, A23, Beans!A:A, "&gt;=2025-5-1", Beans!A:A,"&lt;2025-6-1" )</f>
        <v>0</v>
      </c>
      <c r="L23" s="80">
        <f>COUNTIFS(Beans!B:B, A23, Beans!A:A, "&gt;=2025-6-1", Beans!A:A,"&lt;2025-7-1" )</f>
        <v>0</v>
      </c>
      <c r="M23" s="80">
        <f>COUNTIFS(Beans!B:B, A23, Beans!A:A, "&gt;=2025-7-1", Beans!A:A,"&lt;2025-8-1" )</f>
        <v>0</v>
      </c>
      <c r="N23" s="80">
        <f>COUNTIFS(Beans!B:B, A23, Beans!A:A, "&gt;=2025-8-1", Beans!A:A,"&lt;2025-9-1" )</f>
        <v>0</v>
      </c>
      <c r="O23" s="80">
        <f>COUNTIFS(Beans!B:B, A23, Beans!A:A, "&gt;=2025-9-1", Beans!A:A,"&lt;2025-10-1" )</f>
        <v>0</v>
      </c>
      <c r="P23" s="80">
        <f>COUNTIFS(Beans!B:B, A23, Beans!A:A, "&gt;=2025-10-1", Beans!A:A,"&lt;2025-11-1" )</f>
        <v>0</v>
      </c>
      <c r="Q23" s="80">
        <f>COUNTIFS(Beans!B:B, A23, Beans!A:A, "&gt;=2025-11-1", Beans!A:A,"&lt;2025-12-1" )</f>
        <v>0</v>
      </c>
      <c r="R23" s="80">
        <f>COUNTIFS(Beans!B:B, A23, Beans!A:A, "&gt;=2025-12-1", Beans!A:A,"&lt;2026-1-1" )</f>
        <v>0</v>
      </c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 t="shared" si="1"/>
        <v>0</v>
      </c>
      <c r="F24" s="12" t="str">
        <f>IF(E24+E25 = 0, "n/a", E24/(E24+E25))</f>
        <v>n/a</v>
      </c>
      <c r="G24" s="80">
        <f>COUNTIFS(Beans!B:B, A24, Beans!A:A, "&gt;=2025-1-1", Beans!A:A,"&lt;2025-2-1" )</f>
        <v>0</v>
      </c>
      <c r="H24" s="80">
        <f>COUNTIFS(Beans!B:B, A24, Beans!A:A, "&gt;=2025-2-1", Beans!A:A,"&lt;2025-3-1" )</f>
        <v>0</v>
      </c>
      <c r="I24" s="80">
        <f>COUNTIFS(Beans!B:B, A24, Beans!A:A, "&gt;=2025-3-1", Beans!A:A,"&lt;2025-4-1" )</f>
        <v>0</v>
      </c>
      <c r="J24" s="80">
        <f>COUNTIFS(Beans!B:B, A24, Beans!A:A, "&gt;=2025-4-1", Beans!A:A,"&lt;2025-5-1" )</f>
        <v>0</v>
      </c>
      <c r="K24" s="80">
        <f>COUNTIFS(Beans!B:B, A24, Beans!A:A, "&gt;=2025-5-1", Beans!A:A,"&lt;2025-6-1" )</f>
        <v>0</v>
      </c>
      <c r="L24" s="80">
        <f>COUNTIFS(Beans!B:B, A24, Beans!A:A, "&gt;=2025-6-1", Beans!A:A,"&lt;2025-7-1" )</f>
        <v>0</v>
      </c>
      <c r="M24" s="80">
        <f>COUNTIFS(Beans!B:B, A24, Beans!A:A, "&gt;=2025-7-1", Beans!A:A,"&lt;2025-8-1" )</f>
        <v>0</v>
      </c>
      <c r="N24" s="80">
        <f>COUNTIFS(Beans!B:B, A24, Beans!A:A, "&gt;=2025-8-1", Beans!A:A,"&lt;2025-9-1" )</f>
        <v>0</v>
      </c>
      <c r="O24" s="80">
        <f>COUNTIFS(Beans!B:B, A24, Beans!A:A, "&gt;=2025-9-1", Beans!A:A,"&lt;2025-10-1" )</f>
        <v>0</v>
      </c>
      <c r="P24" s="80">
        <f>COUNTIFS(Beans!B:B, A24, Beans!A:A, "&gt;=2025-10-1", Beans!A:A,"&lt;2025-11-1" )</f>
        <v>0</v>
      </c>
      <c r="Q24" s="80">
        <f>COUNTIFS(Beans!B:B, A24, Beans!A:A, "&gt;=2025-11-1", Beans!A:A,"&lt;2025-12-1" )</f>
        <v>0</v>
      </c>
      <c r="R24" s="80">
        <f>COUNTIFS(Beans!B:B, A24, Beans!A:A, "&gt;=2025-12-1", Beans!A:A,"&lt;2026-1-1" )</f>
        <v>0</v>
      </c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 t="shared" si="1"/>
        <v>0</v>
      </c>
      <c r="F25" s="12" t="str">
        <f t="shared" ref="F25:F29" si="2">IF(E24+E25 = 0, "n/a", E25/(E24+E25))</f>
        <v>n/a</v>
      </c>
      <c r="G25" s="80">
        <f>COUNTIFS(Beans!B:B, A25, Beans!A:A, "&gt;=2025-1-1", Beans!A:A,"&lt;2025-2-1" )</f>
        <v>0</v>
      </c>
      <c r="H25" s="80">
        <f>COUNTIFS(Beans!B:B, A25, Beans!A:A, "&gt;=2025-2-1", Beans!A:A,"&lt;2025-3-1" )</f>
        <v>0</v>
      </c>
      <c r="I25" s="80">
        <f>COUNTIFS(Beans!B:B, A25, Beans!A:A, "&gt;=2025-3-1", Beans!A:A,"&lt;2025-4-1" )</f>
        <v>0</v>
      </c>
      <c r="J25" s="80">
        <f>COUNTIFS(Beans!B:B, A25, Beans!A:A, "&gt;=2025-4-1", Beans!A:A,"&lt;2025-5-1" )</f>
        <v>0</v>
      </c>
      <c r="K25" s="80">
        <f>COUNTIFS(Beans!B:B, A25, Beans!A:A, "&gt;=2025-5-1", Beans!A:A,"&lt;2025-6-1" )</f>
        <v>0</v>
      </c>
      <c r="L25" s="80">
        <f>COUNTIFS(Beans!B:B, A25, Beans!A:A, "&gt;=2025-6-1", Beans!A:A,"&lt;2025-7-1" )</f>
        <v>0</v>
      </c>
      <c r="M25" s="80">
        <f>COUNTIFS(Beans!B:B, A25, Beans!A:A, "&gt;=2025-7-1", Beans!A:A,"&lt;2025-8-1" )</f>
        <v>0</v>
      </c>
      <c r="N25" s="80">
        <f>COUNTIFS(Beans!B:B, A25, Beans!A:A, "&gt;=2025-8-1", Beans!A:A,"&lt;2025-9-1" )</f>
        <v>0</v>
      </c>
      <c r="O25" s="80">
        <f>COUNTIFS(Beans!B:B, A25, Beans!A:A, "&gt;=2025-9-1", Beans!A:A,"&lt;2025-10-1" )</f>
        <v>0</v>
      </c>
      <c r="P25" s="80">
        <f>COUNTIFS(Beans!B:B, A25, Beans!A:A, "&gt;=2025-10-1", Beans!A:A,"&lt;2025-11-1" )</f>
        <v>0</v>
      </c>
      <c r="Q25" s="80">
        <f>COUNTIFS(Beans!B:B, A25, Beans!A:A, "&gt;=2025-11-1", Beans!A:A,"&lt;2025-12-1" )</f>
        <v>0</v>
      </c>
      <c r="R25" s="80">
        <f>COUNTIFS(Beans!B:B, A25, Beans!A:A, "&gt;=2025-12-1", Beans!A:A,"&lt;2026-1-1" )</f>
        <v>0</v>
      </c>
    </row>
    <row r="26" ht="44.25" customHeight="1">
      <c r="A26" s="9" t="str">
        <f>'Overall Bean Summary'!A26</f>
        <v>Top Banana</v>
      </c>
      <c r="B26" s="9" t="str">
        <f>'Overall Bean Summary'!B26</f>
        <v>Good</v>
      </c>
      <c r="C26" s="9" t="str">
        <f>'Overall Bean Summary'!C26</f>
        <v>7th-Curr</v>
      </c>
      <c r="D26" s="9" t="str">
        <f>'Overall Bean Summary'!D26</f>
        <v/>
      </c>
      <c r="E26" s="11">
        <f t="shared" si="1"/>
        <v>1</v>
      </c>
      <c r="F26" s="12">
        <f t="shared" si="2"/>
        <v>1</v>
      </c>
      <c r="G26" s="80">
        <f>COUNTIFS(Beans!B:B, A26, Beans!A:A, "&gt;=2025-1-1", Beans!A:A,"&lt;2025-2-1" )</f>
        <v>0</v>
      </c>
      <c r="H26" s="80">
        <f>COUNTIFS(Beans!B:B, A26, Beans!A:A, "&gt;=2025-2-1", Beans!A:A,"&lt;2025-3-1" )</f>
        <v>0</v>
      </c>
      <c r="I26" s="80">
        <f>COUNTIFS(Beans!B:B, A26, Beans!A:A, "&gt;=2025-3-1", Beans!A:A,"&lt;2025-4-1" )</f>
        <v>0</v>
      </c>
      <c r="J26" s="80">
        <f>COUNTIFS(Beans!B:B, A26, Beans!A:A, "&gt;=2025-4-1", Beans!A:A,"&lt;2025-5-1" )</f>
        <v>0</v>
      </c>
      <c r="K26" s="80">
        <f>COUNTIFS(Beans!B:B, A26, Beans!A:A, "&gt;=2025-5-1", Beans!A:A,"&lt;2025-6-1" )</f>
        <v>0</v>
      </c>
      <c r="L26" s="80">
        <f>COUNTIFS(Beans!B:B, A26, Beans!A:A, "&gt;=2025-6-1", Beans!A:A,"&lt;2025-7-1" )</f>
        <v>0</v>
      </c>
      <c r="M26" s="80">
        <f>COUNTIFS(Beans!B:B, A26, Beans!A:A, "&gt;=2025-7-1", Beans!A:A,"&lt;2025-8-1" )</f>
        <v>0</v>
      </c>
      <c r="N26" s="80">
        <f>COUNTIFS(Beans!B:B, A26, Beans!A:A, "&gt;=2025-8-1", Beans!A:A,"&lt;2025-9-1" )</f>
        <v>0</v>
      </c>
      <c r="O26" s="80">
        <f>COUNTIFS(Beans!B:B, A26, Beans!A:A, "&gt;=2025-9-1", Beans!A:A,"&lt;2025-10-1" )</f>
        <v>0</v>
      </c>
      <c r="P26" s="80">
        <f>COUNTIFS(Beans!B:B, A26, Beans!A:A, "&gt;=2025-10-1", Beans!A:A,"&lt;2025-11-1" )</f>
        <v>0</v>
      </c>
      <c r="Q26" s="80">
        <f>COUNTIFS(Beans!B:B, A26, Beans!A:A, "&gt;=2025-11-1", Beans!A:A,"&lt;2025-12-1" )</f>
        <v>0</v>
      </c>
      <c r="R26" s="80">
        <f>COUNTIFS(Beans!B:B, A26, Beans!A:A, "&gt;=2025-12-1", Beans!A:A,"&lt;2026-1-1" )</f>
        <v>1</v>
      </c>
    </row>
    <row r="27" ht="44.25" customHeight="1">
      <c r="A27" s="9" t="str">
        <f>'Overall Bean Summary'!A27</f>
        <v>Wet Dog</v>
      </c>
      <c r="B27" s="9" t="str">
        <f>'Overall Bean Summary'!B27</f>
        <v>Bad</v>
      </c>
      <c r="C27" s="9" t="str">
        <f>'Overall Bean Summary'!C27</f>
        <v>7th-Curr</v>
      </c>
      <c r="D27" s="9" t="str">
        <f>'Overall Bean Summary'!D27</f>
        <v/>
      </c>
      <c r="E27" s="11">
        <f t="shared" si="1"/>
        <v>3</v>
      </c>
      <c r="F27" s="12">
        <f t="shared" si="2"/>
        <v>0.75</v>
      </c>
      <c r="G27" s="80">
        <f>COUNTIFS(Beans!B:B, A27, Beans!A:A, "&gt;=2025-1-1", Beans!A:A,"&lt;2025-2-1" )</f>
        <v>0</v>
      </c>
      <c r="H27" s="80">
        <f>COUNTIFS(Beans!B:B, A27, Beans!A:A, "&gt;=2025-2-1", Beans!A:A,"&lt;2025-3-1" )</f>
        <v>0</v>
      </c>
      <c r="I27" s="80">
        <f>COUNTIFS(Beans!B:B, A27, Beans!A:A, "&gt;=2025-3-1", Beans!A:A,"&lt;2025-4-1" )</f>
        <v>0</v>
      </c>
      <c r="J27" s="80">
        <f>COUNTIFS(Beans!B:B, A27, Beans!A:A, "&gt;=2025-4-1", Beans!A:A,"&lt;2025-5-1" )</f>
        <v>1</v>
      </c>
      <c r="K27" s="80">
        <f>COUNTIFS(Beans!B:B, A27, Beans!A:A, "&gt;=2025-5-1", Beans!A:A,"&lt;2025-6-1" )</f>
        <v>0</v>
      </c>
      <c r="L27" s="80">
        <f>COUNTIFS(Beans!B:B, A27, Beans!A:A, "&gt;=2025-6-1", Beans!A:A,"&lt;2025-7-1" )</f>
        <v>0</v>
      </c>
      <c r="M27" s="80">
        <f>COUNTIFS(Beans!B:B, A27, Beans!A:A, "&gt;=2025-7-1", Beans!A:A,"&lt;2025-8-1" )</f>
        <v>0</v>
      </c>
      <c r="N27" s="80">
        <f>COUNTIFS(Beans!B:B, A27, Beans!A:A, "&gt;=2025-8-1", Beans!A:A,"&lt;2025-9-1" )</f>
        <v>0</v>
      </c>
      <c r="O27" s="80">
        <f>COUNTIFS(Beans!B:B, A27, Beans!A:A, "&gt;=2025-9-1", Beans!A:A,"&lt;2025-10-1" )</f>
        <v>0</v>
      </c>
      <c r="P27" s="80">
        <f>COUNTIFS(Beans!B:B, A27, Beans!A:A, "&gt;=2025-10-1", Beans!A:A,"&lt;2025-11-1" )</f>
        <v>0</v>
      </c>
      <c r="Q27" s="80">
        <f>COUNTIFS(Beans!B:B, A27, Beans!A:A, "&gt;=2025-11-1", Beans!A:A,"&lt;2025-12-1" )</f>
        <v>0</v>
      </c>
      <c r="R27" s="80">
        <f>COUNTIFS(Beans!B:B, A27, Beans!A:A, "&gt;=2025-12-1", Beans!A:A,"&lt;2026-1-1" )</f>
        <v>2</v>
      </c>
    </row>
    <row r="28" ht="44.25" customHeight="1">
      <c r="A28" s="9" t="str">
        <f>'Overall Bean Summary'!A28</f>
        <v>Licorice</v>
      </c>
      <c r="B28" s="9" t="str">
        <f>'Overall Bean Summary'!B28</f>
        <v>Good</v>
      </c>
      <c r="C28" s="9" t="str">
        <f>'Overall Bean Summary'!C28</f>
        <v>7th-Curr</v>
      </c>
      <c r="D28" s="9" t="str">
        <f>'Overall Bean Summary'!D28</f>
        <v/>
      </c>
      <c r="E28" s="11">
        <f t="shared" si="1"/>
        <v>2</v>
      </c>
      <c r="F28" s="12">
        <f t="shared" si="2"/>
        <v>0.4</v>
      </c>
      <c r="G28" s="80">
        <f>COUNTIFS(Beans!B:B, A28, Beans!A:A, "&gt;=2025-1-1", Beans!A:A,"&lt;2025-2-1" )</f>
        <v>0</v>
      </c>
      <c r="H28" s="80">
        <f>COUNTIFS(Beans!B:B, A28, Beans!A:A, "&gt;=2025-2-1", Beans!A:A,"&lt;2025-3-1" )</f>
        <v>0</v>
      </c>
      <c r="I28" s="80">
        <f>COUNTIFS(Beans!B:B, A28, Beans!A:A, "&gt;=2025-3-1", Beans!A:A,"&lt;2025-4-1" )</f>
        <v>0</v>
      </c>
      <c r="J28" s="80">
        <f>COUNTIFS(Beans!B:B, A28, Beans!A:A, "&gt;=2025-4-1", Beans!A:A,"&lt;2025-5-1" )</f>
        <v>1</v>
      </c>
      <c r="K28" s="80">
        <f>COUNTIFS(Beans!B:B, A28, Beans!A:A, "&gt;=2025-5-1", Beans!A:A,"&lt;2025-6-1" )</f>
        <v>0</v>
      </c>
      <c r="L28" s="80">
        <f>COUNTIFS(Beans!B:B, A28, Beans!A:A, "&gt;=2025-6-1", Beans!A:A,"&lt;2025-7-1" )</f>
        <v>0</v>
      </c>
      <c r="M28" s="80">
        <f>COUNTIFS(Beans!B:B, A28, Beans!A:A, "&gt;=2025-7-1", Beans!A:A,"&lt;2025-8-1" )</f>
        <v>0</v>
      </c>
      <c r="N28" s="80">
        <f>COUNTIFS(Beans!B:B, A28, Beans!A:A, "&gt;=2025-8-1", Beans!A:A,"&lt;2025-9-1" )</f>
        <v>0</v>
      </c>
      <c r="O28" s="80">
        <f>COUNTIFS(Beans!B:B, A28, Beans!A:A, "&gt;=2025-9-1", Beans!A:A,"&lt;2025-10-1" )</f>
        <v>0</v>
      </c>
      <c r="P28" s="80">
        <f>COUNTIFS(Beans!B:B, A28, Beans!A:A, "&gt;=2025-10-1", Beans!A:A,"&lt;2025-11-1" )</f>
        <v>0</v>
      </c>
      <c r="Q28" s="80">
        <f>COUNTIFS(Beans!B:B, A28, Beans!A:A, "&gt;=2025-11-1", Beans!A:A,"&lt;2025-12-1" )</f>
        <v>0</v>
      </c>
      <c r="R28" s="80">
        <f>COUNTIFS(Beans!B:B, A28, Beans!A:A, "&gt;=2025-12-1", Beans!A:A,"&lt;2026-1-1" )</f>
        <v>1</v>
      </c>
    </row>
    <row r="29" ht="44.25" customHeight="1">
      <c r="A29" s="9" t="str">
        <f>'Overall Bean Summary'!A29</f>
        <v>Burnt Rubber</v>
      </c>
      <c r="B29" s="9" t="str">
        <f>'Overall Bean Summary'!B29</f>
        <v>Bad</v>
      </c>
      <c r="C29" s="9" t="str">
        <f>'Overall Bean Summary'!C29</f>
        <v>7th-Curr</v>
      </c>
      <c r="D29" s="9" t="str">
        <f>'Overall Bean Summary'!D29</f>
        <v/>
      </c>
      <c r="E29" s="11">
        <f t="shared" si="1"/>
        <v>4</v>
      </c>
      <c r="F29" s="12">
        <f t="shared" si="2"/>
        <v>0.6666666667</v>
      </c>
      <c r="G29" s="80">
        <f>COUNTIFS(Beans!B:B, A29, Beans!A:A, "&gt;=2025-1-1", Beans!A:A,"&lt;2025-2-1" )</f>
        <v>0</v>
      </c>
      <c r="H29" s="80">
        <f>COUNTIFS(Beans!B:B, A29, Beans!A:A, "&gt;=2025-2-1", Beans!A:A,"&lt;2025-3-1" )</f>
        <v>0</v>
      </c>
      <c r="I29" s="80">
        <f>COUNTIFS(Beans!B:B, A29, Beans!A:A, "&gt;=2025-3-1", Beans!A:A,"&lt;2025-4-1" )</f>
        <v>0</v>
      </c>
      <c r="J29" s="80">
        <f>COUNTIFS(Beans!B:B, A29, Beans!A:A, "&gt;=2025-4-1", Beans!A:A,"&lt;2025-5-1" )</f>
        <v>1</v>
      </c>
      <c r="K29" s="80">
        <f>COUNTIFS(Beans!B:B, A29, Beans!A:A, "&gt;=2025-5-1", Beans!A:A,"&lt;2025-6-1" )</f>
        <v>0</v>
      </c>
      <c r="L29" s="80">
        <f>COUNTIFS(Beans!B:B, A29, Beans!A:A, "&gt;=2025-6-1", Beans!A:A,"&lt;2025-7-1" )</f>
        <v>0</v>
      </c>
      <c r="M29" s="80">
        <f>COUNTIFS(Beans!B:B, A29, Beans!A:A, "&gt;=2025-7-1", Beans!A:A,"&lt;2025-8-1" )</f>
        <v>0</v>
      </c>
      <c r="N29" s="80">
        <f>COUNTIFS(Beans!B:B, A29, Beans!A:A, "&gt;=2025-8-1", Beans!A:A,"&lt;2025-9-1" )</f>
        <v>0</v>
      </c>
      <c r="O29" s="80">
        <f>COUNTIFS(Beans!B:B, A29, Beans!A:A, "&gt;=2025-9-1", Beans!A:A,"&lt;2025-10-1" )</f>
        <v>0</v>
      </c>
      <c r="P29" s="80">
        <f>COUNTIFS(Beans!B:B, A29, Beans!A:A, "&gt;=2025-10-1", Beans!A:A,"&lt;2025-11-1" )</f>
        <v>0</v>
      </c>
      <c r="Q29" s="80">
        <f>COUNTIFS(Beans!B:B, A29, Beans!A:A, "&gt;=2025-11-1", Beans!A:A,"&lt;2025-12-1" )</f>
        <v>0</v>
      </c>
      <c r="R29" s="80">
        <f>COUNTIFS(Beans!B:B, A29, Beans!A:A, "&gt;=2025-12-1", Beans!A:A,"&lt;2026-1-1" )</f>
        <v>3</v>
      </c>
    </row>
    <row r="30" ht="44.25" customHeight="1">
      <c r="A30" s="9" t="s">
        <v>137</v>
      </c>
      <c r="B30" s="6" t="s">
        <v>27</v>
      </c>
      <c r="C30" s="51" t="s">
        <v>138</v>
      </c>
      <c r="D30" s="6"/>
      <c r="E30" s="11">
        <f t="shared" si="1"/>
        <v>0</v>
      </c>
      <c r="F30" s="12" t="str">
        <f>IF(E30+E31+E32+E33+E34 = 0, "n/a", E30/(E30+E31+E32+E33+E34))</f>
        <v>n/a</v>
      </c>
      <c r="G30" s="80">
        <f>COUNTIFS(Beans!B:B, A30, Beans!A:A, "&gt;=2025-1-1", Beans!A:A,"&lt;2025-2-1" )</f>
        <v>0</v>
      </c>
      <c r="H30" s="80">
        <f>COUNTIFS(Beans!B:B, A30, Beans!A:A, "&gt;=2025-2-1", Beans!A:A,"&lt;2025-3-1" )</f>
        <v>0</v>
      </c>
      <c r="I30" s="80">
        <f>COUNTIFS(Beans!B:B, A30, Beans!A:A, "&gt;=2025-3-1", Beans!A:A,"&lt;2025-4-1" )</f>
        <v>0</v>
      </c>
      <c r="J30" s="80">
        <f>COUNTIFS(Beans!B:B, A30, Beans!A:A, "&gt;=2025-4-1", Beans!A:A,"&lt;2025-5-1" )</f>
        <v>0</v>
      </c>
      <c r="K30" s="80">
        <f>COUNTIFS(Beans!B:B, A30, Beans!A:A, "&gt;=2025-5-1", Beans!A:A,"&lt;2025-6-1" )</f>
        <v>0</v>
      </c>
      <c r="L30" s="80">
        <f>COUNTIFS(Beans!B:B, A30, Beans!A:A, "&gt;=2025-6-1", Beans!A:A,"&lt;2025-7-1" )</f>
        <v>0</v>
      </c>
      <c r="M30" s="80">
        <f>COUNTIFS(Beans!B:B, A30, Beans!A:A, "&gt;=2025-7-1", Beans!A:A,"&lt;2025-8-1" )</f>
        <v>0</v>
      </c>
      <c r="N30" s="80">
        <f>COUNTIFS(Beans!B:B, A30, Beans!A:A, "&gt;=2025-8-1", Beans!A:A,"&lt;2025-9-1" )</f>
        <v>0</v>
      </c>
      <c r="O30" s="80">
        <f>COUNTIFS(Beans!B:B, A30, Beans!A:A, "&gt;=2025-9-1", Beans!A:A,"&lt;2025-10-1" )</f>
        <v>0</v>
      </c>
      <c r="P30" s="80">
        <f>COUNTIFS(Beans!B:B, A30, Beans!A:A, "&gt;=2025-10-1", Beans!A:A,"&lt;2025-11-1" )</f>
        <v>0</v>
      </c>
      <c r="Q30" s="80">
        <f>COUNTIFS(Beans!B:B, A30, Beans!A:A, "&gt;=2025-11-1", Beans!A:A,"&lt;2025-12-1" )</f>
        <v>0</v>
      </c>
      <c r="R30" s="80">
        <f>COUNTIFS(Beans!B:B, A30, Beans!A:A, "&gt;=2025-12-1", Beans!A:A,"&lt;2026-1-1" )</f>
        <v>0</v>
      </c>
    </row>
    <row r="31" ht="45.75" customHeight="1">
      <c r="A31" s="9" t="s">
        <v>139</v>
      </c>
      <c r="B31" s="6" t="s">
        <v>27</v>
      </c>
      <c r="C31" s="51" t="s">
        <v>138</v>
      </c>
      <c r="D31" s="7"/>
      <c r="E31" s="11">
        <f t="shared" si="1"/>
        <v>0</v>
      </c>
      <c r="F31" s="12" t="str">
        <f>IF(E30+E31+E32+E33+E34 = 0, "n/a", E31/(E30+E31+E32+E33+E34))</f>
        <v>n/a</v>
      </c>
      <c r="G31" s="80">
        <f>COUNTIFS(Beans!B:B, A31, Beans!A:A, "&gt;=2025-1-1", Beans!A:A,"&lt;2025-2-1" )</f>
        <v>0</v>
      </c>
      <c r="H31" s="80">
        <f>COUNTIFS(Beans!B:B, A31, Beans!A:A, "&gt;=2025-2-1", Beans!A:A,"&lt;2025-3-1" )</f>
        <v>0</v>
      </c>
      <c r="I31" s="80">
        <f>COUNTIFS(Beans!B:B, A31, Beans!A:A, "&gt;=2025-3-1", Beans!A:A,"&lt;2025-4-1" )</f>
        <v>0</v>
      </c>
      <c r="J31" s="80">
        <f>COUNTIFS(Beans!B:B, A31, Beans!A:A, "&gt;=2025-4-1", Beans!A:A,"&lt;2025-5-1" )</f>
        <v>0</v>
      </c>
      <c r="K31" s="80">
        <f>COUNTIFS(Beans!B:B, A31, Beans!A:A, "&gt;=2025-5-1", Beans!A:A,"&lt;2025-6-1" )</f>
        <v>0</v>
      </c>
      <c r="L31" s="80">
        <f>COUNTIFS(Beans!B:B, A31, Beans!A:A, "&gt;=2025-6-1", Beans!A:A,"&lt;2025-7-1" )</f>
        <v>0</v>
      </c>
      <c r="M31" s="80">
        <f>COUNTIFS(Beans!B:B, A31, Beans!A:A, "&gt;=2025-7-1", Beans!A:A,"&lt;2025-8-1" )</f>
        <v>0</v>
      </c>
      <c r="N31" s="80">
        <f>COUNTIFS(Beans!B:B, A31, Beans!A:A, "&gt;=2025-8-1", Beans!A:A,"&lt;2025-9-1" )</f>
        <v>0</v>
      </c>
      <c r="O31" s="80">
        <f>COUNTIFS(Beans!B:B, A31, Beans!A:A, "&gt;=2025-9-1", Beans!A:A,"&lt;2025-10-1" )</f>
        <v>0</v>
      </c>
      <c r="P31" s="80">
        <f>COUNTIFS(Beans!B:B, A31, Beans!A:A, "&gt;=2025-10-1", Beans!A:A,"&lt;2025-11-1" )</f>
        <v>0</v>
      </c>
      <c r="Q31" s="80">
        <f>COUNTIFS(Beans!B:B, A31, Beans!A:A, "&gt;=2025-11-1", Beans!A:A,"&lt;2025-12-1" )</f>
        <v>0</v>
      </c>
      <c r="R31" s="80">
        <f>COUNTIFS(Beans!B:B, A31, Beans!A:A, "&gt;=2025-12-1", Beans!A:A,"&lt;2026-1-1" )</f>
        <v>0</v>
      </c>
    </row>
    <row r="32" ht="46.5" customHeight="1">
      <c r="A32" s="9" t="s">
        <v>140</v>
      </c>
      <c r="B32" s="6" t="s">
        <v>27</v>
      </c>
      <c r="C32" s="51" t="s">
        <v>138</v>
      </c>
      <c r="D32" s="7"/>
      <c r="E32" s="11">
        <f t="shared" si="1"/>
        <v>0</v>
      </c>
      <c r="F32" s="12" t="str">
        <f>IF(E30+E31+E32+E33+E34 = 0, "n/a", E32/(E30+E31+E32+E33+E34))</f>
        <v>n/a</v>
      </c>
      <c r="G32" s="80">
        <f>COUNTIFS(Beans!B:B, A32, Beans!A:A, "&gt;=2025-1-1", Beans!A:A,"&lt;2025-2-1" )</f>
        <v>0</v>
      </c>
      <c r="H32" s="80">
        <f>COUNTIFS(Beans!B:B, A32, Beans!A:A, "&gt;=2025-2-1", Beans!A:A,"&lt;2025-3-1" )</f>
        <v>0</v>
      </c>
      <c r="I32" s="80">
        <f>COUNTIFS(Beans!B:B, A32, Beans!A:A, "&gt;=2025-3-1", Beans!A:A,"&lt;2025-4-1" )</f>
        <v>0</v>
      </c>
      <c r="J32" s="80">
        <f>COUNTIFS(Beans!B:B, A32, Beans!A:A, "&gt;=2025-4-1", Beans!A:A,"&lt;2025-5-1" )</f>
        <v>0</v>
      </c>
      <c r="K32" s="80">
        <f>COUNTIFS(Beans!B:B, A32, Beans!A:A, "&gt;=2025-5-1", Beans!A:A,"&lt;2025-6-1" )</f>
        <v>0</v>
      </c>
      <c r="L32" s="80">
        <f>COUNTIFS(Beans!B:B, A32, Beans!A:A, "&gt;=2025-6-1", Beans!A:A,"&lt;2025-7-1" )</f>
        <v>0</v>
      </c>
      <c r="M32" s="80">
        <f>COUNTIFS(Beans!B:B, A32, Beans!A:A, "&gt;=2025-7-1", Beans!A:A,"&lt;2025-8-1" )</f>
        <v>0</v>
      </c>
      <c r="N32" s="80">
        <f>COUNTIFS(Beans!B:B, A32, Beans!A:A, "&gt;=2025-8-1", Beans!A:A,"&lt;2025-9-1" )</f>
        <v>0</v>
      </c>
      <c r="O32" s="80">
        <f>COUNTIFS(Beans!B:B, A32, Beans!A:A, "&gt;=2025-9-1", Beans!A:A,"&lt;2025-10-1" )</f>
        <v>0</v>
      </c>
      <c r="P32" s="80">
        <f>COUNTIFS(Beans!B:B, A32, Beans!A:A, "&gt;=2025-10-1", Beans!A:A,"&lt;2025-11-1" )</f>
        <v>0</v>
      </c>
      <c r="Q32" s="80">
        <f>COUNTIFS(Beans!B:B, A32, Beans!A:A, "&gt;=2025-11-1", Beans!A:A,"&lt;2025-12-1" )</f>
        <v>0</v>
      </c>
      <c r="R32" s="80">
        <f>COUNTIFS(Beans!B:B, A32, Beans!A:A, "&gt;=2025-12-1", Beans!A:A,"&lt;2026-1-1" )</f>
        <v>0</v>
      </c>
    </row>
    <row r="33" ht="45.75" customHeight="1">
      <c r="A33" s="9" t="s">
        <v>141</v>
      </c>
      <c r="B33" s="6" t="s">
        <v>27</v>
      </c>
      <c r="C33" s="51" t="s">
        <v>138</v>
      </c>
      <c r="D33" s="7"/>
      <c r="E33" s="11">
        <f t="shared" si="1"/>
        <v>0</v>
      </c>
      <c r="F33" s="12" t="str">
        <f>IF(E30+E31+E32+E33+E34 = 0, "n/a", E33/(E30+E31+E32+E33+E34))</f>
        <v>n/a</v>
      </c>
      <c r="G33" s="80">
        <f>COUNTIFS(Beans!B:B, A33, Beans!A:A, "&gt;=2025-1-1", Beans!A:A,"&lt;2025-2-1" )</f>
        <v>0</v>
      </c>
      <c r="H33" s="80">
        <f>COUNTIFS(Beans!B:B, A33, Beans!A:A, "&gt;=2025-2-1", Beans!A:A,"&lt;2025-3-1" )</f>
        <v>0</v>
      </c>
      <c r="I33" s="80">
        <f>COUNTIFS(Beans!B:B, A33, Beans!A:A, "&gt;=2025-3-1", Beans!A:A,"&lt;2025-4-1" )</f>
        <v>0</v>
      </c>
      <c r="J33" s="80">
        <f>COUNTIFS(Beans!B:B, A33, Beans!A:A, "&gt;=2025-4-1", Beans!A:A,"&lt;2025-5-1" )</f>
        <v>0</v>
      </c>
      <c r="K33" s="80">
        <f>COUNTIFS(Beans!B:B, A33, Beans!A:A, "&gt;=2025-5-1", Beans!A:A,"&lt;2025-6-1" )</f>
        <v>0</v>
      </c>
      <c r="L33" s="80">
        <f>COUNTIFS(Beans!B:B, A33, Beans!A:A, "&gt;=2025-6-1", Beans!A:A,"&lt;2025-7-1" )</f>
        <v>0</v>
      </c>
      <c r="M33" s="80">
        <f>COUNTIFS(Beans!B:B, A33, Beans!A:A, "&gt;=2025-7-1", Beans!A:A,"&lt;2025-8-1" )</f>
        <v>0</v>
      </c>
      <c r="N33" s="80">
        <f>COUNTIFS(Beans!B:B, A33, Beans!A:A, "&gt;=2025-8-1", Beans!A:A,"&lt;2025-9-1" )</f>
        <v>0</v>
      </c>
      <c r="O33" s="80">
        <f>COUNTIFS(Beans!B:B, A33, Beans!A:A, "&gt;=2025-9-1", Beans!A:A,"&lt;2025-10-1" )</f>
        <v>0</v>
      </c>
      <c r="P33" s="80">
        <f>COUNTIFS(Beans!B:B, A33, Beans!A:A, "&gt;=2025-10-1", Beans!A:A,"&lt;2025-11-1" )</f>
        <v>0</v>
      </c>
      <c r="Q33" s="80">
        <f>COUNTIFS(Beans!B:B, A33, Beans!A:A, "&gt;=2025-11-1", Beans!A:A,"&lt;2025-12-1" )</f>
        <v>0</v>
      </c>
      <c r="R33" s="80">
        <f>COUNTIFS(Beans!B:B, A33, Beans!A:A, "&gt;=2025-12-1", Beans!A:A,"&lt;2026-1-1" )</f>
        <v>0</v>
      </c>
    </row>
    <row r="34" ht="43.5" customHeight="1">
      <c r="A34" s="9" t="s">
        <v>145</v>
      </c>
      <c r="B34" s="6" t="s">
        <v>27</v>
      </c>
      <c r="C34" s="51" t="s">
        <v>138</v>
      </c>
      <c r="D34" s="7"/>
      <c r="E34" s="11">
        <f t="shared" si="1"/>
        <v>0</v>
      </c>
      <c r="F34" s="12" t="str">
        <f>IF(E30+E31+E32+E33+E34 = 0, "n/a", E34/(E30+E31+E32+E33+E34))</f>
        <v>n/a</v>
      </c>
      <c r="G34" s="80">
        <f>COUNTIFS(Beans!B:B, A34, Beans!A:A, "&gt;=2025-1-1", Beans!A:A,"&lt;2025-2-1" )</f>
        <v>0</v>
      </c>
      <c r="H34" s="80">
        <f>COUNTIFS(Beans!B:B, A34, Beans!A:A, "&gt;=2025-2-1", Beans!A:A,"&lt;2025-3-1" )</f>
        <v>0</v>
      </c>
      <c r="I34" s="80">
        <f>COUNTIFS(Beans!B:B, A34, Beans!A:A, "&gt;=2025-3-1", Beans!A:A,"&lt;2025-4-1" )</f>
        <v>0</v>
      </c>
      <c r="J34" s="80">
        <f>COUNTIFS(Beans!B:B, A34, Beans!A:A, "&gt;=2025-4-1", Beans!A:A,"&lt;2025-5-1" )</f>
        <v>0</v>
      </c>
      <c r="K34" s="80">
        <f>COUNTIFS(Beans!B:B, A34, Beans!A:A, "&gt;=2025-5-1", Beans!A:A,"&lt;2025-6-1" )</f>
        <v>0</v>
      </c>
      <c r="L34" s="80">
        <f>COUNTIFS(Beans!B:B, A34, Beans!A:A, "&gt;=2025-6-1", Beans!A:A,"&lt;2025-7-1" )</f>
        <v>0</v>
      </c>
      <c r="M34" s="80">
        <f>COUNTIFS(Beans!B:B, A34, Beans!A:A, "&gt;=2025-7-1", Beans!A:A,"&lt;2025-8-1" )</f>
        <v>0</v>
      </c>
      <c r="N34" s="80">
        <f>COUNTIFS(Beans!B:B, A34, Beans!A:A, "&gt;=2025-8-1", Beans!A:A,"&lt;2025-9-1" )</f>
        <v>0</v>
      </c>
      <c r="O34" s="80">
        <f>COUNTIFS(Beans!B:B, A34, Beans!A:A, "&gt;=2025-9-1", Beans!A:A,"&lt;2025-10-1" )</f>
        <v>0</v>
      </c>
      <c r="P34" s="80">
        <f>COUNTIFS(Beans!B:B, A34, Beans!A:A, "&gt;=2025-10-1", Beans!A:A,"&lt;2025-11-1" )</f>
        <v>0</v>
      </c>
      <c r="Q34" s="80">
        <f>COUNTIFS(Beans!B:B, A34, Beans!A:A, "&gt;=2025-11-1", Beans!A:A,"&lt;2025-12-1" )</f>
        <v>0</v>
      </c>
      <c r="R34" s="80">
        <f>COUNTIFS(Beans!B:B, A34, Beans!A:A, "&gt;=2025-12-1", Beans!A:A,"&lt;2026-1-1" )</f>
        <v>0</v>
      </c>
    </row>
    <row r="35">
      <c r="A35" s="6" t="s">
        <v>99</v>
      </c>
      <c r="B35" s="6" t="s">
        <v>16</v>
      </c>
      <c r="C35" s="5" t="s">
        <v>146</v>
      </c>
      <c r="D35" s="11"/>
      <c r="E35" s="11">
        <f t="shared" si="1"/>
        <v>0</v>
      </c>
      <c r="F35" s="12" t="str">
        <f>IF(E35+E36 = 0, "n/a", E35/(E35+E36))</f>
        <v>n/a</v>
      </c>
      <c r="G35" s="80">
        <f>COUNTIFS(Beans!B:B, A35, Beans!A:A, "&gt;=2025-1-1", Beans!A:A,"&lt;2025-2-1" )</f>
        <v>0</v>
      </c>
      <c r="H35" s="80">
        <f>COUNTIFS(Beans!B:B, A35, Beans!A:A, "&gt;=2025-2-1", Beans!A:A,"&lt;2025-3-1" )</f>
        <v>0</v>
      </c>
      <c r="I35" s="80">
        <f>COUNTIFS(Beans!B:B, A35, Beans!A:A, "&gt;=2025-3-1", Beans!A:A,"&lt;2025-4-1" )</f>
        <v>0</v>
      </c>
      <c r="J35" s="80">
        <f>COUNTIFS(Beans!B:B, A35, Beans!A:A, "&gt;=2025-4-1", Beans!A:A,"&lt;2025-5-1" )</f>
        <v>0</v>
      </c>
      <c r="K35" s="80">
        <f>COUNTIFS(Beans!B:B, A35, Beans!A:A, "&gt;=2025-5-1", Beans!A:A,"&lt;2025-6-1" )</f>
        <v>0</v>
      </c>
      <c r="L35" s="80">
        <f>COUNTIFS(Beans!B:B, A35, Beans!A:A, "&gt;=2025-6-1", Beans!A:A,"&lt;2025-7-1" )</f>
        <v>0</v>
      </c>
      <c r="M35" s="80">
        <f>COUNTIFS(Beans!B:B, A35, Beans!A:A, "&gt;=2025-7-1", Beans!A:A,"&lt;2025-8-1" )</f>
        <v>0</v>
      </c>
      <c r="N35" s="80">
        <f>COUNTIFS(Beans!B:B, A35, Beans!A:A, "&gt;=2025-8-1", Beans!A:A,"&lt;2025-9-1" )</f>
        <v>0</v>
      </c>
      <c r="O35" s="80">
        <f>COUNTIFS(Beans!B:B, A35, Beans!A:A, "&gt;=2025-9-1", Beans!A:A,"&lt;2025-10-1" )</f>
        <v>0</v>
      </c>
      <c r="P35" s="80">
        <f>COUNTIFS(Beans!B:B, A35, Beans!A:A, "&gt;=2025-10-1", Beans!A:A,"&lt;2025-11-1" )</f>
        <v>0</v>
      </c>
      <c r="Q35" s="80">
        <f>COUNTIFS(Beans!B:B, A35, Beans!A:A, "&gt;=2025-11-1", Beans!A:A,"&lt;2025-12-1" )</f>
        <v>0</v>
      </c>
      <c r="R35" s="80">
        <f>COUNTIFS(Beans!B:B, A35, Beans!A:A, "&gt;=2025-12-1", Beans!A:A,"&lt;2026-1-1" )</f>
        <v>0</v>
      </c>
    </row>
    <row r="36">
      <c r="A36" s="6" t="s">
        <v>111</v>
      </c>
      <c r="B36" s="6" t="s">
        <v>21</v>
      </c>
      <c r="C36" s="5" t="s">
        <v>146</v>
      </c>
      <c r="D36" s="11"/>
      <c r="E36" s="11">
        <f t="shared" si="1"/>
        <v>0</v>
      </c>
      <c r="F36" s="12" t="str">
        <f>IF(E35+E36 = 0, "n/a", E36/(E35+E36))</f>
        <v>n/a</v>
      </c>
      <c r="G36" s="80">
        <f>COUNTIFS(Beans!B:B, A36, Beans!A:A, "&gt;=2025-1-1", Beans!A:A,"&lt;2025-2-1" )</f>
        <v>0</v>
      </c>
      <c r="H36" s="80">
        <f>COUNTIFS(Beans!B:B, A36, Beans!A:A, "&gt;=2025-2-1", Beans!A:A,"&lt;2025-3-1" )</f>
        <v>0</v>
      </c>
      <c r="I36" s="80">
        <f>COUNTIFS(Beans!B:B, A36, Beans!A:A, "&gt;=2025-3-1", Beans!A:A,"&lt;2025-4-1" )</f>
        <v>0</v>
      </c>
      <c r="J36" s="80">
        <f>COUNTIFS(Beans!B:B, A36, Beans!A:A, "&gt;=2025-4-1", Beans!A:A,"&lt;2025-5-1" )</f>
        <v>0</v>
      </c>
      <c r="K36" s="80">
        <f>COUNTIFS(Beans!B:B, A36, Beans!A:A, "&gt;=2025-5-1", Beans!A:A,"&lt;2025-6-1" )</f>
        <v>0</v>
      </c>
      <c r="L36" s="80">
        <f>COUNTIFS(Beans!B:B, A36, Beans!A:A, "&gt;=2025-6-1", Beans!A:A,"&lt;2025-7-1" )</f>
        <v>0</v>
      </c>
      <c r="M36" s="80">
        <f>COUNTIFS(Beans!B:B, A36, Beans!A:A, "&gt;=2025-7-1", Beans!A:A,"&lt;2025-8-1" )</f>
        <v>0</v>
      </c>
      <c r="N36" s="80">
        <f>COUNTIFS(Beans!B:B, A36, Beans!A:A, "&gt;=2025-8-1", Beans!A:A,"&lt;2025-9-1" )</f>
        <v>0</v>
      </c>
      <c r="O36" s="80">
        <f>COUNTIFS(Beans!B:B, A36, Beans!A:A, "&gt;=2025-9-1", Beans!A:A,"&lt;2025-10-1" )</f>
        <v>0</v>
      </c>
      <c r="P36" s="80">
        <f>COUNTIFS(Beans!B:B, A36, Beans!A:A, "&gt;=2025-10-1", Beans!A:A,"&lt;2025-11-1" )</f>
        <v>0</v>
      </c>
      <c r="Q36" s="80">
        <f>COUNTIFS(Beans!B:B, A36, Beans!A:A, "&gt;=2025-11-1", Beans!A:A,"&lt;2025-12-1" )</f>
        <v>0</v>
      </c>
      <c r="R36" s="80">
        <f>COUNTIFS(Beans!B:B, A36, Beans!A:A, "&gt;=2025-12-1", Beans!A:A,"&lt;2026-1-1" )</f>
        <v>0</v>
      </c>
    </row>
    <row r="37">
      <c r="A37" s="7"/>
      <c r="B37" s="7"/>
      <c r="D37" s="7"/>
      <c r="E37" s="7">
        <f>SUM(E2:E36)</f>
        <v>126</v>
      </c>
      <c r="F37" s="7"/>
      <c r="G37" s="7">
        <f t="shared" ref="G37:R37" si="3">SUM(G2:G34)</f>
        <v>0</v>
      </c>
      <c r="H37" s="7">
        <f t="shared" si="3"/>
        <v>22</v>
      </c>
      <c r="I37" s="7">
        <f t="shared" si="3"/>
        <v>14</v>
      </c>
      <c r="J37" s="7">
        <f t="shared" si="3"/>
        <v>18</v>
      </c>
      <c r="K37" s="7">
        <f t="shared" si="3"/>
        <v>14</v>
      </c>
      <c r="L37" s="7">
        <f t="shared" si="3"/>
        <v>2</v>
      </c>
      <c r="M37" s="7">
        <f t="shared" si="3"/>
        <v>12</v>
      </c>
      <c r="N37" s="7">
        <f t="shared" si="3"/>
        <v>1</v>
      </c>
      <c r="O37" s="7">
        <f t="shared" si="3"/>
        <v>4</v>
      </c>
      <c r="P37" s="7">
        <f t="shared" si="3"/>
        <v>6</v>
      </c>
      <c r="Q37" s="7">
        <f t="shared" si="3"/>
        <v>8</v>
      </c>
      <c r="R37" s="7">
        <f t="shared" si="3"/>
        <v>25</v>
      </c>
    </row>
    <row r="39">
      <c r="A39" s="5" t="s">
        <v>16</v>
      </c>
      <c r="B39" s="35">
        <f t="shared" ref="B39:B40" si="4">E2+E4+E6+E8+E10+E12+E14+E16+E18+E20+E22+E24+E26+E28+E35</f>
        <v>39</v>
      </c>
    </row>
    <row r="40">
      <c r="A40" s="5" t="s">
        <v>21</v>
      </c>
      <c r="B40" s="35">
        <f t="shared" si="4"/>
        <v>87</v>
      </c>
    </row>
    <row r="41">
      <c r="A41" s="5" t="s">
        <v>27</v>
      </c>
      <c r="B41" s="35">
        <f>SUM(E30:E34)</f>
        <v>0</v>
      </c>
    </row>
    <row r="42">
      <c r="B42" s="35">
        <f>SUM(B39:B41)</f>
        <v>126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205</v>
      </c>
      <c r="B1" s="42" t="s">
        <v>226</v>
      </c>
    </row>
    <row r="3">
      <c r="A3" s="43"/>
      <c r="B3" s="44" t="str">
        <f>'2025 Bean Description'!C2</f>
        <v>1st-Curr</v>
      </c>
      <c r="C3" s="43"/>
      <c r="D3" s="43"/>
      <c r="E3" s="45" t="str">
        <f>'2025 Bean Description'!C4</f>
        <v>4th-Curr</v>
      </c>
      <c r="F3" s="43"/>
      <c r="G3" s="43"/>
      <c r="H3" s="45" t="str">
        <f>'2025 Bean Description'!C6</f>
        <v>1st-Curr</v>
      </c>
      <c r="I3" s="43"/>
      <c r="J3" s="43"/>
      <c r="K3" s="45" t="str">
        <f>'2025 Bean Description'!C8</f>
        <v>5th-Curr</v>
      </c>
      <c r="L3" s="43"/>
      <c r="M3" s="43"/>
      <c r="N3" s="45" t="str">
        <f>'2025 Bean Description'!C10</f>
        <v>1st-Curr</v>
      </c>
      <c r="O3" s="43"/>
    </row>
    <row r="4">
      <c r="A4" s="46"/>
      <c r="B4" s="47" t="str">
        <f>'2025 Bean Description'!A2</f>
        <v>Juicy Pear</v>
      </c>
      <c r="C4" s="47" t="str">
        <f>'2025 Bean Description'!A3</f>
        <v>Booger</v>
      </c>
      <c r="D4" s="46"/>
      <c r="E4" s="47" t="str">
        <f>'2025 Bean Description'!A4</f>
        <v>Strawberry Smoothie</v>
      </c>
      <c r="F4" s="47" t="str">
        <f>'2025 Bean Description'!A5</f>
        <v>Dead Fish (Rotten)</v>
      </c>
      <c r="G4" s="46"/>
      <c r="H4" s="47" t="str">
        <f>'2025 Bean Description'!A6</f>
        <v>Berry Blue</v>
      </c>
      <c r="I4" s="47" t="str">
        <f>'2025 Bean Description'!A7</f>
        <v>Toothpaste</v>
      </c>
      <c r="J4" s="46"/>
      <c r="K4" s="47" t="str">
        <f>'2025 Bean Description'!A8</f>
        <v>Birthday Cake</v>
      </c>
      <c r="L4" s="47" t="str">
        <f>'2025 Bean Description'!A9</f>
        <v>Dirty Dishwater</v>
      </c>
      <c r="M4" s="46"/>
      <c r="N4" s="47" t="str">
        <f>'2025 Bean Description'!A10</f>
        <v>Peach</v>
      </c>
      <c r="O4" s="47" t="str">
        <f>'2025 Bean Description'!A11</f>
        <v>Barf</v>
      </c>
    </row>
    <row r="5">
      <c r="A5" s="44" t="s">
        <v>174</v>
      </c>
      <c r="B5" s="48">
        <f>'2025 Bean Description'!G2</f>
        <v>0</v>
      </c>
      <c r="C5" s="48">
        <f>'2025 Bean Description'!G3</f>
        <v>0</v>
      </c>
      <c r="D5" s="43"/>
      <c r="E5" s="48">
        <f>'2025 Bean Description'!G4</f>
        <v>0</v>
      </c>
      <c r="F5" s="48">
        <f>'2025 Bean Description'!G5</f>
        <v>0</v>
      </c>
      <c r="G5" s="43"/>
      <c r="H5" s="48">
        <f>'2025 Bean Description'!G6</f>
        <v>0</v>
      </c>
      <c r="I5" s="48">
        <f>'2025 Bean Description'!G7</f>
        <v>0</v>
      </c>
      <c r="J5" s="43"/>
      <c r="K5" s="48">
        <f>'2025 Bean Description'!G8</f>
        <v>0</v>
      </c>
      <c r="L5" s="48">
        <f>'2025 Bean Description'!G9</f>
        <v>0</v>
      </c>
      <c r="M5" s="43"/>
      <c r="N5" s="48">
        <f>'2025 Bean Description'!G10</f>
        <v>0</v>
      </c>
      <c r="O5" s="48">
        <f>'2025 Bean Description'!G11</f>
        <v>0</v>
      </c>
    </row>
    <row r="6">
      <c r="A6" s="44" t="s">
        <v>175</v>
      </c>
      <c r="B6" s="43">
        <f>'2025 Bean Description'!H2</f>
        <v>2</v>
      </c>
      <c r="C6" s="43">
        <f>'2025 Bean Description'!H3</f>
        <v>0</v>
      </c>
      <c r="D6" s="43"/>
      <c r="E6" s="48">
        <f>'2025 Bean Description'!H4</f>
        <v>1</v>
      </c>
      <c r="F6" s="48">
        <f>'2025 Bean Description'!H5</f>
        <v>1</v>
      </c>
      <c r="G6" s="43"/>
      <c r="H6" s="43">
        <f>'2025 Bean Description'!H6</f>
        <v>0</v>
      </c>
      <c r="I6" s="43">
        <f>'2025 Bean Description'!H7</f>
        <v>0</v>
      </c>
      <c r="J6" s="43"/>
      <c r="K6" s="49">
        <f>'2025 Bean Description'!H8</f>
        <v>1</v>
      </c>
      <c r="L6" s="43">
        <f>'2025 Bean Description'!H9</f>
        <v>1</v>
      </c>
      <c r="M6" s="43"/>
      <c r="N6" s="43">
        <f>'2025 Bean Description'!H10</f>
        <v>0</v>
      </c>
      <c r="O6" s="43">
        <f>'2025 Bean Description'!H11</f>
        <v>3</v>
      </c>
    </row>
    <row r="7">
      <c r="A7" s="44" t="s">
        <v>176</v>
      </c>
      <c r="B7" s="48">
        <f>'2025 Bean Description'!I2</f>
        <v>0</v>
      </c>
      <c r="C7" s="48">
        <f>'2025 Bean Description'!I3</f>
        <v>1</v>
      </c>
      <c r="D7" s="43"/>
      <c r="E7" s="48">
        <f>'2025 Bean Description'!I4</f>
        <v>0</v>
      </c>
      <c r="F7" s="48">
        <f>'2025 Bean Description'!I5</f>
        <v>0</v>
      </c>
      <c r="G7" s="43"/>
      <c r="H7" s="48">
        <f>'2025 Bean Description'!I6</f>
        <v>0</v>
      </c>
      <c r="I7" s="48">
        <f>'2025 Bean Description'!I7</f>
        <v>0</v>
      </c>
      <c r="J7" s="43"/>
      <c r="K7" s="48">
        <f>'2025 Bean Description'!I8</f>
        <v>1</v>
      </c>
      <c r="L7" s="48">
        <f>'2025 Bean Description'!I9</f>
        <v>1</v>
      </c>
      <c r="M7" s="43"/>
      <c r="N7" s="48">
        <f>'2025 Bean Description'!I10</f>
        <v>1</v>
      </c>
      <c r="O7" s="48">
        <f>'2025 Bean Description'!I11</f>
        <v>3</v>
      </c>
    </row>
    <row r="8">
      <c r="A8" s="44" t="s">
        <v>177</v>
      </c>
      <c r="B8" s="50">
        <f>'2025 Bean Description'!J2</f>
        <v>1</v>
      </c>
      <c r="C8" s="50">
        <f>'2025 Bean Description'!J3</f>
        <v>1</v>
      </c>
      <c r="D8" s="43"/>
      <c r="E8" s="48">
        <f>'2025 Bean Description'!J4</f>
        <v>0</v>
      </c>
      <c r="F8" s="48">
        <f>'2025 Bean Description'!J5</f>
        <v>1</v>
      </c>
      <c r="G8" s="43"/>
      <c r="H8" s="43">
        <f>'2025 Bean Description'!J6</f>
        <v>0</v>
      </c>
      <c r="I8" s="50">
        <f>'2025 Bean Description'!J7</f>
        <v>0</v>
      </c>
      <c r="J8" s="43"/>
      <c r="K8" s="43">
        <f>'2025 Bean Description'!J8</f>
        <v>0</v>
      </c>
      <c r="L8" s="50">
        <f>'2025 Bean Description'!J9</f>
        <v>2</v>
      </c>
      <c r="M8" s="43"/>
      <c r="N8" s="50">
        <f>'2025 Bean Description'!J10</f>
        <v>0</v>
      </c>
      <c r="O8" s="50">
        <f>'2025 Bean Description'!J11</f>
        <v>1</v>
      </c>
    </row>
    <row r="9">
      <c r="A9" s="44" t="s">
        <v>178</v>
      </c>
      <c r="B9" s="50">
        <f>'2025 Bean Description'!K2</f>
        <v>1</v>
      </c>
      <c r="C9" s="50">
        <f>'2025 Bean Description'!K3</f>
        <v>2</v>
      </c>
      <c r="D9" s="43"/>
      <c r="E9" s="48">
        <f>'2025 Bean Description'!K4</f>
        <v>0</v>
      </c>
      <c r="F9" s="48">
        <f>'2025 Bean Description'!K5</f>
        <v>1</v>
      </c>
      <c r="G9" s="43"/>
      <c r="H9" s="43">
        <f>'2025 Bean Description'!K6</f>
        <v>0</v>
      </c>
      <c r="I9" s="50">
        <f>'2025 Bean Description'!K7</f>
        <v>0</v>
      </c>
      <c r="J9" s="43"/>
      <c r="K9" s="43">
        <f>'2025 Bean Description'!K8</f>
        <v>0</v>
      </c>
      <c r="L9" s="50">
        <f>'2025 Bean Description'!K9</f>
        <v>1</v>
      </c>
      <c r="M9" s="43"/>
      <c r="N9" s="50">
        <f>'2025 Bean Description'!K10</f>
        <v>0</v>
      </c>
      <c r="O9" s="50">
        <f>'2025 Bean Description'!K11</f>
        <v>0</v>
      </c>
    </row>
    <row r="10">
      <c r="A10" s="44" t="s">
        <v>179</v>
      </c>
      <c r="B10" s="50">
        <f>'2025 Bean Description'!L2</f>
        <v>0</v>
      </c>
      <c r="C10" s="50">
        <f>'2025 Bean Description'!L3</f>
        <v>0</v>
      </c>
      <c r="D10" s="43"/>
      <c r="E10" s="48">
        <f>'2025 Bean Description'!L4</f>
        <v>0</v>
      </c>
      <c r="F10" s="48">
        <f>'2025 Bean Description'!L5</f>
        <v>0</v>
      </c>
      <c r="G10" s="43"/>
      <c r="H10" s="43">
        <f>'2025 Bean Description'!L6</f>
        <v>0</v>
      </c>
      <c r="I10" s="50">
        <f>'2025 Bean Description'!L7</f>
        <v>0</v>
      </c>
      <c r="J10" s="43"/>
      <c r="K10" s="43">
        <f>'2025 Bean Description'!L8</f>
        <v>0</v>
      </c>
      <c r="L10" s="50">
        <f>'2025 Bean Description'!L9</f>
        <v>0</v>
      </c>
      <c r="M10" s="43"/>
      <c r="N10" s="50">
        <f>'2025 Bean Description'!L10</f>
        <v>0</v>
      </c>
      <c r="O10" s="50">
        <f>'2025 Bean Description'!L11</f>
        <v>1</v>
      </c>
    </row>
    <row r="11">
      <c r="A11" s="44" t="s">
        <v>180</v>
      </c>
      <c r="B11" s="50">
        <f>'2025 Bean Description'!M2</f>
        <v>0</v>
      </c>
      <c r="C11" s="50">
        <f>'2025 Bean Description'!M3</f>
        <v>2</v>
      </c>
      <c r="D11" s="43"/>
      <c r="E11" s="48">
        <f>'2025 Bean Description'!M4</f>
        <v>0</v>
      </c>
      <c r="F11" s="48">
        <f>'2025 Bean Description'!M5</f>
        <v>1</v>
      </c>
      <c r="G11" s="43"/>
      <c r="H11" s="43">
        <f>'2025 Bean Description'!M6</f>
        <v>1</v>
      </c>
      <c r="I11" s="50">
        <f>'2025 Bean Description'!M7</f>
        <v>0</v>
      </c>
      <c r="J11" s="43"/>
      <c r="K11" s="43">
        <f>'2025 Bean Description'!M8</f>
        <v>0</v>
      </c>
      <c r="L11" s="50">
        <f>'2025 Bean Description'!M9</f>
        <v>2</v>
      </c>
      <c r="M11" s="43"/>
      <c r="N11" s="50">
        <f>'2025 Bean Description'!M10</f>
        <v>0</v>
      </c>
      <c r="O11" s="50">
        <f>'2025 Bean Description'!M11</f>
        <v>2</v>
      </c>
    </row>
    <row r="12">
      <c r="A12" s="44" t="s">
        <v>181</v>
      </c>
      <c r="B12" s="50">
        <f>'2025 Bean Description'!N2</f>
        <v>0</v>
      </c>
      <c r="C12" s="50">
        <f>'2025 Bean Description'!N3</f>
        <v>0</v>
      </c>
      <c r="D12" s="43"/>
      <c r="E12" s="48">
        <f>'2025 Bean Description'!N4</f>
        <v>0</v>
      </c>
      <c r="F12" s="48">
        <f>'2025 Bean Description'!N5</f>
        <v>0</v>
      </c>
      <c r="G12" s="43"/>
      <c r="H12" s="43">
        <f>'2025 Bean Description'!N6</f>
        <v>0</v>
      </c>
      <c r="I12" s="50">
        <f>'2025 Bean Description'!N7</f>
        <v>0</v>
      </c>
      <c r="J12" s="43"/>
      <c r="K12" s="43">
        <f>'2025 Bean Description'!N8</f>
        <v>0</v>
      </c>
      <c r="L12" s="50">
        <f>'2025 Bean Description'!N9</f>
        <v>0</v>
      </c>
      <c r="M12" s="43"/>
      <c r="N12" s="50">
        <f>'2025 Bean Description'!N10</f>
        <v>0</v>
      </c>
      <c r="O12" s="50">
        <f>'2025 Bean Description'!N11</f>
        <v>0</v>
      </c>
    </row>
    <row r="13">
      <c r="A13" s="44" t="s">
        <v>182</v>
      </c>
      <c r="B13" s="50">
        <f>'2025 Bean Description'!O2</f>
        <v>0</v>
      </c>
      <c r="C13" s="50">
        <f>'2025 Bean Description'!O3</f>
        <v>0</v>
      </c>
      <c r="D13" s="43"/>
      <c r="E13" s="48">
        <f>'2025 Bean Description'!O4</f>
        <v>1</v>
      </c>
      <c r="F13" s="48">
        <f>'2025 Bean Description'!O5</f>
        <v>1</v>
      </c>
      <c r="G13" s="43"/>
      <c r="H13" s="43">
        <f>'2025 Bean Description'!O6</f>
        <v>0</v>
      </c>
      <c r="I13" s="50">
        <f>'2025 Bean Description'!O7</f>
        <v>0</v>
      </c>
      <c r="J13" s="43"/>
      <c r="K13" s="43">
        <f>'2025 Bean Description'!O8</f>
        <v>0</v>
      </c>
      <c r="L13" s="50">
        <f>'2025 Bean Description'!O9</f>
        <v>1</v>
      </c>
      <c r="M13" s="43"/>
      <c r="N13" s="50">
        <f>'2025 Bean Description'!O10</f>
        <v>0</v>
      </c>
      <c r="O13" s="50">
        <f>'2025 Bean Description'!O11</f>
        <v>0</v>
      </c>
    </row>
    <row r="14">
      <c r="A14" s="44" t="s">
        <v>183</v>
      </c>
      <c r="B14" s="50">
        <f>'2025 Bean Description'!P2</f>
        <v>0</v>
      </c>
      <c r="C14" s="50">
        <f>'2025 Bean Description'!P3</f>
        <v>0</v>
      </c>
      <c r="D14" s="43"/>
      <c r="E14" s="48">
        <f>'2025 Bean Description'!P4</f>
        <v>0</v>
      </c>
      <c r="F14" s="48">
        <f>'2025 Bean Description'!P5</f>
        <v>1</v>
      </c>
      <c r="G14" s="43"/>
      <c r="H14" s="43">
        <f>'2025 Bean Description'!P6</f>
        <v>0</v>
      </c>
      <c r="I14" s="50">
        <f>'2025 Bean Description'!P7</f>
        <v>0</v>
      </c>
      <c r="J14" s="43"/>
      <c r="K14" s="43">
        <f>'2025 Bean Description'!P8</f>
        <v>0</v>
      </c>
      <c r="L14" s="50">
        <f>'2025 Bean Description'!P9</f>
        <v>1</v>
      </c>
      <c r="M14" s="43"/>
      <c r="N14" s="50">
        <f>'2025 Bean Description'!P10</f>
        <v>0</v>
      </c>
      <c r="O14" s="50">
        <f>'2025 Bean Description'!P11</f>
        <v>0</v>
      </c>
    </row>
    <row r="15">
      <c r="A15" s="44" t="s">
        <v>184</v>
      </c>
      <c r="B15" s="50">
        <f>'2025 Bean Description'!Q2</f>
        <v>0</v>
      </c>
      <c r="C15" s="50">
        <f>'2025 Bean Description'!Q3</f>
        <v>0</v>
      </c>
      <c r="D15" s="43"/>
      <c r="E15" s="48">
        <f>'2025 Bean Description'!Q4</f>
        <v>0</v>
      </c>
      <c r="F15" s="48">
        <f>'2025 Bean Description'!Q5</f>
        <v>0</v>
      </c>
      <c r="G15" s="43"/>
      <c r="H15" s="43">
        <f>'2025 Bean Description'!Q6</f>
        <v>0</v>
      </c>
      <c r="I15" s="50">
        <f>'2025 Bean Description'!Q7</f>
        <v>0</v>
      </c>
      <c r="J15" s="43"/>
      <c r="K15" s="43">
        <f>'2025 Bean Description'!Q8</f>
        <v>0</v>
      </c>
      <c r="L15" s="50">
        <f>'2025 Bean Description'!Q9</f>
        <v>1</v>
      </c>
      <c r="M15" s="43"/>
      <c r="N15" s="50">
        <f>'2025 Bean Description'!Q10</f>
        <v>2</v>
      </c>
      <c r="O15" s="50">
        <f>'2025 Bean Description'!Q11</f>
        <v>1</v>
      </c>
    </row>
    <row r="16">
      <c r="A16" s="44" t="s">
        <v>185</v>
      </c>
      <c r="B16" s="50">
        <f>'2025 Bean Description'!R2</f>
        <v>0</v>
      </c>
      <c r="C16" s="50">
        <f>'2025 Bean Description'!R3</f>
        <v>2</v>
      </c>
      <c r="D16" s="43"/>
      <c r="E16" s="48">
        <f>'2025 Bean Description'!R4</f>
        <v>1</v>
      </c>
      <c r="F16" s="48">
        <f>'2025 Bean Description'!R5</f>
        <v>1</v>
      </c>
      <c r="G16" s="43"/>
      <c r="H16" s="43">
        <f>'2025 Bean Description'!R6</f>
        <v>0</v>
      </c>
      <c r="I16" s="50">
        <f>'2025 Bean Description'!R7</f>
        <v>0</v>
      </c>
      <c r="J16" s="43"/>
      <c r="K16" s="43">
        <f>'2025 Bean Description'!R8</f>
        <v>0</v>
      </c>
      <c r="L16" s="50">
        <f>'2025 Bean Description'!R9</f>
        <v>0</v>
      </c>
      <c r="M16" s="43"/>
      <c r="N16" s="50">
        <f>'2025 Bean Description'!R10</f>
        <v>0</v>
      </c>
      <c r="O16" s="50">
        <f>'2025 Bean Description'!R11</f>
        <v>1</v>
      </c>
    </row>
    <row r="17">
      <c r="A17" s="43"/>
      <c r="B17" s="50"/>
      <c r="C17" s="50"/>
      <c r="D17" s="43"/>
      <c r="E17" s="50"/>
      <c r="F17" s="50"/>
      <c r="G17" s="43"/>
      <c r="H17" s="43"/>
      <c r="I17" s="50"/>
      <c r="J17" s="43"/>
      <c r="K17" s="43"/>
      <c r="L17" s="50"/>
      <c r="M17" s="43"/>
      <c r="N17" s="50"/>
      <c r="O17" s="50"/>
    </row>
    <row r="18">
      <c r="A18" s="43"/>
      <c r="B18" s="44" t="str">
        <f>'2025 Bean Description'!C12</f>
        <v>3rd-Curr</v>
      </c>
      <c r="C18" s="43"/>
      <c r="D18" s="43"/>
      <c r="E18" s="45" t="str">
        <f>'2025 Bean Description'!C14</f>
        <v>6th-Curr</v>
      </c>
      <c r="F18" s="43"/>
      <c r="G18" s="43"/>
      <c r="H18" s="45" t="str">
        <f>'2025 Bean Description'!C16</f>
        <v>5th-Curr</v>
      </c>
      <c r="I18" s="43"/>
      <c r="J18" s="43"/>
      <c r="K18" s="45" t="str">
        <f>'2025 Bean Description'!C18</f>
        <v>6th-Curr</v>
      </c>
      <c r="L18" s="43"/>
      <c r="M18" s="43"/>
      <c r="N18" s="45" t="str">
        <f>'2025 Bean Description'!C20</f>
        <v>1st-Curr</v>
      </c>
      <c r="O18" s="43"/>
    </row>
    <row r="19">
      <c r="A19" s="46"/>
      <c r="B19" s="47" t="str">
        <f>'2025 Bean Description'!A12</f>
        <v>Tutti Fruitti</v>
      </c>
      <c r="C19" s="47" t="str">
        <f>'2025 Bean Description'!A13</f>
        <v>Stinky Socks</v>
      </c>
      <c r="D19" s="46"/>
      <c r="E19" s="47" t="str">
        <f>'2025 Bean Description'!A14</f>
        <v>Pomegranate</v>
      </c>
      <c r="F19" s="47" t="str">
        <f>'2025 Bean Description'!A15</f>
        <v>Old Bandage</v>
      </c>
      <c r="G19" s="46"/>
      <c r="H19" s="47" t="str">
        <f>'2025 Bean Description'!A16</f>
        <v>Toasted Marshmallow</v>
      </c>
      <c r="I19" s="47" t="str">
        <f>'2025 Bean Description'!A17</f>
        <v>Stink Bug</v>
      </c>
      <c r="J19" s="46"/>
      <c r="K19" s="47" t="str">
        <f>'2025 Bean Description'!A18</f>
        <v>Cappuccino</v>
      </c>
      <c r="L19" s="47" t="str">
        <f>'2025 Bean Description'!A19</f>
        <v>Liver &amp; Onion</v>
      </c>
      <c r="M19" s="46"/>
      <c r="N19" s="47" t="str">
        <f>'2025 Bean Description'!A20</f>
        <v>Buttered Popcorn</v>
      </c>
      <c r="O19" s="47" t="str">
        <f>'2025 Bean Description'!A21</f>
        <v>Rotten Egg</v>
      </c>
    </row>
    <row r="20">
      <c r="A20" s="44" t="s">
        <v>174</v>
      </c>
      <c r="B20" s="48">
        <f>'2025 Bean Description'!G12</f>
        <v>0</v>
      </c>
      <c r="C20" s="48">
        <f>'2025 Bean Description'!G13</f>
        <v>0</v>
      </c>
      <c r="D20" s="43"/>
      <c r="E20" s="48">
        <f>'2025 Bean Description'!G14</f>
        <v>0</v>
      </c>
      <c r="F20" s="48">
        <f>'2025 Bean Description'!G15</f>
        <v>0</v>
      </c>
      <c r="G20" s="43"/>
      <c r="H20" s="43">
        <f>'2025 Bean Description'!G16</f>
        <v>0</v>
      </c>
      <c r="I20" s="43">
        <f>'2025 Bean Description'!G17</f>
        <v>0</v>
      </c>
      <c r="J20" s="43"/>
      <c r="K20" s="48">
        <f>'2025 Bean Description'!G18</f>
        <v>0</v>
      </c>
      <c r="L20" s="48">
        <f>'2025 Bean Description'!G19</f>
        <v>0</v>
      </c>
      <c r="M20" s="43"/>
      <c r="N20" s="48">
        <f>'2025 Bean Description'!G20</f>
        <v>0</v>
      </c>
      <c r="O20" s="48">
        <f>'2025 Bean Description'!G21</f>
        <v>0</v>
      </c>
    </row>
    <row r="21">
      <c r="A21" s="44" t="s">
        <v>175</v>
      </c>
      <c r="B21" s="43">
        <f>'2025 Bean Description'!H12</f>
        <v>1</v>
      </c>
      <c r="C21" s="43">
        <f>'2025 Bean Description'!H13</f>
        <v>2</v>
      </c>
      <c r="D21" s="43"/>
      <c r="E21" s="43">
        <f>'2025 Bean Description'!H14</f>
        <v>0</v>
      </c>
      <c r="F21" s="43">
        <f>'2025 Bean Description'!H15</f>
        <v>0</v>
      </c>
      <c r="G21" s="43"/>
      <c r="H21" s="43">
        <f>'2025 Bean Description'!H16</f>
        <v>0</v>
      </c>
      <c r="I21" s="43">
        <f>'2025 Bean Description'!H17</f>
        <v>2</v>
      </c>
      <c r="J21" s="43"/>
      <c r="K21" s="43">
        <f>'2025 Bean Description'!H18</f>
        <v>3</v>
      </c>
      <c r="L21" s="43">
        <f>'2025 Bean Description'!H19</f>
        <v>1</v>
      </c>
      <c r="M21" s="43"/>
      <c r="N21" s="43">
        <f>'2025 Bean Description'!H20</f>
        <v>1</v>
      </c>
      <c r="O21" s="43">
        <f>'2025 Bean Description'!H21</f>
        <v>3</v>
      </c>
    </row>
    <row r="22">
      <c r="A22" s="44" t="s">
        <v>176</v>
      </c>
      <c r="B22" s="48">
        <f>'2025 Bean Description'!I12</f>
        <v>1</v>
      </c>
      <c r="C22" s="48">
        <f>'2025 Bean Description'!I13</f>
        <v>2</v>
      </c>
      <c r="D22" s="43"/>
      <c r="E22" s="43">
        <f>'2025 Bean Description'!I14</f>
        <v>1</v>
      </c>
      <c r="F22" s="43">
        <f>'2025 Bean Description'!I15</f>
        <v>1</v>
      </c>
      <c r="G22" s="43"/>
      <c r="H22" s="48">
        <f>'2025 Bean Description'!I16</f>
        <v>0</v>
      </c>
      <c r="I22" s="48">
        <f>'2025 Bean Description'!I17</f>
        <v>0</v>
      </c>
      <c r="J22" s="43"/>
      <c r="K22" s="43">
        <f>'2025 Bean Description'!I18</f>
        <v>0</v>
      </c>
      <c r="L22" s="43">
        <f>'2025 Bean Description'!I19</f>
        <v>0</v>
      </c>
      <c r="M22" s="43"/>
      <c r="N22" s="48">
        <f>'2025 Bean Description'!I20</f>
        <v>0</v>
      </c>
      <c r="O22" s="48">
        <f>'2025 Bean Description'!I21</f>
        <v>2</v>
      </c>
    </row>
    <row r="23">
      <c r="A23" s="44" t="s">
        <v>177</v>
      </c>
      <c r="B23" s="43">
        <f>'2025 Bean Description'!J12</f>
        <v>0</v>
      </c>
      <c r="C23" s="50">
        <f>'2025 Bean Description'!J13</f>
        <v>2</v>
      </c>
      <c r="D23" s="43"/>
      <c r="E23" s="43">
        <f>'2025 Bean Description'!J14</f>
        <v>1</v>
      </c>
      <c r="F23" s="43">
        <f>'2025 Bean Description'!J15</f>
        <v>2</v>
      </c>
      <c r="G23" s="43"/>
      <c r="H23" s="43">
        <f>'2025 Bean Description'!J16</f>
        <v>1</v>
      </c>
      <c r="I23" s="50">
        <f>'2025 Bean Description'!J17</f>
        <v>0</v>
      </c>
      <c r="J23" s="43"/>
      <c r="K23" s="43">
        <f>'2025 Bean Description'!J18</f>
        <v>0</v>
      </c>
      <c r="L23" s="49">
        <f>'2025 Bean Description'!J19</f>
        <v>1</v>
      </c>
      <c r="M23" s="43"/>
      <c r="N23" s="43">
        <f>'2025 Bean Description'!J20</f>
        <v>0</v>
      </c>
      <c r="O23" s="50">
        <f>'2025 Bean Description'!J21</f>
        <v>2</v>
      </c>
    </row>
    <row r="24">
      <c r="A24" s="44" t="s">
        <v>178</v>
      </c>
      <c r="B24" s="43">
        <f>'2025 Bean Description'!K12</f>
        <v>1</v>
      </c>
      <c r="C24" s="50">
        <f>'2025 Bean Description'!K13</f>
        <v>3</v>
      </c>
      <c r="D24" s="43"/>
      <c r="E24" s="43">
        <f>'2025 Bean Description'!K14</f>
        <v>2</v>
      </c>
      <c r="F24" s="43">
        <f>'2025 Bean Description'!K15</f>
        <v>1</v>
      </c>
      <c r="G24" s="43"/>
      <c r="H24" s="43">
        <f>'2025 Bean Description'!K16</f>
        <v>0</v>
      </c>
      <c r="I24" s="50">
        <f>'2025 Bean Description'!K17</f>
        <v>0</v>
      </c>
      <c r="J24" s="43"/>
      <c r="K24" s="43">
        <f>'2025 Bean Description'!K18</f>
        <v>1</v>
      </c>
      <c r="L24" s="49">
        <f>'2025 Bean Description'!K19</f>
        <v>1</v>
      </c>
      <c r="M24" s="43"/>
      <c r="N24" s="43">
        <f>'2025 Bean Description'!K20</f>
        <v>0</v>
      </c>
      <c r="O24" s="50">
        <f>'2025 Bean Description'!K21</f>
        <v>0</v>
      </c>
    </row>
    <row r="25">
      <c r="A25" s="44" t="s">
        <v>179</v>
      </c>
      <c r="B25" s="43">
        <f>'2025 Bean Description'!L12</f>
        <v>0</v>
      </c>
      <c r="C25" s="50">
        <f>'2025 Bean Description'!L13</f>
        <v>0</v>
      </c>
      <c r="D25" s="43"/>
      <c r="E25" s="43">
        <f>'2025 Bean Description'!L14</f>
        <v>0</v>
      </c>
      <c r="F25" s="43">
        <f>'2025 Bean Description'!L15</f>
        <v>1</v>
      </c>
      <c r="G25" s="43"/>
      <c r="H25" s="43">
        <f>'2025 Bean Description'!L16</f>
        <v>0</v>
      </c>
      <c r="I25" s="50">
        <f>'2025 Bean Description'!L17</f>
        <v>0</v>
      </c>
      <c r="J25" s="43"/>
      <c r="K25" s="43">
        <f>'2025 Bean Description'!L18</f>
        <v>0</v>
      </c>
      <c r="L25" s="49">
        <f>'2025 Bean Description'!L19</f>
        <v>0</v>
      </c>
      <c r="M25" s="43"/>
      <c r="N25" s="43">
        <f>'2025 Bean Description'!L20</f>
        <v>0</v>
      </c>
      <c r="O25" s="50">
        <f>'2025 Bean Description'!L21</f>
        <v>0</v>
      </c>
    </row>
    <row r="26">
      <c r="A26" s="44" t="s">
        <v>180</v>
      </c>
      <c r="B26" s="43">
        <f>'2025 Bean Description'!M12</f>
        <v>0</v>
      </c>
      <c r="C26" s="50">
        <f>'2025 Bean Description'!M13</f>
        <v>0</v>
      </c>
      <c r="D26" s="43"/>
      <c r="E26" s="43">
        <f>'2025 Bean Description'!M14</f>
        <v>0</v>
      </c>
      <c r="F26" s="43">
        <f>'2025 Bean Description'!M15</f>
        <v>1</v>
      </c>
      <c r="G26" s="43"/>
      <c r="H26" s="43">
        <f>'2025 Bean Description'!M16</f>
        <v>0</v>
      </c>
      <c r="I26" s="50">
        <f>'2025 Bean Description'!M17</f>
        <v>2</v>
      </c>
      <c r="J26" s="43"/>
      <c r="K26" s="43">
        <f>'2025 Bean Description'!M18</f>
        <v>1</v>
      </c>
      <c r="L26" s="49">
        <f>'2025 Bean Description'!M19</f>
        <v>0</v>
      </c>
      <c r="M26" s="43"/>
      <c r="N26" s="43">
        <f>'2025 Bean Description'!M20</f>
        <v>0</v>
      </c>
      <c r="O26" s="50">
        <f>'2025 Bean Description'!M21</f>
        <v>0</v>
      </c>
    </row>
    <row r="27">
      <c r="A27" s="44" t="s">
        <v>181</v>
      </c>
      <c r="B27" s="43">
        <f>'2025 Bean Description'!N12</f>
        <v>0</v>
      </c>
      <c r="C27" s="50">
        <f>'2025 Bean Description'!N13</f>
        <v>0</v>
      </c>
      <c r="D27" s="43"/>
      <c r="E27" s="43">
        <f>'2025 Bean Description'!N14</f>
        <v>0</v>
      </c>
      <c r="F27" s="43">
        <f>'2025 Bean Description'!N15</f>
        <v>1</v>
      </c>
      <c r="G27" s="43"/>
      <c r="H27" s="43">
        <f>'2025 Bean Description'!N16</f>
        <v>0</v>
      </c>
      <c r="I27" s="50">
        <f>'2025 Bean Description'!N17</f>
        <v>0</v>
      </c>
      <c r="J27" s="43"/>
      <c r="K27" s="43">
        <f>'2025 Bean Description'!N18</f>
        <v>0</v>
      </c>
      <c r="L27" s="49">
        <f>'2025 Bean Description'!N19</f>
        <v>0</v>
      </c>
      <c r="M27" s="43"/>
      <c r="N27" s="43">
        <f>'2025 Bean Description'!N20</f>
        <v>0</v>
      </c>
      <c r="O27" s="50">
        <f>'2025 Bean Description'!N21</f>
        <v>0</v>
      </c>
    </row>
    <row r="28">
      <c r="A28" s="44" t="s">
        <v>182</v>
      </c>
      <c r="B28" s="43">
        <f>'2025 Bean Description'!O12</f>
        <v>0</v>
      </c>
      <c r="C28" s="50">
        <f>'2025 Bean Description'!O13</f>
        <v>0</v>
      </c>
      <c r="D28" s="43"/>
      <c r="E28" s="43">
        <f>'2025 Bean Description'!O14</f>
        <v>1</v>
      </c>
      <c r="F28" s="43">
        <f>'2025 Bean Description'!O15</f>
        <v>0</v>
      </c>
      <c r="G28" s="43"/>
      <c r="H28" s="43">
        <f>'2025 Bean Description'!O16</f>
        <v>0</v>
      </c>
      <c r="I28" s="50">
        <f>'2025 Bean Description'!O17</f>
        <v>0</v>
      </c>
      <c r="J28" s="43"/>
      <c r="K28" s="43">
        <f>'2025 Bean Description'!O18</f>
        <v>0</v>
      </c>
      <c r="L28" s="49">
        <f>'2025 Bean Description'!O19</f>
        <v>0</v>
      </c>
      <c r="M28" s="43"/>
      <c r="N28" s="43">
        <f>'2025 Bean Description'!O20</f>
        <v>0</v>
      </c>
      <c r="O28" s="50">
        <f>'2025 Bean Description'!O21</f>
        <v>0</v>
      </c>
    </row>
    <row r="29">
      <c r="A29" s="44" t="s">
        <v>183</v>
      </c>
      <c r="B29" s="43">
        <f>'2025 Bean Description'!P12</f>
        <v>0</v>
      </c>
      <c r="C29" s="50">
        <f>'2025 Bean Description'!P13</f>
        <v>1</v>
      </c>
      <c r="D29" s="43"/>
      <c r="E29" s="43">
        <f>'2025 Bean Description'!P14</f>
        <v>0</v>
      </c>
      <c r="F29" s="43">
        <f>'2025 Bean Description'!P15</f>
        <v>0</v>
      </c>
      <c r="G29" s="43"/>
      <c r="H29" s="43">
        <f>'2025 Bean Description'!P16</f>
        <v>1</v>
      </c>
      <c r="I29" s="50">
        <f>'2025 Bean Description'!P17</f>
        <v>0</v>
      </c>
      <c r="J29" s="43"/>
      <c r="K29" s="43">
        <f>'2025 Bean Description'!P18</f>
        <v>0</v>
      </c>
      <c r="L29" s="49">
        <f>'2025 Bean Description'!P19</f>
        <v>1</v>
      </c>
      <c r="M29" s="43"/>
      <c r="N29" s="43">
        <f>'2025 Bean Description'!P20</f>
        <v>0</v>
      </c>
      <c r="O29" s="50">
        <f>'2025 Bean Description'!P21</f>
        <v>1</v>
      </c>
    </row>
    <row r="30">
      <c r="A30" s="44" t="s">
        <v>184</v>
      </c>
      <c r="B30" s="43">
        <f>'2025 Bean Description'!Q12</f>
        <v>1</v>
      </c>
      <c r="C30" s="50">
        <f>'2025 Bean Description'!Q13</f>
        <v>1</v>
      </c>
      <c r="D30" s="43"/>
      <c r="E30" s="43">
        <f>'2025 Bean Description'!Q14</f>
        <v>1</v>
      </c>
      <c r="F30" s="43">
        <f>'2025 Bean Description'!Q15</f>
        <v>0</v>
      </c>
      <c r="G30" s="43"/>
      <c r="H30" s="43">
        <f>'2025 Bean Description'!Q16</f>
        <v>0</v>
      </c>
      <c r="I30" s="50">
        <f>'2025 Bean Description'!Q17</f>
        <v>0</v>
      </c>
      <c r="J30" s="43"/>
      <c r="K30" s="43">
        <f>'2025 Bean Description'!Q18</f>
        <v>0</v>
      </c>
      <c r="L30" s="49">
        <f>'2025 Bean Description'!Q19</f>
        <v>1</v>
      </c>
      <c r="M30" s="43"/>
      <c r="N30" s="43">
        <f>'2025 Bean Description'!Q20</f>
        <v>0</v>
      </c>
      <c r="O30" s="50">
        <f>'2025 Bean Description'!Q21</f>
        <v>0</v>
      </c>
    </row>
    <row r="31">
      <c r="A31" s="44" t="s">
        <v>185</v>
      </c>
      <c r="B31" s="43">
        <f>'2025 Bean Description'!R12</f>
        <v>0</v>
      </c>
      <c r="C31" s="50">
        <f>'2025 Bean Description'!R13</f>
        <v>2</v>
      </c>
      <c r="D31" s="43"/>
      <c r="E31" s="43">
        <f>'2025 Bean Description'!R14</f>
        <v>2</v>
      </c>
      <c r="F31" s="43">
        <f>'2025 Bean Description'!R15</f>
        <v>0</v>
      </c>
      <c r="G31" s="43"/>
      <c r="H31" s="43">
        <f>'2025 Bean Description'!R16</f>
        <v>2</v>
      </c>
      <c r="I31" s="50">
        <f>'2025 Bean Description'!R17</f>
        <v>3</v>
      </c>
      <c r="J31" s="43"/>
      <c r="K31" s="43">
        <f>'2025 Bean Description'!R18</f>
        <v>1</v>
      </c>
      <c r="L31" s="49">
        <f>'2025 Bean Description'!R19</f>
        <v>3</v>
      </c>
      <c r="M31" s="43"/>
      <c r="N31" s="43">
        <f>'2025 Bean Description'!R20</f>
        <v>0</v>
      </c>
      <c r="O31" s="50">
        <f>'2025 Bean Description'!R21</f>
        <v>0</v>
      </c>
    </row>
    <row r="32">
      <c r="A32" s="43"/>
      <c r="B32" s="43"/>
      <c r="C32" s="50"/>
      <c r="D32" s="43"/>
      <c r="E32" s="43"/>
      <c r="F32" s="43"/>
      <c r="G32" s="52"/>
      <c r="H32" s="52"/>
      <c r="I32" s="42"/>
      <c r="J32" s="52"/>
      <c r="K32" s="52"/>
      <c r="L32" s="52"/>
      <c r="M32" s="52"/>
      <c r="N32" s="52"/>
      <c r="O32" s="42"/>
    </row>
    <row r="33">
      <c r="A33" s="43"/>
      <c r="B33" s="44" t="str">
        <f>'2025 Bean Description'!C27</f>
        <v>7th-Curr</v>
      </c>
      <c r="C33" s="43"/>
      <c r="D33" s="43"/>
      <c r="E33" s="45" t="str">
        <f>'2025 Bean Description'!C29</f>
        <v>7th-Curr</v>
      </c>
      <c r="F33" s="43"/>
      <c r="G33" s="43"/>
      <c r="H33" s="45" t="str">
        <f>'2025 Bean Description'!C26</f>
        <v>7th-Curr</v>
      </c>
      <c r="I33" s="43"/>
      <c r="J33" s="43"/>
      <c r="K33" s="45" t="str">
        <f>'2025 Bean Description'!C28</f>
        <v>7th-Curr</v>
      </c>
      <c r="L33" s="43"/>
      <c r="M33" s="43"/>
      <c r="N33" s="45" t="str">
        <f>'2025 Bean Description'!C35</f>
        <v>?</v>
      </c>
      <c r="O33" s="52"/>
    </row>
    <row r="34">
      <c r="A34" s="46"/>
      <c r="B34" s="47" t="str">
        <f>'2025 Bean Description'!A22</f>
        <v>Chocolate Pudding</v>
      </c>
      <c r="C34" s="47" t="str">
        <f>'2025 Bean Description'!A23</f>
        <v>Dog Food</v>
      </c>
      <c r="D34" s="46"/>
      <c r="E34" s="47" t="str">
        <f>'2025 Bean Description'!A24</f>
        <v>Coconut</v>
      </c>
      <c r="F34" s="47" t="str">
        <f>'2025 Bean Description'!A25</f>
        <v>Spoiled Milk</v>
      </c>
      <c r="G34" s="46"/>
      <c r="H34" s="47" t="str">
        <f>'2025 Bean Description'!A26</f>
        <v>Top Banana</v>
      </c>
      <c r="I34" s="47" t="str">
        <f>'2025 Bean Description'!A27</f>
        <v>Wet Dog</v>
      </c>
      <c r="J34" s="46"/>
      <c r="K34" s="47" t="str">
        <f>'2025 Bean Description'!A28</f>
        <v>Licorice</v>
      </c>
      <c r="L34" s="47" t="str">
        <f>'2025 Bean Description'!A29</f>
        <v>Burnt Rubber</v>
      </c>
      <c r="M34" s="53"/>
      <c r="N34" s="47" t="str">
        <f>'2025 Bean Description'!A35</f>
        <v>Mystery Bean (Good)</v>
      </c>
      <c r="O34" s="47" t="str">
        <f>'2025 Bean Description'!A36</f>
        <v>Mystery Bean (Bad)</v>
      </c>
    </row>
    <row r="35">
      <c r="A35" s="44" t="s">
        <v>174</v>
      </c>
      <c r="B35" s="54">
        <f>'2025 Bean Description'!G22</f>
        <v>0</v>
      </c>
      <c r="C35" s="54">
        <f>'2025 Bean Description'!G23</f>
        <v>0</v>
      </c>
      <c r="D35" s="43"/>
      <c r="E35" s="54">
        <f>'2025 Bean Description'!G24</f>
        <v>0</v>
      </c>
      <c r="F35" s="54">
        <f>'2025 Bean Description'!G25</f>
        <v>0</v>
      </c>
      <c r="G35" s="53"/>
      <c r="H35" s="54">
        <f>'2025 Bean Description'!G26</f>
        <v>0</v>
      </c>
      <c r="I35" s="54">
        <f>'2025 Bean Description'!G27</f>
        <v>0</v>
      </c>
      <c r="J35" s="53"/>
      <c r="K35" s="54">
        <f>'2025 Bean Description'!G28</f>
        <v>0</v>
      </c>
      <c r="L35" s="55">
        <f>'2025 Bean Description'!G29</f>
        <v>0</v>
      </c>
      <c r="M35" s="53"/>
      <c r="N35" s="54">
        <f>'2025 Bean Description'!G35</f>
        <v>0</v>
      </c>
      <c r="O35" s="54">
        <f>'2025 Bean Description'!G36</f>
        <v>0</v>
      </c>
    </row>
    <row r="36">
      <c r="A36" s="44" t="s">
        <v>175</v>
      </c>
      <c r="B36" s="49">
        <f>'2025 Bean Description'!H22</f>
        <v>0</v>
      </c>
      <c r="C36" s="43">
        <f>'2025 Bean Description'!H23</f>
        <v>0</v>
      </c>
      <c r="D36" s="43"/>
      <c r="E36" s="43">
        <f>'2025 Bean Description'!H24</f>
        <v>0</v>
      </c>
      <c r="F36" s="43">
        <f>'2025 Bean Description'!H25</f>
        <v>0</v>
      </c>
      <c r="G36" s="52"/>
      <c r="H36" s="43">
        <f>'2025 Bean Description'!H26</f>
        <v>0</v>
      </c>
      <c r="I36" s="54">
        <f>'2025 Bean Description'!H27</f>
        <v>0</v>
      </c>
      <c r="J36" s="52"/>
      <c r="K36" s="43">
        <f>'2025 Bean Description'!H28</f>
        <v>0</v>
      </c>
      <c r="L36" s="54">
        <f>'2025 Bean Description'!H29</f>
        <v>0</v>
      </c>
      <c r="M36" s="52"/>
      <c r="N36" s="43">
        <f>'2025 Bean Description'!H35</f>
        <v>0</v>
      </c>
      <c r="O36" s="43">
        <f>'2025 Bean Description'!H36</f>
        <v>0</v>
      </c>
    </row>
    <row r="37">
      <c r="A37" s="44" t="s">
        <v>176</v>
      </c>
      <c r="B37" s="48">
        <f>'2025 Bean Description'!I22</f>
        <v>0</v>
      </c>
      <c r="C37" s="48">
        <f>'2025 Bean Description'!I23</f>
        <v>0</v>
      </c>
      <c r="D37" s="43"/>
      <c r="E37" s="48">
        <f>'2025 Bean Description'!I24</f>
        <v>0</v>
      </c>
      <c r="F37" s="48">
        <f>'2025 Bean Description'!I25</f>
        <v>0</v>
      </c>
      <c r="G37" s="52"/>
      <c r="H37" s="48">
        <f>'2025 Bean Description'!I26</f>
        <v>0</v>
      </c>
      <c r="I37" s="43">
        <f>'2025 Bean Description'!I27</f>
        <v>0</v>
      </c>
      <c r="J37" s="52"/>
      <c r="K37" s="48">
        <f>'2025 Bean Description'!I28</f>
        <v>0</v>
      </c>
      <c r="L37" s="43">
        <f>'2025 Bean Description'!I29</f>
        <v>0</v>
      </c>
      <c r="M37" s="52"/>
      <c r="N37" s="48">
        <f>'2025 Bean Description'!I35</f>
        <v>0</v>
      </c>
      <c r="O37" s="48">
        <f>'2025 Bean Description'!I36</f>
        <v>0</v>
      </c>
    </row>
    <row r="38">
      <c r="A38" s="44" t="s">
        <v>177</v>
      </c>
      <c r="B38" s="43">
        <f>'2025 Bean Description'!J22</f>
        <v>0</v>
      </c>
      <c r="C38" s="50">
        <f>'2025 Bean Description'!J23</f>
        <v>0</v>
      </c>
      <c r="D38" s="43"/>
      <c r="E38" s="50">
        <f>'2025 Bean Description'!J24</f>
        <v>0</v>
      </c>
      <c r="F38" s="43">
        <f>'2025 Bean Description'!J25</f>
        <v>0</v>
      </c>
      <c r="G38" s="52"/>
      <c r="H38" s="50">
        <f>'2025 Bean Description'!J26</f>
        <v>0</v>
      </c>
      <c r="I38" s="48">
        <f>'2025 Bean Description'!J27</f>
        <v>1</v>
      </c>
      <c r="J38" s="52"/>
      <c r="K38" s="56">
        <f>'2025 Bean Description'!J28</f>
        <v>1</v>
      </c>
      <c r="L38" s="48">
        <f>'2025 Bean Description'!J29</f>
        <v>1</v>
      </c>
      <c r="M38" s="52"/>
      <c r="N38" s="49">
        <f>'2025 Bean Description'!J35</f>
        <v>0</v>
      </c>
      <c r="O38" s="49">
        <f>'2025 Bean Description'!J36</f>
        <v>0</v>
      </c>
    </row>
    <row r="39">
      <c r="A39" s="44" t="s">
        <v>178</v>
      </c>
      <c r="B39" s="57">
        <f>'2025 Bean Description'!K22</f>
        <v>0</v>
      </c>
      <c r="C39" s="57">
        <f>'2025 Bean Description'!K23</f>
        <v>0</v>
      </c>
      <c r="D39" s="57"/>
      <c r="E39" s="57">
        <f>'2025 Bean Description'!K24</f>
        <v>0</v>
      </c>
      <c r="F39" s="58">
        <f>'2025 Bean Description'!K25</f>
        <v>0</v>
      </c>
      <c r="G39" s="57"/>
      <c r="H39" s="57">
        <f>'2025 Bean Description'!K26</f>
        <v>0</v>
      </c>
      <c r="I39" s="50">
        <f>'2025 Bean Description'!K27</f>
        <v>0</v>
      </c>
      <c r="J39" s="52"/>
      <c r="K39" s="55">
        <f>'2025 Bean Description'!K28</f>
        <v>0</v>
      </c>
      <c r="L39" s="56">
        <f>'2025 Bean Description'!K29</f>
        <v>0</v>
      </c>
      <c r="M39" s="52"/>
      <c r="N39" s="49">
        <f>'2025 Bean Description'!K35</f>
        <v>0</v>
      </c>
      <c r="O39" s="57">
        <f>'2025 Bean Description'!K36</f>
        <v>0</v>
      </c>
    </row>
    <row r="40">
      <c r="A40" s="44" t="s">
        <v>179</v>
      </c>
      <c r="B40" s="57">
        <f>'2025 Bean Description'!L22</f>
        <v>0</v>
      </c>
      <c r="C40" s="57">
        <f>'2025 Bean Description'!L23</f>
        <v>0</v>
      </c>
      <c r="D40" s="57"/>
      <c r="E40" s="57">
        <f>'2025 Bean Description'!L24</f>
        <v>0</v>
      </c>
      <c r="F40" s="58">
        <f>'2025 Bean Description'!L25</f>
        <v>0</v>
      </c>
      <c r="G40" s="57"/>
      <c r="H40" s="57">
        <f>'2025 Bean Description'!L26</f>
        <v>0</v>
      </c>
      <c r="I40" s="57">
        <f>'2025 Bean Description'!L27</f>
        <v>0</v>
      </c>
      <c r="J40" s="52"/>
      <c r="K40" s="55">
        <f>'2025 Bean Description'!L28</f>
        <v>0</v>
      </c>
      <c r="L40" s="55">
        <f>'2025 Bean Description'!L29</f>
        <v>0</v>
      </c>
      <c r="M40" s="52"/>
      <c r="N40" s="49">
        <f>'2025 Bean Description'!L35</f>
        <v>0</v>
      </c>
      <c r="O40" s="59">
        <f>'2025 Bean Description'!L36</f>
        <v>0</v>
      </c>
    </row>
    <row r="41">
      <c r="A41" s="44" t="s">
        <v>180</v>
      </c>
      <c r="B41" s="57">
        <f>'2025 Bean Description'!M22</f>
        <v>0</v>
      </c>
      <c r="C41" s="57">
        <f>'2025 Bean Description'!M23</f>
        <v>0</v>
      </c>
      <c r="D41" s="57"/>
      <c r="E41" s="57">
        <f>'2025 Bean Description'!M24</f>
        <v>0</v>
      </c>
      <c r="F41" s="58">
        <f>'2025 Bean Description'!M25</f>
        <v>0</v>
      </c>
      <c r="G41" s="57"/>
      <c r="H41" s="57">
        <f>'2025 Bean Description'!M26</f>
        <v>0</v>
      </c>
      <c r="I41" s="57">
        <f>'2025 Bean Description'!M27</f>
        <v>0</v>
      </c>
      <c r="J41" s="52"/>
      <c r="K41" s="55">
        <f>'2025 Bean Description'!M28</f>
        <v>0</v>
      </c>
      <c r="L41" s="55">
        <f>'2025 Bean Description'!M29</f>
        <v>0</v>
      </c>
      <c r="M41" s="52"/>
      <c r="N41" s="49">
        <f>'2025 Bean Description'!M35</f>
        <v>0</v>
      </c>
      <c r="O41" s="59">
        <f>'2025 Bean Description'!M36</f>
        <v>0</v>
      </c>
    </row>
    <row r="42">
      <c r="A42" s="44" t="s">
        <v>181</v>
      </c>
      <c r="B42" s="57">
        <f>'2025 Bean Description'!N22</f>
        <v>0</v>
      </c>
      <c r="C42" s="57">
        <f>'2025 Bean Description'!N23</f>
        <v>0</v>
      </c>
      <c r="D42" s="57"/>
      <c r="E42" s="57">
        <f>'2025 Bean Description'!N24</f>
        <v>0</v>
      </c>
      <c r="F42" s="58">
        <f>'2025 Bean Description'!N25</f>
        <v>0</v>
      </c>
      <c r="G42" s="57"/>
      <c r="H42" s="57">
        <f>'2025 Bean Description'!N26</f>
        <v>0</v>
      </c>
      <c r="I42" s="57">
        <f>'2025 Bean Description'!N27</f>
        <v>0</v>
      </c>
      <c r="J42" s="52"/>
      <c r="K42" s="55">
        <f>'2025 Bean Description'!N28</f>
        <v>0</v>
      </c>
      <c r="L42" s="55">
        <f>'2025 Bean Description'!N29</f>
        <v>0</v>
      </c>
      <c r="M42" s="52"/>
      <c r="N42" s="49">
        <f>'2025 Bean Description'!N35</f>
        <v>0</v>
      </c>
      <c r="O42" s="59">
        <f>'2025 Bean Description'!N36</f>
        <v>0</v>
      </c>
    </row>
    <row r="43">
      <c r="A43" s="44" t="s">
        <v>182</v>
      </c>
      <c r="B43" s="57">
        <f>'2025 Bean Description'!O22</f>
        <v>0</v>
      </c>
      <c r="C43" s="57">
        <f>'2025 Bean Description'!O23</f>
        <v>0</v>
      </c>
      <c r="D43" s="57"/>
      <c r="E43" s="57">
        <f>'2025 Bean Description'!O24</f>
        <v>0</v>
      </c>
      <c r="F43" s="58">
        <f>'2025 Bean Description'!O25</f>
        <v>0</v>
      </c>
      <c r="G43" s="57"/>
      <c r="H43" s="57">
        <f>'2025 Bean Description'!O26</f>
        <v>0</v>
      </c>
      <c r="I43" s="57">
        <f>'2025 Bean Description'!O27</f>
        <v>0</v>
      </c>
      <c r="J43" s="52"/>
      <c r="K43" s="55">
        <f>'2025 Bean Description'!O28</f>
        <v>0</v>
      </c>
      <c r="L43" s="55">
        <f>'2025 Bean Description'!O29</f>
        <v>0</v>
      </c>
      <c r="M43" s="52"/>
      <c r="N43" s="49">
        <f>'2025 Bean Description'!O35</f>
        <v>0</v>
      </c>
      <c r="O43" s="59">
        <f>'2025 Bean Description'!O36</f>
        <v>0</v>
      </c>
    </row>
    <row r="44">
      <c r="A44" s="60" t="s">
        <v>183</v>
      </c>
      <c r="B44" s="61">
        <f>'2025 Bean Description'!P22</f>
        <v>0</v>
      </c>
      <c r="C44" s="61">
        <f>'2025 Bean Description'!P23</f>
        <v>0</v>
      </c>
      <c r="D44" s="62"/>
      <c r="E44" s="61">
        <f>'2025 Bean Description'!P24</f>
        <v>0</v>
      </c>
      <c r="F44" s="61">
        <f>'2025 Bean Description'!P25</f>
        <v>0</v>
      </c>
      <c r="G44" s="62"/>
      <c r="H44" s="61">
        <f>'2025 Bean Description'!P26</f>
        <v>0</v>
      </c>
      <c r="I44" s="57">
        <f>'2025 Bean Description'!P27</f>
        <v>0</v>
      </c>
      <c r="J44" s="62"/>
      <c r="K44" s="55">
        <f>'2025 Bean Description'!P28</f>
        <v>0</v>
      </c>
      <c r="L44" s="55">
        <f>'2025 Bean Description'!P29</f>
        <v>0</v>
      </c>
      <c r="M44" s="62"/>
      <c r="N44" s="61">
        <f>'2025 Bean Description'!P35</f>
        <v>0</v>
      </c>
      <c r="O44" s="61">
        <f>'2025 Bean Description'!P36</f>
        <v>0</v>
      </c>
      <c r="P44" s="63"/>
      <c r="Q44" s="64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</row>
    <row r="45">
      <c r="A45" s="60" t="s">
        <v>184</v>
      </c>
      <c r="B45" s="61">
        <f>'2025 Bean Description'!Q22</f>
        <v>0</v>
      </c>
      <c r="C45" s="61">
        <f>'2025 Bean Description'!Q23</f>
        <v>0</v>
      </c>
      <c r="D45" s="62"/>
      <c r="E45" s="61">
        <f>'2025 Bean Description'!Q24</f>
        <v>0</v>
      </c>
      <c r="F45" s="61">
        <f>'2025 Bean Description'!Q25</f>
        <v>0</v>
      </c>
      <c r="G45" s="62"/>
      <c r="H45" s="61">
        <f>'2025 Bean Description'!Q26</f>
        <v>0</v>
      </c>
      <c r="I45" s="61">
        <f>'2025 Bean Description'!Q27</f>
        <v>0</v>
      </c>
      <c r="J45" s="62"/>
      <c r="K45" s="55">
        <f>'2025 Bean Description'!Q28</f>
        <v>0</v>
      </c>
      <c r="L45" s="55">
        <f>'2025 Bean Description'!Q29</f>
        <v>0</v>
      </c>
      <c r="M45" s="62"/>
      <c r="N45" s="61">
        <f>'2025 Bean Description'!Q35</f>
        <v>0</v>
      </c>
      <c r="O45" s="61">
        <f>'2025 Bean Description'!Q36</f>
        <v>0</v>
      </c>
      <c r="P45" s="63"/>
      <c r="Q45" s="64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</row>
    <row r="46">
      <c r="A46" s="60" t="s">
        <v>185</v>
      </c>
      <c r="B46" s="61">
        <f>'2025 Bean Description'!R22</f>
        <v>0</v>
      </c>
      <c r="C46" s="61">
        <f>'2025 Bean Description'!R23</f>
        <v>0</v>
      </c>
      <c r="D46" s="62"/>
      <c r="E46" s="61">
        <f>'2025 Bean Description'!R24</f>
        <v>0</v>
      </c>
      <c r="F46" s="61">
        <f>'2025 Bean Description'!R25</f>
        <v>0</v>
      </c>
      <c r="G46" s="62"/>
      <c r="H46" s="61">
        <f>'2025 Bean Description'!R26</f>
        <v>1</v>
      </c>
      <c r="I46" s="61">
        <f>'2025 Bean Description'!R27</f>
        <v>2</v>
      </c>
      <c r="J46" s="62"/>
      <c r="K46" s="55">
        <f>'2025 Bean Description'!R28</f>
        <v>1</v>
      </c>
      <c r="L46" s="55">
        <f>'2025 Bean Description'!R29</f>
        <v>3</v>
      </c>
      <c r="M46" s="62"/>
      <c r="N46" s="61">
        <f>'2025 Bean Description'!R35</f>
        <v>0</v>
      </c>
      <c r="O46" s="61">
        <f>'2025 Bean Description'!R36</f>
        <v>0</v>
      </c>
      <c r="P46" s="63"/>
      <c r="Q46" s="64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</row>
    <row r="47">
      <c r="G47" s="52"/>
      <c r="I47" s="52"/>
      <c r="J47" s="52"/>
      <c r="L47" s="52"/>
      <c r="M47" s="52"/>
      <c r="N47" s="52"/>
      <c r="O47" s="52"/>
    </row>
    <row r="48">
      <c r="A48" s="43"/>
      <c r="B48" s="47" t="s">
        <v>137</v>
      </c>
      <c r="C48" s="47" t="s">
        <v>139</v>
      </c>
      <c r="D48" s="47" t="s">
        <v>140</v>
      </c>
      <c r="E48" s="47" t="s">
        <v>141</v>
      </c>
      <c r="F48" s="47" t="s">
        <v>145</v>
      </c>
      <c r="G48" s="52"/>
      <c r="I48" s="52"/>
      <c r="J48" s="52"/>
      <c r="L48" s="52"/>
      <c r="M48" s="52"/>
      <c r="N48" s="52"/>
      <c r="O48" s="52"/>
    </row>
    <row r="49">
      <c r="A49" s="44" t="s">
        <v>174</v>
      </c>
      <c r="B49" s="43">
        <f>'2024 Bean Description'!G2</f>
        <v>0</v>
      </c>
      <c r="C49" s="43">
        <f>'2024 Bean Description'!G31</f>
        <v>0</v>
      </c>
      <c r="D49" s="43">
        <f>'2024 Bean Description'!G32</f>
        <v>0</v>
      </c>
      <c r="E49" s="43">
        <f>'2024 Bean Description'!G33</f>
        <v>0</v>
      </c>
      <c r="F49" s="48">
        <f>'2024 Bean Description'!G34</f>
        <v>0</v>
      </c>
      <c r="G49" s="52"/>
      <c r="I49" s="65" t="s">
        <v>209</v>
      </c>
      <c r="J49" s="65" t="s">
        <v>210</v>
      </c>
      <c r="L49" s="52"/>
      <c r="M49" s="52"/>
      <c r="N49" s="52"/>
      <c r="O49" s="52"/>
    </row>
    <row r="50">
      <c r="A50" s="44" t="s">
        <v>175</v>
      </c>
      <c r="B50" s="43">
        <f>'2024 Bean Description'!H30</f>
        <v>0</v>
      </c>
      <c r="C50" s="43">
        <f>'2024 Bean Description'!H31</f>
        <v>0</v>
      </c>
      <c r="D50" s="43">
        <f>'2024 Bean Description'!H32</f>
        <v>0</v>
      </c>
      <c r="E50" s="43">
        <f>'2024 Bean Description'!H33</f>
        <v>0</v>
      </c>
      <c r="F50" s="43">
        <f>'2024 Bean Description'!H34</f>
        <v>0</v>
      </c>
      <c r="G50" s="52"/>
      <c r="I50" s="62"/>
      <c r="J50" s="66" t="s">
        <v>211</v>
      </c>
    </row>
    <row r="51">
      <c r="A51" s="44" t="s">
        <v>176</v>
      </c>
      <c r="B51" s="43">
        <f>'2024 Bean Description'!I30</f>
        <v>0</v>
      </c>
      <c r="C51" s="43">
        <f>'2024 Bean Description'!I31</f>
        <v>0</v>
      </c>
      <c r="D51" s="43">
        <f>'2024 Bean Description'!I32</f>
        <v>0</v>
      </c>
      <c r="E51" s="43">
        <f>'2024 Bean Description'!I33</f>
        <v>0</v>
      </c>
      <c r="F51" s="48">
        <f>'2024 Bean Description'!I34</f>
        <v>0</v>
      </c>
    </row>
    <row r="52">
      <c r="A52" s="44" t="s">
        <v>177</v>
      </c>
      <c r="B52" s="49">
        <f>'2024 Bean Description'!J30</f>
        <v>0</v>
      </c>
      <c r="C52" s="49">
        <f>'2024 Bean Description'!J31</f>
        <v>0</v>
      </c>
      <c r="D52" s="49">
        <f>'2024 Bean Description'!J32</f>
        <v>0</v>
      </c>
      <c r="E52" s="49">
        <f>'2024 Bean Description'!J33</f>
        <v>0</v>
      </c>
      <c r="F52" s="49">
        <f>'2024 Bean Description'!J34</f>
        <v>0</v>
      </c>
    </row>
    <row r="53">
      <c r="A53" s="44" t="s">
        <v>178</v>
      </c>
      <c r="B53" s="49">
        <f>'2024 Bean Description'!K30</f>
        <v>0</v>
      </c>
      <c r="C53" s="49">
        <f>'2024 Bean Description'!K31</f>
        <v>0</v>
      </c>
      <c r="D53" s="49">
        <f>'2024 Bean Description'!K32</f>
        <v>0</v>
      </c>
      <c r="E53" s="49">
        <f>'2024 Bean Description'!K33</f>
        <v>0</v>
      </c>
      <c r="F53" s="49">
        <f>'2024 Bean Description'!K34</f>
        <v>0</v>
      </c>
    </row>
    <row r="54">
      <c r="A54" s="44" t="s">
        <v>179</v>
      </c>
      <c r="B54" s="49">
        <f>'2024 Bean Description'!L30</f>
        <v>0</v>
      </c>
      <c r="C54" s="49">
        <f>'2024 Bean Description'!L31</f>
        <v>0</v>
      </c>
      <c r="D54" s="49">
        <f>'2024 Bean Description'!L32</f>
        <v>0</v>
      </c>
      <c r="E54" s="49">
        <f>'2024 Bean Description'!L33</f>
        <v>0</v>
      </c>
      <c r="F54" s="49">
        <f>'2024 Bean Description'!L34</f>
        <v>0</v>
      </c>
    </row>
    <row r="55">
      <c r="A55" s="44" t="s">
        <v>180</v>
      </c>
      <c r="B55" s="49">
        <f>'2024 Bean Description'!M30</f>
        <v>0</v>
      </c>
      <c r="C55" s="49">
        <f>'2024 Bean Description'!M31</f>
        <v>0</v>
      </c>
      <c r="D55" s="49">
        <f>'2024 Bean Description'!M32</f>
        <v>0</v>
      </c>
      <c r="E55" s="49">
        <f>'2024 Bean Description'!M33</f>
        <v>0</v>
      </c>
      <c r="F55" s="49">
        <f>'2024 Bean Description'!M34</f>
        <v>0</v>
      </c>
    </row>
    <row r="56">
      <c r="A56" s="44" t="s">
        <v>181</v>
      </c>
      <c r="B56" s="49">
        <f>'2024 Bean Description'!N30</f>
        <v>0</v>
      </c>
      <c r="C56" s="49">
        <f>'2024 Bean Description'!N31</f>
        <v>0</v>
      </c>
      <c r="D56" s="49">
        <f>'2024 Bean Description'!N32</f>
        <v>0</v>
      </c>
      <c r="E56" s="49">
        <f>'2024 Bean Description'!N33</f>
        <v>0</v>
      </c>
      <c r="F56" s="49">
        <f>'2024 Bean Description'!N34</f>
        <v>0</v>
      </c>
    </row>
    <row r="57">
      <c r="A57" s="44" t="s">
        <v>182</v>
      </c>
      <c r="B57" s="49">
        <f>'2024 Bean Description'!O30</f>
        <v>0</v>
      </c>
      <c r="C57" s="49">
        <f>'2024 Bean Description'!O31</f>
        <v>0</v>
      </c>
      <c r="D57" s="49">
        <f>'2024 Bean Description'!O32</f>
        <v>0</v>
      </c>
      <c r="E57" s="49">
        <f>'2024 Bean Description'!O33</f>
        <v>0</v>
      </c>
      <c r="F57" s="49">
        <f>'2024 Bean Description'!O34</f>
        <v>0</v>
      </c>
    </row>
    <row r="58">
      <c r="A58" s="44" t="s">
        <v>183</v>
      </c>
      <c r="B58" s="49">
        <f>'2024 Bean Description'!P30</f>
        <v>0</v>
      </c>
      <c r="C58" s="49">
        <f>'2024 Bean Description'!P31</f>
        <v>0</v>
      </c>
      <c r="D58" s="49">
        <f>'2024 Bean Description'!P32</f>
        <v>0</v>
      </c>
      <c r="E58" s="49">
        <f>'2024 Bean Description'!P33</f>
        <v>0</v>
      </c>
      <c r="F58" s="49">
        <f>'2024 Bean Description'!P34</f>
        <v>0</v>
      </c>
    </row>
    <row r="59">
      <c r="A59" s="44" t="s">
        <v>184</v>
      </c>
      <c r="B59" s="49">
        <f>'2024 Bean Description'!Q30</f>
        <v>0</v>
      </c>
      <c r="C59" s="49">
        <f>'2024 Bean Description'!Q31</f>
        <v>0</v>
      </c>
      <c r="D59" s="49">
        <f>'2024 Bean Description'!Q32</f>
        <v>0</v>
      </c>
      <c r="E59" s="49">
        <f>'2024 Bean Description'!Q33</f>
        <v>0</v>
      </c>
      <c r="F59" s="49">
        <f>'2024 Bean Description'!Q34</f>
        <v>0</v>
      </c>
    </row>
    <row r="60">
      <c r="A60" s="44" t="s">
        <v>185</v>
      </c>
      <c r="B60" s="49">
        <f>'2024 Bean Description'!R2</f>
        <v>0</v>
      </c>
      <c r="C60" s="49">
        <f>'2024 Bean Description'!R31</f>
        <v>0</v>
      </c>
      <c r="D60" s="49">
        <f>'2024 Bean Description'!R32</f>
        <v>0</v>
      </c>
      <c r="E60" s="49">
        <f>'2024 Bean Description'!R33</f>
        <v>0</v>
      </c>
      <c r="F60" s="49">
        <f>'2024 Bean Description'!R34</f>
        <v>0</v>
      </c>
    </row>
    <row r="63">
      <c r="A63" s="67"/>
      <c r="B63" s="68" t="s">
        <v>16</v>
      </c>
      <c r="C63" s="68" t="s">
        <v>21</v>
      </c>
      <c r="D63" s="68" t="s">
        <v>27</v>
      </c>
      <c r="E63" s="69" t="s">
        <v>25</v>
      </c>
    </row>
    <row r="64">
      <c r="A64" s="68" t="s">
        <v>174</v>
      </c>
      <c r="B64" s="70">
        <f t="shared" ref="B64:C64" si="1">B5+E5+H5+K5+N5+B20+E20+H20+K20+N20+B35+E35+H35+K35+N35</f>
        <v>0</v>
      </c>
      <c r="C64" s="70">
        <f t="shared" si="1"/>
        <v>0</v>
      </c>
      <c r="D64" s="70">
        <f t="shared" ref="D64:D75" si="3">SUM(B49:F49)</f>
        <v>0</v>
      </c>
      <c r="E64" s="71">
        <f t="shared" ref="E64:E75" si="4">SUM(B64:D64)</f>
        <v>0</v>
      </c>
      <c r="F64" s="72">
        <f t="shared" ref="F64:F75" si="5">E64/((31/7)*5)</f>
        <v>0</v>
      </c>
      <c r="G64" s="5" t="s">
        <v>213</v>
      </c>
      <c r="I64" s="15" t="str">
        <f t="shared" ref="I64:I76" si="6">CONCATENATE(A64, " BEANS ", "Good: ", B64, " Bad: ", C64, " Spicy: ", D64)</f>
        <v>January BEANS Good: 0 Bad: 0 Spicy: 0</v>
      </c>
    </row>
    <row r="65">
      <c r="A65" s="68" t="s">
        <v>175</v>
      </c>
      <c r="B65" s="70">
        <f t="shared" ref="B65:C65" si="2">B6+E6+H6+K6+N6+B21+E21+H21+K21+N21+B36+E36+H36+K36+N36</f>
        <v>9</v>
      </c>
      <c r="C65" s="70">
        <f t="shared" si="2"/>
        <v>13</v>
      </c>
      <c r="D65" s="70">
        <f t="shared" si="3"/>
        <v>0</v>
      </c>
      <c r="E65" s="71">
        <f t="shared" si="4"/>
        <v>22</v>
      </c>
      <c r="F65" s="72">
        <f t="shared" si="5"/>
        <v>0.9935483871</v>
      </c>
      <c r="G65" s="5" t="s">
        <v>213</v>
      </c>
      <c r="I65" s="15" t="str">
        <f t="shared" si="6"/>
        <v>February BEANS Good: 9 Bad: 13 Spicy: 0</v>
      </c>
    </row>
    <row r="66">
      <c r="A66" s="68" t="s">
        <v>176</v>
      </c>
      <c r="B66" s="70">
        <f t="shared" ref="B66:C66" si="7">B7+E7+H7+K7+N7+B22+E22+H22+K22+N22+B37+E37+H37+K37+N37</f>
        <v>4</v>
      </c>
      <c r="C66" s="70">
        <f t="shared" si="7"/>
        <v>10</v>
      </c>
      <c r="D66" s="70">
        <f t="shared" si="3"/>
        <v>0</v>
      </c>
      <c r="E66" s="71">
        <f t="shared" si="4"/>
        <v>14</v>
      </c>
      <c r="F66" s="72">
        <f t="shared" si="5"/>
        <v>0.6322580645</v>
      </c>
      <c r="G66" s="5" t="s">
        <v>213</v>
      </c>
      <c r="I66" s="15" t="str">
        <f t="shared" si="6"/>
        <v>March BEANS Good: 4 Bad: 10 Spicy: 0</v>
      </c>
    </row>
    <row r="67">
      <c r="A67" s="73" t="s">
        <v>177</v>
      </c>
      <c r="B67" s="70">
        <f t="shared" ref="B67:C67" si="8">B8+E8+H8+K8+N8+B23+E23+H23+K23+N23+B38+E38+H38+K38+N38</f>
        <v>4</v>
      </c>
      <c r="C67" s="70">
        <f t="shared" si="8"/>
        <v>14</v>
      </c>
      <c r="D67" s="70">
        <f t="shared" si="3"/>
        <v>0</v>
      </c>
      <c r="E67" s="71">
        <f t="shared" si="4"/>
        <v>18</v>
      </c>
      <c r="F67" s="72">
        <f t="shared" si="5"/>
        <v>0.8129032258</v>
      </c>
      <c r="G67" s="5" t="s">
        <v>213</v>
      </c>
      <c r="I67" s="15" t="str">
        <f t="shared" si="6"/>
        <v>April BEANS Good: 4 Bad: 14 Spicy: 0</v>
      </c>
    </row>
    <row r="68">
      <c r="A68" s="73" t="s">
        <v>178</v>
      </c>
      <c r="B68" s="70">
        <f t="shared" ref="B68:C68" si="9">B9+E9+H9+K9+N9+B24+E24+H24+K24+N24+B39+E39+H39+K39+N39</f>
        <v>5</v>
      </c>
      <c r="C68" s="70">
        <f t="shared" si="9"/>
        <v>9</v>
      </c>
      <c r="D68" s="70">
        <f t="shared" si="3"/>
        <v>0</v>
      </c>
      <c r="E68" s="71">
        <f t="shared" si="4"/>
        <v>14</v>
      </c>
      <c r="F68" s="72">
        <f t="shared" si="5"/>
        <v>0.6322580645</v>
      </c>
      <c r="G68" s="5" t="s">
        <v>213</v>
      </c>
      <c r="I68" s="15" t="str">
        <f t="shared" si="6"/>
        <v>May BEANS Good: 5 Bad: 9 Spicy: 0</v>
      </c>
    </row>
    <row r="69">
      <c r="A69" s="73" t="s">
        <v>179</v>
      </c>
      <c r="B69" s="70">
        <f t="shared" ref="B69:C69" si="10">B10+E10+H10+K10+N10+B25+E25+H25+K25+N25+B40+E40+H40+K40+N40</f>
        <v>0</v>
      </c>
      <c r="C69" s="70">
        <f t="shared" si="10"/>
        <v>2</v>
      </c>
      <c r="D69" s="70">
        <f t="shared" si="3"/>
        <v>0</v>
      </c>
      <c r="E69" s="71">
        <f t="shared" si="4"/>
        <v>2</v>
      </c>
      <c r="F69" s="72">
        <f t="shared" si="5"/>
        <v>0.09032258065</v>
      </c>
      <c r="G69" s="5" t="s">
        <v>213</v>
      </c>
      <c r="I69" s="15" t="str">
        <f t="shared" si="6"/>
        <v>June BEANS Good: 0 Bad: 2 Spicy: 0</v>
      </c>
    </row>
    <row r="70">
      <c r="A70" s="73" t="s">
        <v>180</v>
      </c>
      <c r="B70" s="70">
        <f t="shared" ref="B70:C70" si="11">B11+E11+H11+K11+N11+B26+E26+H26+K26+N26+B41+E41+H41+K41+N41</f>
        <v>2</v>
      </c>
      <c r="C70" s="70">
        <f t="shared" si="11"/>
        <v>10</v>
      </c>
      <c r="D70" s="70">
        <f t="shared" si="3"/>
        <v>0</v>
      </c>
      <c r="E70" s="71">
        <f t="shared" si="4"/>
        <v>12</v>
      </c>
      <c r="F70" s="72">
        <f t="shared" si="5"/>
        <v>0.5419354839</v>
      </c>
      <c r="G70" s="5" t="s">
        <v>213</v>
      </c>
      <c r="I70" s="15" t="str">
        <f t="shared" si="6"/>
        <v>July BEANS Good: 2 Bad: 10 Spicy: 0</v>
      </c>
    </row>
    <row r="71">
      <c r="A71" s="73" t="s">
        <v>181</v>
      </c>
      <c r="B71" s="70">
        <f t="shared" ref="B71:C71" si="12">B12+E12+H12+K12+N12+B27+E27+H27+K27+N27+B42+E42+H42+K42+N42</f>
        <v>0</v>
      </c>
      <c r="C71" s="70">
        <f t="shared" si="12"/>
        <v>1</v>
      </c>
      <c r="D71" s="70">
        <f t="shared" si="3"/>
        <v>0</v>
      </c>
      <c r="E71" s="71">
        <f t="shared" si="4"/>
        <v>1</v>
      </c>
      <c r="F71" s="72">
        <f t="shared" si="5"/>
        <v>0.04516129032</v>
      </c>
      <c r="G71" s="5" t="s">
        <v>213</v>
      </c>
      <c r="I71" s="15" t="str">
        <f t="shared" si="6"/>
        <v>August BEANS Good: 0 Bad: 1 Spicy: 0</v>
      </c>
    </row>
    <row r="72">
      <c r="A72" s="73" t="s">
        <v>182</v>
      </c>
      <c r="B72" s="70">
        <f t="shared" ref="B72:C72" si="13">B13+E13+H13+K13+N13+B28+E28+H28+K28+N28+B43+E43+H43+K43+N43</f>
        <v>2</v>
      </c>
      <c r="C72" s="70">
        <f t="shared" si="13"/>
        <v>2</v>
      </c>
      <c r="D72" s="70">
        <f t="shared" si="3"/>
        <v>0</v>
      </c>
      <c r="E72" s="71">
        <f t="shared" si="4"/>
        <v>4</v>
      </c>
      <c r="F72" s="72">
        <f t="shared" si="5"/>
        <v>0.1806451613</v>
      </c>
      <c r="G72" s="5" t="s">
        <v>213</v>
      </c>
      <c r="I72" s="15" t="str">
        <f t="shared" si="6"/>
        <v>September BEANS Good: 2 Bad: 2 Spicy: 0</v>
      </c>
    </row>
    <row r="73">
      <c r="A73" s="73" t="s">
        <v>183</v>
      </c>
      <c r="B73" s="70">
        <f t="shared" ref="B73:C73" si="14">B14+E14+H14+K14+N14+B29+E29+H29+K29+N29+B44+E44+H44+K44+N44</f>
        <v>1</v>
      </c>
      <c r="C73" s="70">
        <f t="shared" si="14"/>
        <v>5</v>
      </c>
      <c r="D73" s="70">
        <f t="shared" si="3"/>
        <v>0</v>
      </c>
      <c r="E73" s="71">
        <f t="shared" si="4"/>
        <v>6</v>
      </c>
      <c r="F73" s="72">
        <f t="shared" si="5"/>
        <v>0.2709677419</v>
      </c>
      <c r="G73" s="5" t="s">
        <v>213</v>
      </c>
      <c r="I73" s="15" t="str">
        <f t="shared" si="6"/>
        <v>October BEANS Good: 1 Bad: 5 Spicy: 0</v>
      </c>
    </row>
    <row r="74">
      <c r="A74" s="73" t="s">
        <v>184</v>
      </c>
      <c r="B74" s="70">
        <f t="shared" ref="B74:C74" si="15">B15+E15+H15+K15+N15+B30+E30+H30+K30+N30+B45+E45+H45+K45+N45</f>
        <v>4</v>
      </c>
      <c r="C74" s="70">
        <f t="shared" si="15"/>
        <v>4</v>
      </c>
      <c r="D74" s="70">
        <f t="shared" si="3"/>
        <v>0</v>
      </c>
      <c r="E74" s="71">
        <f t="shared" si="4"/>
        <v>8</v>
      </c>
      <c r="F74" s="72">
        <f t="shared" si="5"/>
        <v>0.3612903226</v>
      </c>
      <c r="G74" s="5" t="s">
        <v>213</v>
      </c>
      <c r="I74" s="15" t="str">
        <f t="shared" si="6"/>
        <v>November BEANS Good: 4 Bad: 4 Spicy: 0</v>
      </c>
    </row>
    <row r="75">
      <c r="A75" s="73" t="s">
        <v>185</v>
      </c>
      <c r="B75" s="70">
        <f t="shared" ref="B75:C75" si="16">B16+E16+H16+K16+N16+B31+E31+H31+K31+N31+B46+E46+H46+K46+N46</f>
        <v>8</v>
      </c>
      <c r="C75" s="70">
        <f t="shared" si="16"/>
        <v>17</v>
      </c>
      <c r="D75" s="70">
        <f t="shared" si="3"/>
        <v>0</v>
      </c>
      <c r="E75" s="71">
        <f t="shared" si="4"/>
        <v>25</v>
      </c>
      <c r="F75" s="72">
        <f t="shared" si="5"/>
        <v>1.129032258</v>
      </c>
      <c r="G75" s="5" t="s">
        <v>213</v>
      </c>
      <c r="I75" s="15" t="str">
        <f t="shared" si="6"/>
        <v>December BEANS Good: 8 Bad: 17 Spicy: 0</v>
      </c>
    </row>
    <row r="76">
      <c r="A76" s="5" t="s">
        <v>25</v>
      </c>
      <c r="B76" s="74">
        <f t="shared" ref="B76:E76" si="17">SUM(B64:B75)</f>
        <v>39</v>
      </c>
      <c r="C76" s="74">
        <f t="shared" si="17"/>
        <v>87</v>
      </c>
      <c r="D76" s="74">
        <f t="shared" si="17"/>
        <v>0</v>
      </c>
      <c r="E76" s="74">
        <f t="shared" si="17"/>
        <v>126</v>
      </c>
      <c r="F76" s="75">
        <f>(E76 / (DATE(YEAR(TODAY()),MONTH(TODAY()),DAY(TODAY()))-DATE(YEAR(TODAY()),1,0)))</f>
        <v>0.4719101124</v>
      </c>
      <c r="G76" s="5" t="s">
        <v>221</v>
      </c>
      <c r="I76" s="15" t="str">
        <f t="shared" si="6"/>
        <v>Total BEANS Good: 39 Bad: 87 Spicy: 0</v>
      </c>
      <c r="L76" s="5" t="s">
        <v>222</v>
      </c>
    </row>
    <row r="77">
      <c r="B77" s="25">
        <f>if(E76-D76 = 0, 'Overall Bean Summary'!J7, B76/(E76-D76))</f>
        <v>0.3095238095</v>
      </c>
      <c r="C77" s="25">
        <f>if(E76-D76 = 0, 'Overall Bean Summary'!L7, C76/(E76-D76))</f>
        <v>0.6904761905</v>
      </c>
      <c r="D77" s="25"/>
      <c r="E77" s="72"/>
      <c r="F77" s="72">
        <f>E76 / (((DATE(YEAR(TODAY()),MONTH(TODAY()),DAY(TODAY()))-DATE(YEAR(TODAY()),1,0))/7)*5)</f>
        <v>0.6606741573</v>
      </c>
      <c r="G77" s="5" t="s">
        <v>213</v>
      </c>
    </row>
    <row r="78">
      <c r="A78" s="7"/>
      <c r="B78" s="6"/>
      <c r="C78" s="6"/>
      <c r="D78" s="6"/>
      <c r="E78" s="5"/>
    </row>
    <row r="79">
      <c r="A79" s="76" t="s">
        <v>223</v>
      </c>
      <c r="B79" s="77">
        <f>ROUNDDOWN((B76/E76)*E79,0)</f>
        <v>53</v>
      </c>
      <c r="C79" s="77">
        <f>ROUNDDOWN((C76/E76)*E79,0)</f>
        <v>118</v>
      </c>
      <c r="D79" s="77">
        <f>ROUNDDOWN((D76/E76)*E79,0)</f>
        <v>0</v>
      </c>
      <c r="E79" s="78">
        <f>ROUNDDOWN((E76 / (DATE(YEAR(TODAY()),MONTH(TODAY()),DAY(TODAY()))-DATE(YEAR(TODAY()),1,0))) * 365,0)</f>
        <v>172</v>
      </c>
      <c r="G79" s="15" t="str">
        <f>CONCATENATE(A79, " BEANS ", "Good: ", B79, " Bad: ", C79, " Spicy: ", D79)</f>
        <v>Estimated 2025 BEANS Good: 53 Bad: 118 Spicy: 0</v>
      </c>
    </row>
    <row r="80">
      <c r="A80" s="7"/>
      <c r="B80" s="6"/>
      <c r="C80" s="6"/>
      <c r="D80" s="6"/>
    </row>
    <row r="81">
      <c r="A81" s="7"/>
      <c r="B81" s="6"/>
      <c r="C81" s="6"/>
      <c r="D81" s="6"/>
    </row>
    <row r="82">
      <c r="A82" s="7"/>
      <c r="B82" s="6"/>
      <c r="C82" s="6"/>
      <c r="D82" s="6"/>
    </row>
    <row r="83">
      <c r="A83" s="6"/>
      <c r="B83" s="6"/>
      <c r="C83" s="6"/>
      <c r="D83" s="10"/>
    </row>
    <row r="84">
      <c r="A84" s="6"/>
      <c r="B84" s="6"/>
      <c r="C84" s="7"/>
      <c r="D84" s="79"/>
    </row>
    <row r="85">
      <c r="A85" s="6"/>
      <c r="B85" s="6"/>
      <c r="C85" s="7"/>
      <c r="D85" s="10"/>
    </row>
    <row r="86">
      <c r="A86" s="6"/>
      <c r="B86" s="6"/>
      <c r="C86" s="7"/>
      <c r="D86" s="10"/>
    </row>
    <row r="87">
      <c r="A87" s="6"/>
      <c r="B87" s="6"/>
      <c r="C87" s="7"/>
      <c r="D87" s="10"/>
    </row>
    <row r="88">
      <c r="A88" s="6"/>
      <c r="B88" s="6"/>
      <c r="C88" s="7"/>
      <c r="D88" s="10"/>
    </row>
    <row r="89">
      <c r="A89" s="6"/>
      <c r="B89" s="6"/>
      <c r="C89" s="7"/>
      <c r="D89" s="10"/>
    </row>
    <row r="90">
      <c r="A90" s="6"/>
      <c r="B90" s="6"/>
      <c r="C90" s="7"/>
      <c r="D90" s="10"/>
    </row>
    <row r="91">
      <c r="A91" s="6"/>
      <c r="B91" s="6"/>
      <c r="C91" s="7"/>
      <c r="D91" s="10"/>
    </row>
    <row r="92">
      <c r="A92" s="6"/>
      <c r="B92" s="6"/>
      <c r="C92" s="7"/>
      <c r="D92" s="10"/>
    </row>
    <row r="93">
      <c r="A93" s="6"/>
      <c r="B93" s="6"/>
      <c r="C93" s="7"/>
      <c r="D93" s="10"/>
    </row>
    <row r="94">
      <c r="A94" s="6"/>
      <c r="B94" s="6"/>
      <c r="C94" s="7"/>
      <c r="D94" s="10"/>
    </row>
    <row r="95">
      <c r="A95" s="6"/>
      <c r="B95" s="6"/>
      <c r="C95" s="7"/>
      <c r="D95" s="10"/>
    </row>
    <row r="96">
      <c r="A96" s="6"/>
      <c r="B96" s="6"/>
      <c r="C96" s="7"/>
      <c r="D96" s="10"/>
    </row>
    <row r="97">
      <c r="A97" s="6"/>
      <c r="B97" s="6"/>
      <c r="C97" s="7"/>
      <c r="D97" s="10"/>
    </row>
    <row r="98">
      <c r="A98" s="6"/>
      <c r="B98" s="6"/>
      <c r="C98" s="7"/>
      <c r="D98" s="10"/>
    </row>
    <row r="99">
      <c r="A99" s="6"/>
      <c r="B99" s="6"/>
      <c r="C99" s="7"/>
      <c r="D99" s="79"/>
    </row>
    <row r="100">
      <c r="A100" s="6"/>
      <c r="B100" s="6"/>
      <c r="C100" s="7"/>
      <c r="D100" s="79"/>
    </row>
    <row r="101">
      <c r="A101" s="6"/>
      <c r="B101" s="6"/>
      <c r="C101" s="7"/>
      <c r="D101" s="10"/>
    </row>
    <row r="102">
      <c r="A102" s="6"/>
      <c r="B102" s="6"/>
      <c r="C102" s="7"/>
      <c r="D102" s="10"/>
    </row>
    <row r="103">
      <c r="A103" s="6"/>
      <c r="B103" s="6"/>
      <c r="C103" s="7"/>
      <c r="D103" s="10"/>
    </row>
    <row r="104">
      <c r="A104" s="6"/>
      <c r="B104" s="6"/>
      <c r="C104" s="7"/>
      <c r="D104" s="79"/>
    </row>
    <row r="105">
      <c r="A105" s="6"/>
      <c r="B105" s="6"/>
      <c r="C105" s="7"/>
      <c r="D105" s="10"/>
    </row>
    <row r="106">
      <c r="A106" s="6"/>
      <c r="B106" s="6"/>
      <c r="C106" s="7"/>
      <c r="D106" s="10"/>
    </row>
    <row r="107">
      <c r="A107" s="6"/>
      <c r="B107" s="6"/>
      <c r="C107" s="7"/>
      <c r="D107" s="10"/>
    </row>
    <row r="108">
      <c r="A108" s="6"/>
      <c r="B108" s="6"/>
      <c r="C108" s="7"/>
      <c r="D108" s="10"/>
    </row>
    <row r="109">
      <c r="A109" s="6"/>
      <c r="B109" s="6"/>
      <c r="C109" s="7"/>
      <c r="D109" s="10"/>
    </row>
    <row r="110">
      <c r="A110" s="6"/>
      <c r="B110" s="6"/>
      <c r="C110" s="7"/>
      <c r="D110" s="10"/>
    </row>
    <row r="111">
      <c r="A111" s="6"/>
      <c r="B111" s="6"/>
      <c r="C111" s="7"/>
      <c r="D111" s="79"/>
    </row>
    <row r="112">
      <c r="A112" s="6"/>
      <c r="B112" s="6"/>
      <c r="C112" s="7"/>
      <c r="D112" s="10"/>
    </row>
    <row r="113">
      <c r="A113" s="6"/>
      <c r="B113" s="6"/>
      <c r="C113" s="7"/>
      <c r="D113" s="10"/>
    </row>
    <row r="114">
      <c r="A114" s="6"/>
      <c r="B114" s="6"/>
      <c r="C114" s="7"/>
      <c r="D114" s="10"/>
    </row>
    <row r="115">
      <c r="A115" s="6"/>
      <c r="B115" s="6"/>
      <c r="C115" s="7"/>
      <c r="D115" s="10"/>
    </row>
    <row r="116">
      <c r="A116" s="6"/>
      <c r="B116" s="6"/>
      <c r="C116" s="7"/>
      <c r="D116" s="10"/>
    </row>
    <row r="117">
      <c r="A117" s="6"/>
      <c r="B117" s="6"/>
      <c r="C117" s="7"/>
      <c r="D117" s="10"/>
    </row>
    <row r="118">
      <c r="A118" s="6"/>
      <c r="B118" s="6"/>
      <c r="C118" s="7"/>
      <c r="D118" s="10"/>
    </row>
    <row r="119">
      <c r="A119" s="6"/>
      <c r="B119" s="6"/>
      <c r="C119" s="7"/>
      <c r="D119" s="10"/>
    </row>
    <row r="120">
      <c r="A120" s="6"/>
      <c r="B120" s="6"/>
      <c r="C120" s="7"/>
      <c r="D120" s="10"/>
    </row>
    <row r="121">
      <c r="A121" s="6"/>
      <c r="B121" s="6"/>
      <c r="C121" s="7"/>
      <c r="D121" s="10"/>
    </row>
    <row r="122">
      <c r="A122" s="6"/>
      <c r="B122" s="6"/>
      <c r="C122" s="7"/>
      <c r="D122" s="10"/>
    </row>
    <row r="123">
      <c r="A123" s="6"/>
      <c r="B123" s="6"/>
      <c r="C123" s="7"/>
      <c r="D123" s="10"/>
    </row>
    <row r="124">
      <c r="A124" s="6"/>
      <c r="B124" s="6"/>
      <c r="C124" s="7"/>
      <c r="D124" s="10"/>
    </row>
    <row r="125">
      <c r="A125" s="6"/>
      <c r="B125" s="6"/>
      <c r="C125" s="7"/>
      <c r="D125" s="10"/>
    </row>
    <row r="126">
      <c r="A126" s="6"/>
      <c r="B126" s="6"/>
      <c r="C126" s="7"/>
      <c r="D126" s="10"/>
    </row>
    <row r="127">
      <c r="A127" s="6"/>
      <c r="B127" s="7"/>
      <c r="C127" s="7"/>
      <c r="D127" s="10"/>
    </row>
    <row r="128">
      <c r="A128" s="6"/>
      <c r="B128" s="7"/>
      <c r="C128" s="7"/>
      <c r="D128" s="10"/>
    </row>
    <row r="129">
      <c r="A129" s="6"/>
      <c r="B129" s="7"/>
      <c r="C129" s="7"/>
      <c r="D129" s="10"/>
    </row>
    <row r="130">
      <c r="A130" s="6"/>
      <c r="B130" s="7"/>
      <c r="C130" s="7"/>
      <c r="D130" s="10"/>
    </row>
    <row r="131">
      <c r="A131" s="6"/>
      <c r="B131" s="7"/>
      <c r="C131" s="7"/>
      <c r="D131" s="10"/>
    </row>
    <row r="132">
      <c r="A132" s="6"/>
      <c r="B132" s="7"/>
      <c r="C132" s="7"/>
      <c r="D132" s="10"/>
    </row>
    <row r="133">
      <c r="A133" s="6"/>
      <c r="B133" s="7"/>
      <c r="C133" s="7"/>
      <c r="D133" s="10"/>
    </row>
    <row r="134">
      <c r="A134" s="6"/>
      <c r="B134" s="7"/>
      <c r="C134" s="7"/>
      <c r="D134" s="10"/>
    </row>
    <row r="135">
      <c r="A135" s="6"/>
      <c r="B135" s="7"/>
      <c r="C135" s="7"/>
      <c r="D135" s="10"/>
    </row>
    <row r="136">
      <c r="A136" s="6"/>
      <c r="B136" s="7"/>
      <c r="C136" s="7"/>
      <c r="D136" s="10"/>
    </row>
    <row r="137">
      <c r="A137" s="6"/>
      <c r="B137" s="7"/>
      <c r="C137" s="7"/>
      <c r="D137" s="10"/>
    </row>
    <row r="138">
      <c r="A138" s="6"/>
      <c r="B138" s="7"/>
      <c r="C138" s="7"/>
      <c r="D138" s="6"/>
    </row>
    <row r="139">
      <c r="A139" s="6"/>
      <c r="B139" s="7"/>
      <c r="C139" s="7"/>
      <c r="D139" s="6"/>
    </row>
  </sheetData>
  <mergeCells count="1">
    <mergeCell ref="B1:C1"/>
  </mergeCell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hidden="1" min="2" max="3" width="12.63"/>
  </cols>
  <sheetData>
    <row r="1">
      <c r="A1" s="5" t="s">
        <v>0</v>
      </c>
      <c r="B1" s="5" t="s">
        <v>260</v>
      </c>
      <c r="C1" s="81" t="s">
        <v>261</v>
      </c>
      <c r="D1" s="81" t="s">
        <v>262</v>
      </c>
      <c r="E1" s="81" t="s">
        <v>263</v>
      </c>
      <c r="F1" s="81" t="s">
        <v>264</v>
      </c>
      <c r="G1" s="82" t="s">
        <v>265</v>
      </c>
      <c r="I1" s="5" t="s">
        <v>266</v>
      </c>
    </row>
    <row r="2">
      <c r="A2" s="83">
        <v>45664.0</v>
      </c>
      <c r="B2" s="84">
        <f>2000*250</f>
        <v>500000</v>
      </c>
      <c r="C2" s="85">
        <f>2000*330</f>
        <v>660000</v>
      </c>
      <c r="D2" s="85">
        <f>2000*250</f>
        <v>500000</v>
      </c>
      <c r="E2" s="85">
        <f>20000000*0.03</f>
        <v>600000</v>
      </c>
      <c r="F2" s="86">
        <f>E2</f>
        <v>600000</v>
      </c>
      <c r="G2" s="87">
        <f t="shared" ref="G2:G63" si="1">if(E2 &gt; 0, E2/20000000, D2/20000000)</f>
        <v>0.03</v>
      </c>
      <c r="H2" s="88" t="s">
        <v>267</v>
      </c>
      <c r="I2" s="84">
        <f t="shared" ref="I2:I63" si="2">if(F2 &gt; 0, F2/2000, "")</f>
        <v>300</v>
      </c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</row>
    <row r="3">
      <c r="A3" s="83">
        <f t="shared" ref="A3:A63" si="3">A2+1</f>
        <v>45665</v>
      </c>
      <c r="B3" s="84">
        <f t="shared" ref="B3:B5" si="4">B2+(2000*250)</f>
        <v>1000000</v>
      </c>
      <c r="C3" s="85">
        <f t="shared" ref="C3:C5" si="5">(2000*330)+C2</f>
        <v>1320000</v>
      </c>
      <c r="D3" s="85">
        <f t="shared" ref="D3:D5" si="6">if(E2 &gt; 0, (2000*250)+E2, (2000*250)+D2)</f>
        <v>1100000</v>
      </c>
      <c r="E3" s="85">
        <f>20000000*0.06</f>
        <v>1200000</v>
      </c>
      <c r="F3" s="86">
        <f t="shared" ref="F3:F5" si="7">if(E2 &gt; 0, if(E3-E2 &gt; -1, E3-E2, D3-E2), D3-D2)</f>
        <v>600000</v>
      </c>
      <c r="G3" s="87">
        <f t="shared" si="1"/>
        <v>0.06</v>
      </c>
      <c r="H3" s="88" t="s">
        <v>267</v>
      </c>
      <c r="I3" s="84">
        <f t="shared" si="2"/>
        <v>300</v>
      </c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</row>
    <row r="4">
      <c r="A4" s="22">
        <f t="shared" si="3"/>
        <v>45666</v>
      </c>
      <c r="B4" s="84">
        <f t="shared" si="4"/>
        <v>1500000</v>
      </c>
      <c r="C4" s="81">
        <f t="shared" si="5"/>
        <v>1980000</v>
      </c>
      <c r="D4" s="81">
        <f t="shared" si="6"/>
        <v>1700000</v>
      </c>
      <c r="E4" s="81">
        <v>1750526.0</v>
      </c>
      <c r="F4" s="86">
        <f t="shared" si="7"/>
        <v>550526</v>
      </c>
      <c r="G4" s="25">
        <f t="shared" si="1"/>
        <v>0.0875263</v>
      </c>
      <c r="I4" s="35">
        <f t="shared" si="2"/>
        <v>275.263</v>
      </c>
    </row>
    <row r="5">
      <c r="A5" s="22">
        <f t="shared" si="3"/>
        <v>45667</v>
      </c>
      <c r="B5" s="35">
        <f t="shared" si="4"/>
        <v>2000000</v>
      </c>
      <c r="C5" s="81">
        <f t="shared" si="5"/>
        <v>2640000</v>
      </c>
      <c r="D5" s="81">
        <f t="shared" si="6"/>
        <v>2250526</v>
      </c>
      <c r="E5" s="81">
        <v>2313056.0</v>
      </c>
      <c r="F5" s="86">
        <f t="shared" si="7"/>
        <v>562530</v>
      </c>
      <c r="G5" s="25">
        <f t="shared" si="1"/>
        <v>0.1156528</v>
      </c>
      <c r="I5" s="35">
        <f t="shared" si="2"/>
        <v>281.265</v>
      </c>
    </row>
    <row r="6">
      <c r="A6" s="89">
        <f t="shared" si="3"/>
        <v>45668</v>
      </c>
      <c r="B6" s="84">
        <f t="shared" ref="B6:E6" si="8">B5</f>
        <v>2000000</v>
      </c>
      <c r="C6" s="90">
        <f t="shared" si="8"/>
        <v>2640000</v>
      </c>
      <c r="D6" s="90">
        <f t="shared" si="8"/>
        <v>2250526</v>
      </c>
      <c r="E6" s="90">
        <f t="shared" si="8"/>
        <v>2313056</v>
      </c>
      <c r="F6" s="90">
        <f t="shared" ref="F6:F7" si="10">if(E5 &gt; 0, if(E6-E5 &gt;-1, E6-E5, D6-E5), D6-D5)</f>
        <v>0</v>
      </c>
      <c r="G6" s="91">
        <f t="shared" si="1"/>
        <v>0.1156528</v>
      </c>
      <c r="H6" s="92" t="s">
        <v>270</v>
      </c>
      <c r="I6" s="93" t="str">
        <f t="shared" si="2"/>
        <v/>
      </c>
      <c r="J6" s="93"/>
      <c r="K6" s="93"/>
      <c r="L6" s="93"/>
      <c r="M6" s="93"/>
      <c r="N6" s="93"/>
      <c r="O6" s="93"/>
      <c r="P6" s="93"/>
      <c r="R6" s="93"/>
      <c r="S6" s="93"/>
      <c r="T6" s="93"/>
      <c r="U6" s="93"/>
      <c r="V6" s="93"/>
      <c r="W6" s="93"/>
      <c r="X6" s="93"/>
      <c r="Y6" s="93"/>
      <c r="Z6" s="93"/>
      <c r="AA6" s="93"/>
      <c r="AB6" s="93"/>
      <c r="AC6" s="93"/>
      <c r="AD6" s="93"/>
    </row>
    <row r="7">
      <c r="A7" s="89">
        <f t="shared" si="3"/>
        <v>45669</v>
      </c>
      <c r="B7" s="84">
        <f t="shared" ref="B7:E7" si="9">B6</f>
        <v>2000000</v>
      </c>
      <c r="C7" s="90">
        <f t="shared" si="9"/>
        <v>2640000</v>
      </c>
      <c r="D7" s="90">
        <f t="shared" si="9"/>
        <v>2250526</v>
      </c>
      <c r="E7" s="90">
        <f t="shared" si="9"/>
        <v>2313056</v>
      </c>
      <c r="F7" s="90">
        <f t="shared" si="10"/>
        <v>0</v>
      </c>
      <c r="G7" s="91">
        <f t="shared" si="1"/>
        <v>0.1156528</v>
      </c>
      <c r="H7" s="92" t="s">
        <v>270</v>
      </c>
      <c r="I7" s="93" t="str">
        <f t="shared" si="2"/>
        <v/>
      </c>
      <c r="J7" s="93"/>
      <c r="K7" s="93"/>
      <c r="L7" s="93"/>
      <c r="M7" s="93"/>
      <c r="N7" s="93"/>
      <c r="O7" s="93"/>
      <c r="P7" s="93"/>
      <c r="R7" s="93"/>
      <c r="S7" s="93"/>
      <c r="T7" s="93"/>
      <c r="U7" s="93"/>
      <c r="V7" s="93"/>
      <c r="W7" s="93"/>
      <c r="X7" s="93"/>
      <c r="Y7" s="93"/>
      <c r="Z7" s="93"/>
      <c r="AA7" s="93"/>
      <c r="AB7" s="93"/>
      <c r="AC7" s="93"/>
      <c r="AD7" s="93"/>
    </row>
    <row r="8">
      <c r="A8" s="22">
        <f t="shared" si="3"/>
        <v>45670</v>
      </c>
      <c r="B8" s="35">
        <f t="shared" ref="B8:B12" si="11">B7+(2000*250)</f>
        <v>2500000</v>
      </c>
      <c r="C8" s="81">
        <f t="shared" ref="C8:C12" si="12">(2000*330)+C7</f>
        <v>3300000</v>
      </c>
      <c r="D8" s="81">
        <f>if(E7 &gt; 0, (2000*AVERAGE(I2:I7))+E7, (2000*AVERAGE(I2:I7))+D7)</f>
        <v>2891320</v>
      </c>
      <c r="E8" s="81">
        <v>2843576.0</v>
      </c>
      <c r="F8" s="94">
        <f t="shared" ref="F8:F12" si="13">if(E7 &gt; 0, if(E8-E7 &gt; -1, E8-E7, D8-E7), D8-D7)</f>
        <v>530520</v>
      </c>
      <c r="G8" s="25">
        <f t="shared" si="1"/>
        <v>0.1421788</v>
      </c>
      <c r="I8" s="35">
        <f t="shared" si="2"/>
        <v>265.26</v>
      </c>
    </row>
    <row r="9">
      <c r="A9" s="22">
        <f t="shared" si="3"/>
        <v>45671</v>
      </c>
      <c r="B9" s="35">
        <f t="shared" si="11"/>
        <v>3000000</v>
      </c>
      <c r="C9" s="81">
        <f t="shared" si="12"/>
        <v>3960000</v>
      </c>
      <c r="D9" s="81">
        <f>if(E8 &gt; 0, (2000*AVERAGE(I2:I8))+E8, (2000*AVERAGE(I2:I8))+D8)</f>
        <v>3412291.2</v>
      </c>
      <c r="E9" s="81">
        <v>3384676.0</v>
      </c>
      <c r="F9" s="94">
        <f t="shared" si="13"/>
        <v>541100</v>
      </c>
      <c r="G9" s="25">
        <f t="shared" si="1"/>
        <v>0.1692338</v>
      </c>
      <c r="I9" s="35">
        <f t="shared" si="2"/>
        <v>270.55</v>
      </c>
    </row>
    <row r="10">
      <c r="A10" s="22">
        <f t="shared" si="3"/>
        <v>45672</v>
      </c>
      <c r="B10" s="35">
        <f t="shared" si="11"/>
        <v>3500000</v>
      </c>
      <c r="C10" s="81">
        <f t="shared" si="12"/>
        <v>4620000</v>
      </c>
      <c r="D10" s="81">
        <f>if(E9 &gt; 0, (2000*AVERAGE(I2:I9))+E9, (2000*AVERAGE(I2:I9))+D9)</f>
        <v>3948788.667</v>
      </c>
      <c r="E10" s="81">
        <v>3950201.0</v>
      </c>
      <c r="F10" s="94">
        <f t="shared" si="13"/>
        <v>565525</v>
      </c>
      <c r="G10" s="25">
        <f t="shared" si="1"/>
        <v>0.19751005</v>
      </c>
      <c r="I10" s="35">
        <f t="shared" si="2"/>
        <v>282.7625</v>
      </c>
    </row>
    <row r="11">
      <c r="A11" s="22">
        <f t="shared" si="3"/>
        <v>45673</v>
      </c>
      <c r="B11" s="35">
        <f t="shared" si="11"/>
        <v>4000000</v>
      </c>
      <c r="C11" s="81">
        <f t="shared" si="12"/>
        <v>5280000</v>
      </c>
      <c r="D11" s="81">
        <f>if(E10 &gt; 0, (2000*AVERAGE(I2:I10))+E10, (2000*AVERAGE(I2:I10))+D10)</f>
        <v>4514515.429</v>
      </c>
      <c r="E11" s="81">
        <v>4494264.0</v>
      </c>
      <c r="F11" s="94">
        <f t="shared" si="13"/>
        <v>544063</v>
      </c>
      <c r="G11" s="25">
        <f t="shared" si="1"/>
        <v>0.2247132</v>
      </c>
      <c r="I11" s="35">
        <f t="shared" si="2"/>
        <v>272.0315</v>
      </c>
    </row>
    <row r="12">
      <c r="A12" s="22">
        <f t="shared" si="3"/>
        <v>45674</v>
      </c>
      <c r="B12" s="35">
        <f t="shared" si="11"/>
        <v>4500000</v>
      </c>
      <c r="C12" s="81">
        <f t="shared" si="12"/>
        <v>5940000</v>
      </c>
      <c r="D12" s="81">
        <f>if(E11 &gt; 0, (2000*AVERAGE(I2:I11))+E11, (2000*AVERAGE(I2:I11))+D11)</f>
        <v>5056047</v>
      </c>
      <c r="E12" s="81">
        <v>5061704.0</v>
      </c>
      <c r="F12" s="94">
        <f t="shared" si="13"/>
        <v>567440</v>
      </c>
      <c r="G12" s="25">
        <f t="shared" si="1"/>
        <v>0.2530852</v>
      </c>
      <c r="I12" s="35">
        <f t="shared" si="2"/>
        <v>283.72</v>
      </c>
    </row>
    <row r="13">
      <c r="A13" s="89">
        <f t="shared" si="3"/>
        <v>45675</v>
      </c>
      <c r="B13" s="84">
        <f t="shared" ref="B13:E13" si="14">B12</f>
        <v>4500000</v>
      </c>
      <c r="C13" s="90">
        <f t="shared" si="14"/>
        <v>5940000</v>
      </c>
      <c r="D13" s="90">
        <f t="shared" si="14"/>
        <v>5056047</v>
      </c>
      <c r="E13" s="90">
        <f t="shared" si="14"/>
        <v>5061704</v>
      </c>
      <c r="F13" s="90">
        <f t="shared" ref="F13:F14" si="16">if(E12 &gt; 0, if(E13-E12 &gt;-1, E13-E12, D13-E12), D13-D12)</f>
        <v>0</v>
      </c>
      <c r="G13" s="91">
        <f t="shared" si="1"/>
        <v>0.2530852</v>
      </c>
      <c r="H13" s="92" t="s">
        <v>270</v>
      </c>
      <c r="I13" s="93" t="str">
        <f t="shared" si="2"/>
        <v/>
      </c>
      <c r="J13" s="93"/>
      <c r="K13" s="93"/>
      <c r="L13" s="93"/>
      <c r="M13" s="93"/>
      <c r="N13" s="93"/>
      <c r="O13" s="93"/>
      <c r="P13" s="93"/>
      <c r="R13" s="93"/>
      <c r="S13" s="93"/>
      <c r="T13" s="93"/>
      <c r="U13" s="93"/>
      <c r="V13" s="93"/>
      <c r="W13" s="93"/>
      <c r="X13" s="93"/>
      <c r="Y13" s="93"/>
      <c r="Z13" s="93"/>
      <c r="AA13" s="93"/>
      <c r="AB13" s="93"/>
      <c r="AC13" s="93"/>
      <c r="AD13" s="93"/>
    </row>
    <row r="14">
      <c r="A14" s="89">
        <f t="shared" si="3"/>
        <v>45676</v>
      </c>
      <c r="B14" s="84">
        <f t="shared" ref="B14:E14" si="15">B13</f>
        <v>4500000</v>
      </c>
      <c r="C14" s="90">
        <f t="shared" si="15"/>
        <v>5940000</v>
      </c>
      <c r="D14" s="90">
        <f t="shared" si="15"/>
        <v>5056047</v>
      </c>
      <c r="E14" s="90">
        <f t="shared" si="15"/>
        <v>5061704</v>
      </c>
      <c r="F14" s="90">
        <f t="shared" si="16"/>
        <v>0</v>
      </c>
      <c r="G14" s="91">
        <f t="shared" si="1"/>
        <v>0.2530852</v>
      </c>
      <c r="H14" s="92" t="s">
        <v>270</v>
      </c>
      <c r="I14" s="93" t="str">
        <f t="shared" si="2"/>
        <v/>
      </c>
      <c r="J14" s="93"/>
      <c r="K14" s="93"/>
      <c r="L14" s="93"/>
      <c r="M14" s="93"/>
      <c r="N14" s="93"/>
      <c r="O14" s="93"/>
      <c r="P14" s="93"/>
      <c r="R14" s="93"/>
      <c r="S14" s="93"/>
      <c r="T14" s="93"/>
      <c r="U14" s="93"/>
      <c r="V14" s="93"/>
      <c r="W14" s="93"/>
      <c r="X14" s="93"/>
      <c r="Y14" s="93"/>
      <c r="Z14" s="93"/>
      <c r="AA14" s="93"/>
      <c r="AB14" s="93"/>
      <c r="AC14" s="93"/>
      <c r="AD14" s="93"/>
    </row>
    <row r="15">
      <c r="A15" s="22">
        <f t="shared" si="3"/>
        <v>45677</v>
      </c>
      <c r="B15" s="35">
        <f t="shared" ref="B15:B19" si="17">B14+(2000*250)</f>
        <v>5000000</v>
      </c>
      <c r="C15" s="81">
        <f t="shared" ref="C15:C19" si="18">(2000*330)+C14</f>
        <v>6600000</v>
      </c>
      <c r="D15" s="81">
        <f>if(E14 &gt; 0, (2000*AVERAGE(I2:I14))+E14, (2000*AVERAGE(I2:I14))+D14)</f>
        <v>5624115.556</v>
      </c>
      <c r="E15" s="81">
        <v>5549363.0</v>
      </c>
      <c r="F15" s="94">
        <f t="shared" ref="F15:F19" si="19">if(E14 &gt; 0, if(E15-E14 &gt; -1, E15-E14, D15-E14), D15-D14)</f>
        <v>487659</v>
      </c>
      <c r="G15" s="25">
        <f t="shared" si="1"/>
        <v>0.27746815</v>
      </c>
      <c r="I15" s="35">
        <f t="shared" si="2"/>
        <v>243.8295</v>
      </c>
    </row>
    <row r="16">
      <c r="A16" s="22">
        <f t="shared" si="3"/>
        <v>45678</v>
      </c>
      <c r="B16" s="35">
        <f t="shared" si="17"/>
        <v>5500000</v>
      </c>
      <c r="C16" s="81">
        <f t="shared" si="18"/>
        <v>7260000</v>
      </c>
      <c r="D16" s="81">
        <f>if(E15 &gt; 0, (2000*AVERAGE(I2:I15))+E15, (2000*AVERAGE(I2:I15))+D15)</f>
        <v>6104299.3</v>
      </c>
      <c r="E16" s="81">
        <v>6058505.0</v>
      </c>
      <c r="F16" s="94">
        <f t="shared" si="19"/>
        <v>509142</v>
      </c>
      <c r="G16" s="25">
        <f t="shared" si="1"/>
        <v>0.30292525</v>
      </c>
      <c r="I16" s="35">
        <f t="shared" si="2"/>
        <v>254.571</v>
      </c>
    </row>
    <row r="17">
      <c r="A17" s="22">
        <f t="shared" si="3"/>
        <v>45679</v>
      </c>
      <c r="B17" s="35">
        <f t="shared" si="17"/>
        <v>6000000</v>
      </c>
      <c r="C17" s="81">
        <f t="shared" si="18"/>
        <v>7920000</v>
      </c>
      <c r="D17" s="81">
        <f>if(E16 &gt; 0, (2000*AVERAGE(I2:I16))+E16, (2000*AVERAGE(I2:I16))+D16)</f>
        <v>6609278.182</v>
      </c>
      <c r="E17" s="81">
        <v>6581060.0</v>
      </c>
      <c r="F17" s="94">
        <f t="shared" si="19"/>
        <v>522555</v>
      </c>
      <c r="G17" s="25">
        <f t="shared" si="1"/>
        <v>0.329053</v>
      </c>
      <c r="I17" s="35">
        <f t="shared" si="2"/>
        <v>261.2775</v>
      </c>
    </row>
    <row r="18">
      <c r="A18" s="22">
        <f t="shared" si="3"/>
        <v>45680</v>
      </c>
      <c r="B18" s="35">
        <f t="shared" si="17"/>
        <v>6500000</v>
      </c>
      <c r="C18" s="81">
        <f t="shared" si="18"/>
        <v>8580000</v>
      </c>
      <c r="D18" s="81">
        <f>if(E17 &gt; 0, (2000*AVERAGE(I2:I17))+E17, (2000*AVERAGE(I2:I17))+D17)</f>
        <v>7129481.667</v>
      </c>
      <c r="E18" s="81">
        <v>7217972.0</v>
      </c>
      <c r="F18" s="94">
        <f t="shared" si="19"/>
        <v>636912</v>
      </c>
      <c r="G18" s="25">
        <f t="shared" si="1"/>
        <v>0.3608986</v>
      </c>
      <c r="I18" s="35">
        <f t="shared" si="2"/>
        <v>318.456</v>
      </c>
    </row>
    <row r="19">
      <c r="A19" s="22">
        <f t="shared" si="3"/>
        <v>45681</v>
      </c>
      <c r="B19" s="35">
        <f t="shared" si="17"/>
        <v>7000000</v>
      </c>
      <c r="C19" s="81">
        <f t="shared" si="18"/>
        <v>9240000</v>
      </c>
      <c r="D19" s="81">
        <f>if(E18 &gt; 0, (2000*AVERAGE(I2:I18))+E18, (2000*AVERAGE(I2:I18))+D18)</f>
        <v>7773200.615</v>
      </c>
      <c r="E19" s="81">
        <v>7796876.0</v>
      </c>
      <c r="F19" s="94">
        <f t="shared" si="19"/>
        <v>578904</v>
      </c>
      <c r="G19" s="25">
        <f t="shared" si="1"/>
        <v>0.3898438</v>
      </c>
      <c r="I19" s="35">
        <f t="shared" si="2"/>
        <v>289.452</v>
      </c>
    </row>
    <row r="20">
      <c r="A20" s="89">
        <f t="shared" si="3"/>
        <v>45682</v>
      </c>
      <c r="B20" s="84">
        <f t="shared" ref="B20:E20" si="20">B19</f>
        <v>7000000</v>
      </c>
      <c r="C20" s="90">
        <f t="shared" si="20"/>
        <v>9240000</v>
      </c>
      <c r="D20" s="90">
        <f t="shared" si="20"/>
        <v>7773200.615</v>
      </c>
      <c r="E20" s="90">
        <f t="shared" si="20"/>
        <v>7796876</v>
      </c>
      <c r="F20" s="90">
        <f t="shared" ref="F20:F21" si="22">if(E19 &gt; 0, if(E20-E19 &gt;-1, E20-E19, D20-E19), D20-D19)</f>
        <v>0</v>
      </c>
      <c r="G20" s="91">
        <f t="shared" si="1"/>
        <v>0.3898438</v>
      </c>
      <c r="H20" s="92" t="s">
        <v>270</v>
      </c>
      <c r="I20" s="93" t="str">
        <f t="shared" si="2"/>
        <v/>
      </c>
      <c r="J20" s="93"/>
      <c r="K20" s="93"/>
      <c r="L20" s="93"/>
      <c r="M20" s="93"/>
      <c r="N20" s="93"/>
      <c r="O20" s="93"/>
      <c r="P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</row>
    <row r="21">
      <c r="A21" s="89">
        <f t="shared" si="3"/>
        <v>45683</v>
      </c>
      <c r="B21" s="84">
        <f t="shared" ref="B21:E21" si="21">B20</f>
        <v>7000000</v>
      </c>
      <c r="C21" s="90">
        <f t="shared" si="21"/>
        <v>9240000</v>
      </c>
      <c r="D21" s="90">
        <f t="shared" si="21"/>
        <v>7773200.615</v>
      </c>
      <c r="E21" s="90">
        <f t="shared" si="21"/>
        <v>7796876</v>
      </c>
      <c r="F21" s="90">
        <f t="shared" si="22"/>
        <v>0</v>
      </c>
      <c r="G21" s="91">
        <f t="shared" si="1"/>
        <v>0.3898438</v>
      </c>
      <c r="H21" s="92" t="s">
        <v>270</v>
      </c>
      <c r="I21" s="93" t="str">
        <f t="shared" si="2"/>
        <v/>
      </c>
      <c r="J21" s="93"/>
      <c r="K21" s="93"/>
      <c r="L21" s="93"/>
      <c r="M21" s="93"/>
      <c r="N21" s="93"/>
      <c r="O21" s="93"/>
      <c r="P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</row>
    <row r="22">
      <c r="A22" s="22">
        <f t="shared" si="3"/>
        <v>45684</v>
      </c>
      <c r="B22" s="35">
        <f t="shared" ref="B22:B26" si="23">B21+(2000*250)</f>
        <v>7500000</v>
      </c>
      <c r="C22" s="81">
        <f t="shared" ref="C22:C26" si="24">(2000*330)+C21</f>
        <v>9900000</v>
      </c>
      <c r="D22" s="81">
        <f>if(E21 &gt; 0, (2000*AVERAGE(I2:I21))+E21, (2000*AVERAGE(I2:I21))+D21)</f>
        <v>8353795.714</v>
      </c>
      <c r="E22" s="81">
        <v>8437631.0</v>
      </c>
      <c r="F22" s="94">
        <f t="shared" ref="F22:F26" si="25">if(E21 &gt; 0, if(E22-E21 &gt; -1, E22-E21, D22-E21), D22-D21)</f>
        <v>640755</v>
      </c>
      <c r="G22" s="25">
        <f t="shared" si="1"/>
        <v>0.42188155</v>
      </c>
      <c r="I22" s="35">
        <f t="shared" si="2"/>
        <v>320.3775</v>
      </c>
    </row>
    <row r="23">
      <c r="A23" s="22">
        <f t="shared" si="3"/>
        <v>45685</v>
      </c>
      <c r="B23" s="35">
        <f t="shared" si="23"/>
        <v>8000000</v>
      </c>
      <c r="C23" s="81">
        <f t="shared" si="24"/>
        <v>10560000</v>
      </c>
      <c r="D23" s="81">
        <f>if(E22 &gt; 0, (2000*AVERAGE(I2:I22))+E22, (2000*AVERAGE(I2:I22))+D22)</f>
        <v>9000139.733</v>
      </c>
      <c r="E23" s="81">
        <v>8946866.0</v>
      </c>
      <c r="F23" s="94">
        <f t="shared" si="25"/>
        <v>509235</v>
      </c>
      <c r="G23" s="25">
        <f t="shared" si="1"/>
        <v>0.4473433</v>
      </c>
      <c r="I23" s="35">
        <f t="shared" si="2"/>
        <v>254.6175</v>
      </c>
    </row>
    <row r="24">
      <c r="A24" s="22">
        <f t="shared" si="3"/>
        <v>45686</v>
      </c>
      <c r="B24" s="35">
        <f t="shared" si="23"/>
        <v>8500000</v>
      </c>
      <c r="C24" s="81">
        <f t="shared" si="24"/>
        <v>11220000</v>
      </c>
      <c r="D24" s="81">
        <f>if(E23 &gt; 0, (2000*AVERAGE(I2:I23))+E23, (2000*AVERAGE(I2:I23))+D23)</f>
        <v>9506045.125</v>
      </c>
      <c r="E24" s="81">
        <v>9459068.0</v>
      </c>
      <c r="F24" s="94">
        <f t="shared" si="25"/>
        <v>512202</v>
      </c>
      <c r="G24" s="25">
        <f t="shared" si="1"/>
        <v>0.4729534</v>
      </c>
      <c r="I24" s="35">
        <f t="shared" si="2"/>
        <v>256.101</v>
      </c>
    </row>
    <row r="25">
      <c r="A25" s="22">
        <f t="shared" si="3"/>
        <v>45687</v>
      </c>
      <c r="B25" s="35">
        <f t="shared" si="23"/>
        <v>9000000</v>
      </c>
      <c r="C25" s="81">
        <f t="shared" si="24"/>
        <v>11880000</v>
      </c>
      <c r="D25" s="81">
        <f>if(E24 &gt; 0, (2000*AVERAGE(I2:I24))+E24, (2000*AVERAGE(I2:I24))+D24)</f>
        <v>10015483.76</v>
      </c>
      <c r="E25" s="81">
        <v>1.007874E7</v>
      </c>
      <c r="F25" s="94">
        <f t="shared" si="25"/>
        <v>619672</v>
      </c>
      <c r="G25" s="25">
        <f t="shared" si="1"/>
        <v>0.503937</v>
      </c>
      <c r="I25" s="35">
        <f t="shared" si="2"/>
        <v>309.836</v>
      </c>
    </row>
    <row r="26">
      <c r="A26" s="22">
        <f t="shared" si="3"/>
        <v>45688</v>
      </c>
      <c r="B26" s="35">
        <f t="shared" si="23"/>
        <v>9500000</v>
      </c>
      <c r="C26" s="81">
        <f t="shared" si="24"/>
        <v>12540000</v>
      </c>
      <c r="D26" s="81">
        <f>if(E25 &gt; 0, (2000*AVERAGE(I2:I25))+E25, (2000*AVERAGE(I2:I25))+D25)</f>
        <v>10638670</v>
      </c>
      <c r="E26" s="81">
        <v>1.0756736E7</v>
      </c>
      <c r="F26" s="94">
        <f t="shared" si="25"/>
        <v>677996</v>
      </c>
      <c r="G26" s="25">
        <f t="shared" si="1"/>
        <v>0.5378368</v>
      </c>
      <c r="I26" s="35">
        <f t="shared" si="2"/>
        <v>338.998</v>
      </c>
    </row>
    <row r="27">
      <c r="A27" s="89">
        <f t="shared" si="3"/>
        <v>45689</v>
      </c>
      <c r="B27" s="84">
        <f t="shared" ref="B27:E27" si="26">B26</f>
        <v>9500000</v>
      </c>
      <c r="C27" s="90">
        <f t="shared" si="26"/>
        <v>12540000</v>
      </c>
      <c r="D27" s="90">
        <f t="shared" si="26"/>
        <v>10638670</v>
      </c>
      <c r="E27" s="90">
        <f t="shared" si="26"/>
        <v>10756736</v>
      </c>
      <c r="F27" s="90">
        <f t="shared" ref="F27:F28" si="28">if(E26 &gt; 0, if(E27-E26 &gt;-1, E27-E26, D27-E26), D27-D26)</f>
        <v>0</v>
      </c>
      <c r="G27" s="91">
        <f t="shared" si="1"/>
        <v>0.5378368</v>
      </c>
      <c r="H27" s="92" t="s">
        <v>270</v>
      </c>
      <c r="I27" s="93" t="str">
        <f t="shared" si="2"/>
        <v/>
      </c>
      <c r="J27" s="93"/>
      <c r="K27" s="93"/>
      <c r="L27" s="93"/>
      <c r="M27" s="93"/>
      <c r="N27" s="93"/>
      <c r="O27" s="93"/>
      <c r="P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</row>
    <row r="28">
      <c r="A28" s="89">
        <f t="shared" si="3"/>
        <v>45690</v>
      </c>
      <c r="B28" s="84">
        <f t="shared" ref="B28:E28" si="27">B27</f>
        <v>9500000</v>
      </c>
      <c r="C28" s="90">
        <f t="shared" si="27"/>
        <v>12540000</v>
      </c>
      <c r="D28" s="90">
        <f t="shared" si="27"/>
        <v>10638670</v>
      </c>
      <c r="E28" s="90">
        <f t="shared" si="27"/>
        <v>10756736</v>
      </c>
      <c r="F28" s="90">
        <f t="shared" si="28"/>
        <v>0</v>
      </c>
      <c r="G28" s="91">
        <f t="shared" si="1"/>
        <v>0.5378368</v>
      </c>
      <c r="H28" s="92" t="s">
        <v>270</v>
      </c>
      <c r="I28" s="93" t="str">
        <f t="shared" si="2"/>
        <v/>
      </c>
      <c r="J28" s="93"/>
      <c r="K28" s="93"/>
      <c r="L28" s="93"/>
      <c r="M28" s="93"/>
      <c r="N28" s="93"/>
      <c r="O28" s="93"/>
      <c r="P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</row>
    <row r="29">
      <c r="A29" s="22">
        <f t="shared" si="3"/>
        <v>45691</v>
      </c>
      <c r="B29" s="35">
        <f t="shared" ref="B29:B33" si="29">B28+(2000*250)</f>
        <v>10000000</v>
      </c>
      <c r="C29" s="81">
        <f t="shared" ref="C29:C33" si="30">(2000*330)+C28</f>
        <v>13200000</v>
      </c>
      <c r="D29" s="81">
        <f>if(E28 &gt; 0, (2000*AVERAGE(I2:I28))+E28, (2000*AVERAGE(I2:I28))+D28)</f>
        <v>11322880</v>
      </c>
      <c r="E29" s="81">
        <v>1.1268054E7</v>
      </c>
      <c r="F29" s="94">
        <f t="shared" ref="F29:F33" si="31">if(E28 &gt; 0, if(E29-E28 &gt; -1, E29-E28, D29-E28), D29-D28)</f>
        <v>511318</v>
      </c>
      <c r="G29" s="25">
        <f t="shared" si="1"/>
        <v>0.5634027</v>
      </c>
      <c r="I29" s="35">
        <f t="shared" si="2"/>
        <v>255.659</v>
      </c>
    </row>
    <row r="30">
      <c r="A30" s="22">
        <f t="shared" si="3"/>
        <v>45692</v>
      </c>
      <c r="B30" s="35">
        <f t="shared" si="29"/>
        <v>10500000</v>
      </c>
      <c r="C30" s="81">
        <f t="shared" si="30"/>
        <v>13860000</v>
      </c>
      <c r="D30" s="81">
        <f>if(E29 &gt; 0, (2000*AVERAGE(I2:I29))+E29, (2000*AVERAGE(I2:I29))+D29)</f>
        <v>11831456.7</v>
      </c>
      <c r="E30" s="81">
        <v>1.1735385E7</v>
      </c>
      <c r="F30" s="94">
        <f t="shared" si="31"/>
        <v>467331</v>
      </c>
      <c r="G30" s="25">
        <f t="shared" si="1"/>
        <v>0.58676925</v>
      </c>
      <c r="I30" s="35">
        <f t="shared" si="2"/>
        <v>233.6655</v>
      </c>
    </row>
    <row r="31">
      <c r="A31" s="22">
        <f t="shared" si="3"/>
        <v>45693</v>
      </c>
      <c r="B31" s="35">
        <f t="shared" si="29"/>
        <v>11000000</v>
      </c>
      <c r="C31" s="81">
        <f t="shared" si="30"/>
        <v>14520000</v>
      </c>
      <c r="D31" s="81">
        <f>if(E30 &gt; 0, (2000*AVERAGE(I2:I30))+E30, (2000*AVERAGE(I2:I30))+D30)</f>
        <v>12294212.86</v>
      </c>
      <c r="E31" s="81">
        <v>1.2231221E7</v>
      </c>
      <c r="F31" s="94">
        <f t="shared" si="31"/>
        <v>495836</v>
      </c>
      <c r="G31" s="25">
        <f t="shared" si="1"/>
        <v>0.61156105</v>
      </c>
      <c r="I31" s="35">
        <f t="shared" si="2"/>
        <v>247.918</v>
      </c>
    </row>
    <row r="32">
      <c r="A32" s="22">
        <f t="shared" si="3"/>
        <v>45694</v>
      </c>
      <c r="B32" s="35">
        <f t="shared" si="29"/>
        <v>11500000</v>
      </c>
      <c r="C32" s="81">
        <f t="shared" si="30"/>
        <v>15180000</v>
      </c>
      <c r="D32" s="81">
        <f>if(E31 &gt; 0, (2000*AVERAGE(I2:I31))+E31, (2000*AVERAGE(I2:I31))+D31)</f>
        <v>12787185.59</v>
      </c>
      <c r="E32" s="81">
        <v>1.2790194E7</v>
      </c>
      <c r="F32" s="94">
        <f t="shared" si="31"/>
        <v>558973</v>
      </c>
      <c r="G32" s="25">
        <f t="shared" si="1"/>
        <v>0.6395097</v>
      </c>
      <c r="I32" s="35">
        <f t="shared" si="2"/>
        <v>279.4865</v>
      </c>
    </row>
    <row r="33">
      <c r="A33" s="22">
        <f t="shared" si="3"/>
        <v>45695</v>
      </c>
      <c r="B33" s="35">
        <f t="shared" si="29"/>
        <v>12000000</v>
      </c>
      <c r="C33" s="81">
        <f t="shared" si="30"/>
        <v>15840000</v>
      </c>
      <c r="D33" s="81">
        <f>if(E32 &gt; 0, (2000*AVERAGE(I2:I32))+E32, (2000*AVERAGE(I2:I32))+D32)</f>
        <v>13346289.39</v>
      </c>
      <c r="E33" s="81">
        <v>1.3333667E7</v>
      </c>
      <c r="F33" s="94">
        <f t="shared" si="31"/>
        <v>543473</v>
      </c>
      <c r="G33" s="25">
        <f t="shared" si="1"/>
        <v>0.66668335</v>
      </c>
      <c r="I33" s="35">
        <f t="shared" si="2"/>
        <v>271.7365</v>
      </c>
    </row>
    <row r="34">
      <c r="A34" s="89">
        <f t="shared" si="3"/>
        <v>45696</v>
      </c>
      <c r="B34" s="84">
        <f t="shared" ref="B34:E34" si="32">B33</f>
        <v>12000000</v>
      </c>
      <c r="C34" s="90">
        <f t="shared" si="32"/>
        <v>15840000</v>
      </c>
      <c r="D34" s="90">
        <f t="shared" si="32"/>
        <v>13346289.39</v>
      </c>
      <c r="E34" s="90">
        <f t="shared" si="32"/>
        <v>13333667</v>
      </c>
      <c r="F34" s="90">
        <f t="shared" ref="F34:F35" si="34">if(E33 &gt; 0, if(E34-E33 &gt;-1, E34-E33, D34-E33), D34-D33)</f>
        <v>0</v>
      </c>
      <c r="G34" s="91">
        <f t="shared" si="1"/>
        <v>0.66668335</v>
      </c>
      <c r="H34" s="92" t="s">
        <v>270</v>
      </c>
      <c r="I34" s="93" t="str">
        <f t="shared" si="2"/>
        <v/>
      </c>
      <c r="J34" s="93"/>
      <c r="K34" s="93"/>
      <c r="L34" s="93"/>
      <c r="M34" s="93"/>
      <c r="N34" s="93"/>
      <c r="O34" s="93"/>
      <c r="P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</row>
    <row r="35">
      <c r="A35" s="89">
        <f t="shared" si="3"/>
        <v>45697</v>
      </c>
      <c r="B35" s="84">
        <f t="shared" ref="B35:E35" si="33">B34</f>
        <v>12000000</v>
      </c>
      <c r="C35" s="90">
        <f t="shared" si="33"/>
        <v>15840000</v>
      </c>
      <c r="D35" s="90">
        <f t="shared" si="33"/>
        <v>13346289.39</v>
      </c>
      <c r="E35" s="90">
        <f t="shared" si="33"/>
        <v>13333667</v>
      </c>
      <c r="F35" s="90">
        <f t="shared" si="34"/>
        <v>0</v>
      </c>
      <c r="G35" s="91">
        <f t="shared" si="1"/>
        <v>0.66668335</v>
      </c>
      <c r="H35" s="92" t="s">
        <v>270</v>
      </c>
      <c r="I35" s="93" t="str">
        <f t="shared" si="2"/>
        <v/>
      </c>
      <c r="J35" s="93"/>
      <c r="K35" s="93"/>
      <c r="L35" s="93"/>
      <c r="M35" s="93"/>
      <c r="N35" s="93"/>
      <c r="O35" s="93"/>
      <c r="P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</row>
    <row r="36">
      <c r="A36" s="22">
        <f t="shared" si="3"/>
        <v>45698</v>
      </c>
      <c r="B36" s="35">
        <f t="shared" ref="B36:B40" si="35">B35+(2000*250)</f>
        <v>12500000</v>
      </c>
      <c r="C36" s="81">
        <f t="shared" ref="C36:C40" si="36">(2000*330)+C35</f>
        <v>16500000</v>
      </c>
      <c r="D36" s="81">
        <f>if(E35 &gt; 0, (2000*AVERAGE(I2:I35))+E35, (2000*AVERAGE(I2:I35))+D35)</f>
        <v>13889236.46</v>
      </c>
      <c r="E36" s="81">
        <v>1.3912377E7</v>
      </c>
      <c r="F36" s="94">
        <f t="shared" ref="F36:F40" si="37">if(E35 &gt; 0, if(E36-E35 &gt; -1, E36-E35, D36-E35), D36-D35)</f>
        <v>578710</v>
      </c>
      <c r="G36" s="25">
        <f t="shared" si="1"/>
        <v>0.69561885</v>
      </c>
      <c r="I36" s="35">
        <f t="shared" si="2"/>
        <v>289.355</v>
      </c>
    </row>
    <row r="37">
      <c r="A37" s="22">
        <f t="shared" si="3"/>
        <v>45699</v>
      </c>
      <c r="B37" s="35">
        <f t="shared" si="35"/>
        <v>13000000</v>
      </c>
      <c r="C37" s="81">
        <f t="shared" si="36"/>
        <v>17160000</v>
      </c>
      <c r="D37" s="81">
        <f>if(E36 &gt; 0, (2000*AVERAGE(I2:I36))+E36, (2000*AVERAGE(I2:I36))+D36)</f>
        <v>14468872.08</v>
      </c>
      <c r="E37" s="81">
        <v>1.4459997E7</v>
      </c>
      <c r="F37" s="94">
        <f t="shared" si="37"/>
        <v>547620</v>
      </c>
      <c r="G37" s="25">
        <f t="shared" si="1"/>
        <v>0.72299985</v>
      </c>
      <c r="I37" s="35">
        <f t="shared" si="2"/>
        <v>273.81</v>
      </c>
    </row>
    <row r="38">
      <c r="A38" s="22">
        <f t="shared" si="3"/>
        <v>45700</v>
      </c>
      <c r="B38" s="35">
        <f t="shared" si="35"/>
        <v>13500000</v>
      </c>
      <c r="C38" s="81">
        <f t="shared" si="36"/>
        <v>17820000</v>
      </c>
      <c r="D38" s="81">
        <f>if(E37 &gt; 0, (2000*AVERAGE(I2:I37))+E37, (2000*AVERAGE(I2:I37))+D37)</f>
        <v>15016150.73</v>
      </c>
      <c r="E38" s="81">
        <v>1.5215426E7</v>
      </c>
      <c r="F38" s="94">
        <f t="shared" si="37"/>
        <v>755429</v>
      </c>
      <c r="G38" s="25">
        <f t="shared" si="1"/>
        <v>0.7607713</v>
      </c>
      <c r="H38" s="5" t="s">
        <v>278</v>
      </c>
      <c r="I38" s="35">
        <f t="shared" si="2"/>
        <v>377.7145</v>
      </c>
    </row>
    <row r="39">
      <c r="A39" s="22">
        <f t="shared" si="3"/>
        <v>45701</v>
      </c>
      <c r="B39" s="35">
        <f t="shared" si="35"/>
        <v>14000000</v>
      </c>
      <c r="C39" s="81">
        <f t="shared" si="36"/>
        <v>18480000</v>
      </c>
      <c r="D39" s="81">
        <f>if(E38 &gt; 0, (2000*AVERAGE(I2:I38))+E38, (2000*AVERAGE(I2:I38))+D38)</f>
        <v>15778960.3</v>
      </c>
      <c r="E39" s="81">
        <v>1.5821967E7</v>
      </c>
      <c r="F39" s="94">
        <f t="shared" si="37"/>
        <v>606541</v>
      </c>
      <c r="G39" s="25">
        <f t="shared" si="1"/>
        <v>0.79109835</v>
      </c>
      <c r="H39" s="5" t="s">
        <v>278</v>
      </c>
      <c r="I39" s="35">
        <f t="shared" si="2"/>
        <v>303.2705</v>
      </c>
    </row>
    <row r="40">
      <c r="A40" s="22">
        <f t="shared" si="3"/>
        <v>45702</v>
      </c>
      <c r="B40" s="35">
        <f t="shared" si="35"/>
        <v>14500000</v>
      </c>
      <c r="C40" s="81">
        <f t="shared" si="36"/>
        <v>19140000</v>
      </c>
      <c r="D40" s="81">
        <f>if(E39 &gt; 0, (2000*AVERAGE(I2:I39))+E39, (2000*AVERAGE(I2:I39))+D39)</f>
        <v>16387037.25</v>
      </c>
      <c r="E40" s="81">
        <v>1.6457727E7</v>
      </c>
      <c r="F40" s="94">
        <f t="shared" si="37"/>
        <v>635760</v>
      </c>
      <c r="G40" s="25">
        <f t="shared" si="1"/>
        <v>0.82288635</v>
      </c>
      <c r="I40" s="35">
        <f t="shared" si="2"/>
        <v>317.88</v>
      </c>
    </row>
    <row r="41">
      <c r="A41" s="89">
        <f t="shared" si="3"/>
        <v>45703</v>
      </c>
      <c r="B41" s="84">
        <f t="shared" ref="B41:E41" si="38">B40</f>
        <v>14500000</v>
      </c>
      <c r="C41" s="90">
        <f t="shared" si="38"/>
        <v>19140000</v>
      </c>
      <c r="D41" s="90">
        <f t="shared" si="38"/>
        <v>16387037.25</v>
      </c>
      <c r="E41" s="90">
        <f t="shared" si="38"/>
        <v>16457727</v>
      </c>
      <c r="F41" s="90">
        <f t="shared" ref="F41:F42" si="40">if(E40 &gt; 0, if(E41-E40 &gt;-1, E41-E40, D41-E40), D41-D40)</f>
        <v>0</v>
      </c>
      <c r="G41" s="91">
        <f t="shared" si="1"/>
        <v>0.82288635</v>
      </c>
      <c r="H41" s="92" t="s">
        <v>270</v>
      </c>
      <c r="I41" s="93" t="str">
        <f t="shared" si="2"/>
        <v/>
      </c>
      <c r="J41" s="93"/>
      <c r="K41" s="93"/>
      <c r="L41" s="93"/>
      <c r="M41" s="93"/>
      <c r="N41" s="93"/>
      <c r="O41" s="93"/>
      <c r="P41" s="93"/>
      <c r="R41" s="93"/>
      <c r="S41" s="93"/>
      <c r="T41" s="93"/>
      <c r="U41" s="93"/>
      <c r="V41" s="93"/>
      <c r="W41" s="93"/>
      <c r="X41" s="93"/>
      <c r="Y41" s="93"/>
      <c r="Z41" s="93"/>
      <c r="AA41" s="93"/>
      <c r="AB41" s="93"/>
      <c r="AC41" s="93"/>
      <c r="AD41" s="93"/>
    </row>
    <row r="42">
      <c r="A42" s="89">
        <f t="shared" si="3"/>
        <v>45704</v>
      </c>
      <c r="B42" s="84">
        <f t="shared" ref="B42:E42" si="39">B41</f>
        <v>14500000</v>
      </c>
      <c r="C42" s="90">
        <f t="shared" si="39"/>
        <v>19140000</v>
      </c>
      <c r="D42" s="90">
        <f t="shared" si="39"/>
        <v>16387037.25</v>
      </c>
      <c r="E42" s="90">
        <f t="shared" si="39"/>
        <v>16457727</v>
      </c>
      <c r="F42" s="90">
        <f t="shared" si="40"/>
        <v>0</v>
      </c>
      <c r="G42" s="91">
        <f t="shared" si="1"/>
        <v>0.82288635</v>
      </c>
      <c r="H42" s="92" t="s">
        <v>270</v>
      </c>
      <c r="I42" s="93" t="str">
        <f t="shared" si="2"/>
        <v/>
      </c>
      <c r="J42" s="93"/>
      <c r="K42" s="93"/>
      <c r="L42" s="93"/>
      <c r="M42" s="93"/>
      <c r="N42" s="93"/>
      <c r="O42" s="93"/>
      <c r="P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</row>
    <row r="43">
      <c r="A43" s="22">
        <f t="shared" si="3"/>
        <v>45705</v>
      </c>
      <c r="B43" s="35">
        <f t="shared" ref="B43:B47" si="41">B42+(2000*250)</f>
        <v>15000000</v>
      </c>
      <c r="C43" s="81">
        <f>(2000*330)+C42</f>
        <v>19800000</v>
      </c>
      <c r="D43" s="81">
        <f>if((2000*AVERAGE(I2:I42))+D42 &gt; 20000000, 20000000, if(E42 &gt; 0, (2000*AVERAGE(I2:I42))+E42, (2000*AVERAGE(I2:I42))+D42))</f>
        <v>17025234.83</v>
      </c>
      <c r="E43" s="81">
        <v>1.6880817E7</v>
      </c>
      <c r="F43" s="94">
        <f t="shared" ref="F43:F47" si="42">if(E42 &gt; 0, if(E43-E42 &gt; -1, E43-E42, D43-E42), D43-D42)</f>
        <v>423090</v>
      </c>
      <c r="G43" s="25">
        <f t="shared" si="1"/>
        <v>0.84404085</v>
      </c>
      <c r="H43" s="5" t="s">
        <v>280</v>
      </c>
      <c r="I43" s="35">
        <f t="shared" si="2"/>
        <v>211.545</v>
      </c>
    </row>
    <row r="44">
      <c r="A44" s="22">
        <f t="shared" si="3"/>
        <v>45706</v>
      </c>
      <c r="B44" s="35">
        <f t="shared" si="41"/>
        <v>15500000</v>
      </c>
      <c r="C44" s="81">
        <v>2.0E7</v>
      </c>
      <c r="D44" s="81">
        <f>if((2000*AVERAGE(I2:I43))+D43 &gt; 20000000, 20000000, if(E43 &gt; 0, (2000*AVERAGE(I2:I43))+E43, (2000*AVERAGE(I2:I43))+D43))</f>
        <v>17443510.9</v>
      </c>
      <c r="E44" s="81">
        <v>1.7434431E7</v>
      </c>
      <c r="F44" s="94">
        <f t="shared" si="42"/>
        <v>553614</v>
      </c>
      <c r="G44" s="25">
        <f t="shared" si="1"/>
        <v>0.87172155</v>
      </c>
      <c r="I44" s="35">
        <f t="shared" si="2"/>
        <v>276.807</v>
      </c>
    </row>
    <row r="45">
      <c r="A45" s="22">
        <f t="shared" si="3"/>
        <v>45707</v>
      </c>
      <c r="B45" s="35">
        <f t="shared" si="41"/>
        <v>16000000</v>
      </c>
      <c r="C45" s="81"/>
      <c r="D45" s="81">
        <f>if((2000*AVERAGE(I2:I44))+D44 &gt; 20000000, 20000000, if(E44 &gt; 0, (2000*AVERAGE(I2:I44))+E44, (2000*AVERAGE(I2:I44))+D44))</f>
        <v>17996832</v>
      </c>
      <c r="E45" s="81">
        <v>1.8062105E7</v>
      </c>
      <c r="F45" s="94">
        <f t="shared" si="42"/>
        <v>627674</v>
      </c>
      <c r="G45" s="25">
        <f t="shared" si="1"/>
        <v>0.90310525</v>
      </c>
      <c r="I45" s="35">
        <f t="shared" si="2"/>
        <v>313.837</v>
      </c>
    </row>
    <row r="46">
      <c r="A46" s="22">
        <f t="shared" si="3"/>
        <v>45708</v>
      </c>
      <c r="B46" s="35">
        <f t="shared" si="41"/>
        <v>16500000</v>
      </c>
      <c r="C46" s="81"/>
      <c r="D46" s="81">
        <f>if((2000*AVERAGE(I2:I45))+D45 &gt; 20000000, 20000000, if(E45 &gt; 0, (2000*AVERAGE(I2:I45))+E45, (2000*AVERAGE(I2:I45))+D45))</f>
        <v>18626545.78</v>
      </c>
      <c r="E46" s="81">
        <v>1.8938115E7</v>
      </c>
      <c r="F46" s="94">
        <f t="shared" si="42"/>
        <v>876010</v>
      </c>
      <c r="G46" s="25">
        <f t="shared" si="1"/>
        <v>0.94690575</v>
      </c>
      <c r="I46" s="35">
        <f t="shared" si="2"/>
        <v>438.005</v>
      </c>
    </row>
    <row r="47">
      <c r="A47" s="22">
        <f t="shared" si="3"/>
        <v>45709</v>
      </c>
      <c r="B47" s="35">
        <f t="shared" si="41"/>
        <v>17000000</v>
      </c>
      <c r="C47" s="81"/>
      <c r="D47" s="81">
        <f>if((2000*AVERAGE(I2:I46))+D46 &gt; 20000000, 20000000, if(E46 &gt; 0, (2000*AVERAGE(I2:I46))+E46, (2000*AVERAGE(I2:I46))+D46))</f>
        <v>19511997.27</v>
      </c>
      <c r="E47" s="81">
        <v>1.9674229E7</v>
      </c>
      <c r="F47" s="94">
        <f t="shared" si="42"/>
        <v>736114</v>
      </c>
      <c r="G47" s="25">
        <f t="shared" si="1"/>
        <v>0.98371145</v>
      </c>
      <c r="I47" s="35">
        <f t="shared" si="2"/>
        <v>368.057</v>
      </c>
    </row>
    <row r="48">
      <c r="A48" s="89">
        <f t="shared" si="3"/>
        <v>45710</v>
      </c>
      <c r="B48" s="84">
        <f t="shared" ref="B48:B49" si="44">B47</f>
        <v>17000000</v>
      </c>
      <c r="C48" s="90"/>
      <c r="D48" s="90">
        <f t="shared" ref="D48:E48" si="43">D47</f>
        <v>19511997.27</v>
      </c>
      <c r="E48" s="90">
        <f t="shared" si="43"/>
        <v>19674229</v>
      </c>
      <c r="F48" s="90">
        <f t="shared" ref="F48:F49" si="46">if(E47 &gt; 0, if(E48-E47 &gt;-1, E48-E47, D48-E47), D48-D47)</f>
        <v>0</v>
      </c>
      <c r="G48" s="91">
        <f t="shared" si="1"/>
        <v>0.98371145</v>
      </c>
      <c r="H48" s="92" t="s">
        <v>270</v>
      </c>
      <c r="I48" s="93" t="str">
        <f t="shared" si="2"/>
        <v/>
      </c>
      <c r="J48" s="93"/>
      <c r="K48" s="93"/>
      <c r="L48" s="93"/>
      <c r="M48" s="93"/>
      <c r="N48" s="93"/>
      <c r="O48" s="93"/>
      <c r="P48" s="93"/>
      <c r="R48" s="93"/>
      <c r="S48" s="93"/>
      <c r="T48" s="93"/>
      <c r="U48" s="93"/>
      <c r="V48" s="93"/>
      <c r="W48" s="93"/>
      <c r="X48" s="93"/>
      <c r="Y48" s="93"/>
      <c r="Z48" s="93"/>
      <c r="AA48" s="93"/>
      <c r="AB48" s="93"/>
      <c r="AC48" s="93"/>
      <c r="AD48" s="93"/>
    </row>
    <row r="49">
      <c r="A49" s="89">
        <f t="shared" si="3"/>
        <v>45711</v>
      </c>
      <c r="B49" s="84">
        <f t="shared" si="44"/>
        <v>17000000</v>
      </c>
      <c r="C49" s="90"/>
      <c r="D49" s="90">
        <f t="shared" ref="D49:E49" si="45">D48</f>
        <v>19511997.27</v>
      </c>
      <c r="E49" s="90">
        <f t="shared" si="45"/>
        <v>19674229</v>
      </c>
      <c r="F49" s="90">
        <f t="shared" si="46"/>
        <v>0</v>
      </c>
      <c r="G49" s="91">
        <f t="shared" si="1"/>
        <v>0.98371145</v>
      </c>
      <c r="H49" s="92" t="s">
        <v>270</v>
      </c>
      <c r="I49" s="93" t="str">
        <f t="shared" si="2"/>
        <v/>
      </c>
      <c r="J49" s="93"/>
      <c r="K49" s="93"/>
      <c r="L49" s="93"/>
      <c r="M49" s="93"/>
      <c r="N49" s="93"/>
      <c r="O49" s="93"/>
      <c r="P49" s="93"/>
      <c r="R49" s="93"/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</row>
    <row r="50">
      <c r="A50" s="95">
        <f t="shared" si="3"/>
        <v>45712</v>
      </c>
      <c r="B50" s="96">
        <f t="shared" ref="B50:B54" si="47">B49+(2000*250)</f>
        <v>17500000</v>
      </c>
      <c r="C50" s="97"/>
      <c r="D50" s="97">
        <f>if((2000*AVERAGE(I2:I49))+D49 &gt; 20000000, 20000000, if(E49 &gt; 0, (2000*AVERAGE(I2:I49))+E49, (2000*AVERAGE(I2:I49))+D49))</f>
        <v>20000000</v>
      </c>
      <c r="E50" s="97">
        <v>2.0E7</v>
      </c>
      <c r="F50" s="98">
        <f t="shared" ref="F50:F54" si="48">if(E49 &gt; 0, if(E50-E49 &gt; -1, E50-E49, D50-E49), D50-D49)</f>
        <v>325771</v>
      </c>
      <c r="G50" s="99">
        <f t="shared" si="1"/>
        <v>1</v>
      </c>
      <c r="H50" s="96"/>
      <c r="I50" s="96">
        <f t="shared" si="2"/>
        <v>162.8855</v>
      </c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</row>
    <row r="51">
      <c r="A51" s="83">
        <f t="shared" si="3"/>
        <v>45713</v>
      </c>
      <c r="B51" s="84">
        <f t="shared" si="47"/>
        <v>18000000</v>
      </c>
      <c r="C51" s="85"/>
      <c r="D51" s="85">
        <f>if((2000*AVERAGE(I2:I50))+D50 &gt; 20000000, 20000000, if(E50 &gt; 0, (2000*AVERAGE(I2:I50))+E50, (2000*AVERAGE(I2:I50))+D50))</f>
        <v>20000000</v>
      </c>
      <c r="E51" s="86"/>
      <c r="F51" s="86">
        <f t="shared" si="48"/>
        <v>0</v>
      </c>
      <c r="G51" s="87">
        <f t="shared" si="1"/>
        <v>1</v>
      </c>
      <c r="H51" s="84"/>
      <c r="I51" s="84" t="str">
        <f t="shared" si="2"/>
        <v/>
      </c>
      <c r="J51" s="84"/>
      <c r="K51" s="84"/>
      <c r="L51" s="84"/>
      <c r="M51" s="84"/>
      <c r="N51" s="84"/>
      <c r="O51" s="84"/>
      <c r="P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</row>
    <row r="52">
      <c r="A52" s="83">
        <f t="shared" si="3"/>
        <v>45714</v>
      </c>
      <c r="B52" s="84">
        <f t="shared" si="47"/>
        <v>18500000</v>
      </c>
      <c r="C52" s="85"/>
      <c r="D52" s="85">
        <f>if((2000*AVERAGE(I2:I51))+D51 &gt; 20000000, 20000000, if(E51 &gt; 0, (2000*AVERAGE(I2:I51))+E51, (2000*AVERAGE(I2:I51))+D51))</f>
        <v>20000000</v>
      </c>
      <c r="E52" s="86"/>
      <c r="F52" s="86">
        <f t="shared" si="48"/>
        <v>0</v>
      </c>
      <c r="G52" s="87">
        <f t="shared" si="1"/>
        <v>1</v>
      </c>
      <c r="H52" s="84"/>
      <c r="I52" s="84" t="str">
        <f t="shared" si="2"/>
        <v/>
      </c>
      <c r="J52" s="84"/>
      <c r="K52" s="84"/>
      <c r="L52" s="84"/>
      <c r="M52" s="84"/>
      <c r="N52" s="84"/>
      <c r="O52" s="84"/>
      <c r="P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</row>
    <row r="53">
      <c r="A53" s="83">
        <f t="shared" si="3"/>
        <v>45715</v>
      </c>
      <c r="B53" s="84">
        <f t="shared" si="47"/>
        <v>19000000</v>
      </c>
      <c r="C53" s="85"/>
      <c r="D53" s="85">
        <f>if((2000*AVERAGE(I2:I52))+D52 &gt; 20000000, 20000000, if(E52 &gt; 0, (2000*AVERAGE(I2:I52))+E52, (2000*AVERAGE(I2:I52))+D52))</f>
        <v>20000000</v>
      </c>
      <c r="E53" s="86"/>
      <c r="F53" s="86">
        <f t="shared" si="48"/>
        <v>0</v>
      </c>
      <c r="G53" s="87">
        <f t="shared" si="1"/>
        <v>1</v>
      </c>
      <c r="H53" s="84"/>
      <c r="I53" s="84" t="str">
        <f t="shared" si="2"/>
        <v/>
      </c>
      <c r="J53" s="84"/>
      <c r="K53" s="84"/>
      <c r="L53" s="84"/>
      <c r="M53" s="84"/>
      <c r="N53" s="84"/>
      <c r="O53" s="84"/>
      <c r="P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</row>
    <row r="54">
      <c r="A54" s="83">
        <f t="shared" si="3"/>
        <v>45716</v>
      </c>
      <c r="B54" s="84">
        <f t="shared" si="47"/>
        <v>19500000</v>
      </c>
      <c r="C54" s="85"/>
      <c r="D54" s="85">
        <f>if((2000*AVERAGE(I2:I53))+D53 &gt; 20000000, 20000000, if(E53 &gt; 0, (2000*AVERAGE(I2:I53))+E53, (2000*AVERAGE(I2:I53))+D53))</f>
        <v>20000000</v>
      </c>
      <c r="E54" s="86"/>
      <c r="F54" s="86">
        <f t="shared" si="48"/>
        <v>0</v>
      </c>
      <c r="G54" s="87">
        <f t="shared" si="1"/>
        <v>1</v>
      </c>
      <c r="H54" s="84"/>
      <c r="I54" s="84" t="str">
        <f t="shared" si="2"/>
        <v/>
      </c>
      <c r="J54" s="84"/>
      <c r="K54" s="84"/>
      <c r="L54" s="84"/>
      <c r="M54" s="84"/>
      <c r="N54" s="84"/>
      <c r="O54" s="84"/>
      <c r="P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</row>
    <row r="55">
      <c r="A55" s="89">
        <f t="shared" si="3"/>
        <v>45717</v>
      </c>
      <c r="B55" s="84">
        <f t="shared" ref="B55:B56" si="50">B54</f>
        <v>19500000</v>
      </c>
      <c r="C55" s="90"/>
      <c r="D55" s="90">
        <f t="shared" ref="D55:E55" si="49">D54</f>
        <v>20000000</v>
      </c>
      <c r="E55" s="90" t="str">
        <f t="shared" si="49"/>
        <v/>
      </c>
      <c r="F55" s="90">
        <f t="shared" ref="F55:F56" si="52">if(E54 &gt; 0, if(E55-E54 &gt;-1, E55-E54, D55-E54), D55-D54)</f>
        <v>0</v>
      </c>
      <c r="G55" s="91">
        <f t="shared" si="1"/>
        <v>1</v>
      </c>
      <c r="H55" s="92" t="s">
        <v>270</v>
      </c>
      <c r="I55" s="93" t="str">
        <f t="shared" si="2"/>
        <v/>
      </c>
      <c r="J55" s="93"/>
      <c r="K55" s="93"/>
      <c r="L55" s="93"/>
      <c r="M55" s="93"/>
      <c r="N55" s="93"/>
      <c r="O55" s="93"/>
      <c r="P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</row>
    <row r="56">
      <c r="A56" s="89">
        <f t="shared" si="3"/>
        <v>45718</v>
      </c>
      <c r="B56" s="84">
        <f t="shared" si="50"/>
        <v>19500000</v>
      </c>
      <c r="C56" s="90"/>
      <c r="D56" s="90">
        <f t="shared" ref="D56:E56" si="51">D55</f>
        <v>20000000</v>
      </c>
      <c r="E56" s="90" t="str">
        <f t="shared" si="51"/>
        <v/>
      </c>
      <c r="F56" s="90">
        <f t="shared" si="52"/>
        <v>0</v>
      </c>
      <c r="G56" s="91">
        <f t="shared" si="1"/>
        <v>1</v>
      </c>
      <c r="H56" s="92" t="s">
        <v>270</v>
      </c>
      <c r="I56" s="93" t="str">
        <f t="shared" si="2"/>
        <v/>
      </c>
      <c r="J56" s="93"/>
      <c r="K56" s="93"/>
      <c r="L56" s="93"/>
      <c r="M56" s="93"/>
      <c r="N56" s="93"/>
      <c r="O56" s="93"/>
      <c r="P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</row>
    <row r="57">
      <c r="A57" s="83">
        <f t="shared" si="3"/>
        <v>45719</v>
      </c>
      <c r="B57" s="84">
        <f>B56+(2000*250)</f>
        <v>20000000</v>
      </c>
      <c r="C57" s="85"/>
      <c r="D57" s="85">
        <f>if((2000*AVERAGE(I2:I56))+D56 &gt; 20000000, 20000000, if(E56 &gt; 0, (2000*AVERAGE(I2:I56))+E56, (2000*AVERAGE(I2:I56))+D56))</f>
        <v>20000000</v>
      </c>
      <c r="E57" s="86"/>
      <c r="F57" s="86">
        <f t="shared" ref="F57:F61" si="53">if(E56 &gt; 0, if(E57-E56 &gt; -1, E57-E56, D57-E56), D57-D56)</f>
        <v>0</v>
      </c>
      <c r="G57" s="87">
        <f t="shared" si="1"/>
        <v>1</v>
      </c>
      <c r="H57" s="84"/>
      <c r="I57" s="84" t="str">
        <f t="shared" si="2"/>
        <v/>
      </c>
      <c r="J57" s="84"/>
      <c r="K57" s="84"/>
      <c r="L57" s="84"/>
      <c r="M57" s="84"/>
      <c r="N57" s="84"/>
      <c r="O57" s="84"/>
      <c r="P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</row>
    <row r="58">
      <c r="A58" s="83">
        <f t="shared" si="3"/>
        <v>45720</v>
      </c>
      <c r="B58" s="84"/>
      <c r="C58" s="85"/>
      <c r="D58" s="85">
        <f>if((2000*AVERAGE(I2:I57))+D57 &gt; 20000000, 20000000, if(E57 &gt; 0, (2000*AVERAGE(I2:I57))+E57, (2000*AVERAGE(I2:I57))+D57))</f>
        <v>20000000</v>
      </c>
      <c r="E58" s="86"/>
      <c r="F58" s="86">
        <f t="shared" si="53"/>
        <v>0</v>
      </c>
      <c r="G58" s="87">
        <f t="shared" si="1"/>
        <v>1</v>
      </c>
      <c r="H58" s="84"/>
      <c r="I58" s="84" t="str">
        <f t="shared" si="2"/>
        <v/>
      </c>
      <c r="J58" s="84"/>
      <c r="K58" s="84"/>
      <c r="L58" s="84"/>
      <c r="M58" s="84"/>
      <c r="N58" s="84"/>
      <c r="O58" s="84"/>
      <c r="P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</row>
    <row r="59">
      <c r="A59" s="83">
        <f t="shared" si="3"/>
        <v>45721</v>
      </c>
      <c r="B59" s="84"/>
      <c r="C59" s="85"/>
      <c r="D59" s="85">
        <f>if((2000*AVERAGE(I2:I58))+D58 &gt; 20000000, 20000000, if(E58 &gt; 0, (2000*AVERAGE(I2:I58))+E58, (2000*AVERAGE(I2:I58))+D58))</f>
        <v>20000000</v>
      </c>
      <c r="E59" s="86"/>
      <c r="F59" s="86">
        <f t="shared" si="53"/>
        <v>0</v>
      </c>
      <c r="G59" s="87">
        <f t="shared" si="1"/>
        <v>1</v>
      </c>
      <c r="H59" s="84"/>
      <c r="I59" s="84" t="str">
        <f t="shared" si="2"/>
        <v/>
      </c>
      <c r="J59" s="84"/>
      <c r="K59" s="84"/>
      <c r="L59" s="84"/>
      <c r="M59" s="84"/>
      <c r="N59" s="84"/>
      <c r="O59" s="84"/>
      <c r="P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</row>
    <row r="60">
      <c r="A60" s="83">
        <f t="shared" si="3"/>
        <v>45722</v>
      </c>
      <c r="B60" s="84"/>
      <c r="C60" s="85"/>
      <c r="D60" s="85">
        <f>if((2000*AVERAGE(I2:I59))+D59 &gt; 20000000, 20000000, if(E59 &gt; 0, (2000*AVERAGE(I2:I59))+E59, (2000*AVERAGE(I2:I59))+D59))</f>
        <v>20000000</v>
      </c>
      <c r="E60" s="86"/>
      <c r="F60" s="86">
        <f t="shared" si="53"/>
        <v>0</v>
      </c>
      <c r="G60" s="87">
        <f t="shared" si="1"/>
        <v>1</v>
      </c>
      <c r="H60" s="84"/>
      <c r="I60" s="84" t="str">
        <f t="shared" si="2"/>
        <v/>
      </c>
      <c r="J60" s="84"/>
      <c r="K60" s="84"/>
      <c r="L60" s="84"/>
      <c r="M60" s="84"/>
      <c r="N60" s="84"/>
      <c r="O60" s="84"/>
      <c r="P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</row>
    <row r="61">
      <c r="A61" s="83">
        <f t="shared" si="3"/>
        <v>45723</v>
      </c>
      <c r="B61" s="84"/>
      <c r="C61" s="85"/>
      <c r="D61" s="85">
        <f>if((2000*AVERAGE(I2:I60))+D60 &gt; 20000000, 20000000, if(E60 &gt; 0, (2000*AVERAGE(I2:I60))+E60, (2000*AVERAGE(I2:I60))+D60))</f>
        <v>20000000</v>
      </c>
      <c r="E61" s="86"/>
      <c r="F61" s="86">
        <f t="shared" si="53"/>
        <v>0</v>
      </c>
      <c r="G61" s="87">
        <f t="shared" si="1"/>
        <v>1</v>
      </c>
      <c r="H61" s="84"/>
      <c r="I61" s="84" t="str">
        <f t="shared" si="2"/>
        <v/>
      </c>
      <c r="J61" s="84"/>
      <c r="K61" s="84"/>
      <c r="L61" s="84"/>
      <c r="M61" s="84"/>
      <c r="N61" s="84"/>
      <c r="O61" s="84"/>
      <c r="P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</row>
    <row r="62">
      <c r="A62" s="89">
        <f t="shared" si="3"/>
        <v>45724</v>
      </c>
      <c r="B62" s="93"/>
      <c r="C62" s="90"/>
      <c r="D62" s="90">
        <f t="shared" ref="D62:E62" si="54">D61</f>
        <v>20000000</v>
      </c>
      <c r="E62" s="90" t="str">
        <f t="shared" si="54"/>
        <v/>
      </c>
      <c r="F62" s="90">
        <f t="shared" ref="F62:F63" si="56">if(E61 &gt; 0, if(E62-E61 &gt;-1, E62-E61, D62-E61), D62-D61)</f>
        <v>0</v>
      </c>
      <c r="G62" s="91">
        <f t="shared" si="1"/>
        <v>1</v>
      </c>
      <c r="H62" s="92" t="s">
        <v>270</v>
      </c>
      <c r="I62" s="93" t="str">
        <f t="shared" si="2"/>
        <v/>
      </c>
      <c r="J62" s="93"/>
      <c r="K62" s="93"/>
      <c r="L62" s="93"/>
      <c r="M62" s="93"/>
      <c r="N62" s="93"/>
      <c r="O62" s="93"/>
      <c r="P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</row>
    <row r="63">
      <c r="A63" s="89">
        <f t="shared" si="3"/>
        <v>45725</v>
      </c>
      <c r="B63" s="93"/>
      <c r="C63" s="90"/>
      <c r="D63" s="90">
        <f t="shared" ref="D63:E63" si="55">D62</f>
        <v>20000000</v>
      </c>
      <c r="E63" s="90" t="str">
        <f t="shared" si="55"/>
        <v/>
      </c>
      <c r="F63" s="90">
        <f t="shared" si="56"/>
        <v>0</v>
      </c>
      <c r="G63" s="91">
        <f t="shared" si="1"/>
        <v>1</v>
      </c>
      <c r="H63" s="92" t="s">
        <v>270</v>
      </c>
      <c r="I63" s="93" t="str">
        <f t="shared" si="2"/>
        <v/>
      </c>
      <c r="J63" s="93"/>
      <c r="K63" s="93"/>
      <c r="L63" s="93"/>
      <c r="M63" s="93"/>
      <c r="N63" s="93"/>
      <c r="O63" s="93"/>
      <c r="P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</row>
    <row r="64">
      <c r="C64" s="94"/>
      <c r="D64" s="94"/>
      <c r="E64" s="94"/>
      <c r="F64" s="94"/>
      <c r="G64" s="25"/>
    </row>
    <row r="65">
      <c r="C65" s="94"/>
      <c r="D65" s="94"/>
      <c r="E65" s="94"/>
      <c r="F65" s="94"/>
      <c r="G65" s="25"/>
    </row>
    <row r="66">
      <c r="C66" s="94"/>
      <c r="D66" s="94"/>
      <c r="E66" s="94"/>
      <c r="F66" s="94"/>
      <c r="G66" s="25"/>
    </row>
    <row r="67">
      <c r="C67" s="94"/>
      <c r="D67" s="94"/>
      <c r="E67" s="94"/>
      <c r="F67" s="94"/>
      <c r="G67" s="25"/>
    </row>
    <row r="68">
      <c r="C68" s="94"/>
      <c r="D68" s="94"/>
      <c r="E68" s="94"/>
      <c r="F68" s="94"/>
      <c r="G68" s="25"/>
    </row>
    <row r="69">
      <c r="C69" s="94"/>
      <c r="D69" s="94"/>
      <c r="E69" s="94"/>
      <c r="F69" s="94"/>
      <c r="G69" s="25"/>
    </row>
    <row r="70">
      <c r="C70" s="94"/>
      <c r="D70" s="94"/>
      <c r="E70" s="94"/>
      <c r="F70" s="94"/>
      <c r="G70" s="25"/>
    </row>
    <row r="71">
      <c r="C71" s="94"/>
      <c r="D71" s="94"/>
      <c r="E71" s="94"/>
      <c r="F71" s="94"/>
      <c r="G71" s="25"/>
    </row>
    <row r="72">
      <c r="C72" s="94"/>
      <c r="D72" s="94"/>
      <c r="E72" s="94"/>
      <c r="F72" s="94"/>
      <c r="G72" s="25"/>
    </row>
    <row r="73">
      <c r="C73" s="94"/>
      <c r="D73" s="94"/>
      <c r="E73" s="94"/>
      <c r="F73" s="94"/>
      <c r="G73" s="25"/>
    </row>
    <row r="74">
      <c r="C74" s="94"/>
      <c r="D74" s="94"/>
      <c r="E74" s="94"/>
      <c r="F74" s="94"/>
      <c r="G74" s="25"/>
    </row>
    <row r="75">
      <c r="C75" s="94"/>
      <c r="D75" s="94"/>
      <c r="E75" s="94"/>
      <c r="F75" s="94"/>
      <c r="G75" s="25"/>
    </row>
    <row r="76">
      <c r="C76" s="94"/>
      <c r="D76" s="94"/>
      <c r="E76" s="94"/>
      <c r="F76" s="94"/>
      <c r="G76" s="25"/>
    </row>
    <row r="77">
      <c r="C77" s="94"/>
      <c r="D77" s="94"/>
      <c r="E77" s="94"/>
      <c r="F77" s="94"/>
      <c r="G77" s="25"/>
    </row>
    <row r="78">
      <c r="C78" s="94"/>
      <c r="D78" s="94"/>
      <c r="E78" s="94"/>
      <c r="F78" s="94"/>
      <c r="G78" s="25"/>
    </row>
    <row r="79">
      <c r="C79" s="94"/>
      <c r="D79" s="94"/>
      <c r="E79" s="94"/>
      <c r="F79" s="94"/>
      <c r="G79" s="25"/>
    </row>
    <row r="80">
      <c r="C80" s="94"/>
      <c r="D80" s="94"/>
      <c r="E80" s="94"/>
      <c r="F80" s="94"/>
      <c r="G80" s="25"/>
    </row>
    <row r="81">
      <c r="C81" s="94"/>
      <c r="D81" s="94"/>
      <c r="E81" s="94"/>
      <c r="F81" s="94"/>
      <c r="G81" s="25"/>
    </row>
    <row r="82">
      <c r="C82" s="94"/>
      <c r="D82" s="94"/>
      <c r="E82" s="94"/>
      <c r="F82" s="94"/>
      <c r="G82" s="25"/>
    </row>
    <row r="83">
      <c r="C83" s="94"/>
      <c r="D83" s="94"/>
      <c r="E83" s="94"/>
      <c r="F83" s="94"/>
      <c r="G83" s="25"/>
    </row>
    <row r="84">
      <c r="C84" s="94"/>
      <c r="D84" s="94"/>
      <c r="E84" s="94"/>
      <c r="F84" s="94"/>
      <c r="G84" s="25"/>
    </row>
    <row r="85">
      <c r="C85" s="94"/>
      <c r="D85" s="94"/>
      <c r="E85" s="94"/>
      <c r="F85" s="94"/>
      <c r="G85" s="25"/>
    </row>
    <row r="86">
      <c r="C86" s="94"/>
      <c r="D86" s="94"/>
      <c r="E86" s="94"/>
      <c r="F86" s="94"/>
      <c r="G86" s="25"/>
    </row>
    <row r="87">
      <c r="C87" s="94"/>
      <c r="D87" s="94"/>
      <c r="E87" s="94"/>
      <c r="F87" s="94"/>
      <c r="G87" s="25"/>
    </row>
    <row r="88">
      <c r="C88" s="94"/>
      <c r="D88" s="94"/>
      <c r="E88" s="94"/>
      <c r="F88" s="94"/>
      <c r="G88" s="25"/>
    </row>
    <row r="89">
      <c r="C89" s="94"/>
      <c r="D89" s="94"/>
      <c r="E89" s="94"/>
      <c r="F89" s="94"/>
      <c r="G89" s="25"/>
    </row>
    <row r="90">
      <c r="C90" s="94"/>
      <c r="D90" s="94"/>
      <c r="E90" s="94"/>
      <c r="F90" s="94"/>
      <c r="G90" s="25"/>
    </row>
    <row r="91">
      <c r="C91" s="94"/>
      <c r="D91" s="94"/>
      <c r="E91" s="94"/>
      <c r="F91" s="94"/>
      <c r="G91" s="25"/>
    </row>
    <row r="92">
      <c r="C92" s="94"/>
      <c r="D92" s="94"/>
      <c r="E92" s="94"/>
      <c r="F92" s="94"/>
      <c r="G92" s="25"/>
    </row>
    <row r="93">
      <c r="C93" s="94"/>
      <c r="D93" s="94"/>
      <c r="E93" s="94"/>
      <c r="F93" s="94"/>
      <c r="G93" s="25"/>
    </row>
    <row r="94">
      <c r="C94" s="94"/>
      <c r="D94" s="94"/>
      <c r="E94" s="94"/>
      <c r="F94" s="94"/>
      <c r="G94" s="25"/>
    </row>
    <row r="95">
      <c r="C95" s="94"/>
      <c r="D95" s="94"/>
      <c r="E95" s="94"/>
      <c r="F95" s="94"/>
      <c r="G95" s="25"/>
    </row>
    <row r="96">
      <c r="C96" s="94"/>
      <c r="D96" s="94"/>
      <c r="E96" s="94"/>
      <c r="F96" s="94"/>
      <c r="G96" s="25"/>
    </row>
    <row r="97">
      <c r="C97" s="94"/>
      <c r="D97" s="94"/>
      <c r="E97" s="94"/>
      <c r="F97" s="94"/>
      <c r="G97" s="25"/>
    </row>
    <row r="98">
      <c r="C98" s="94"/>
      <c r="D98" s="94"/>
      <c r="E98" s="94"/>
      <c r="F98" s="94"/>
      <c r="G98" s="25"/>
    </row>
    <row r="99">
      <c r="C99" s="94"/>
      <c r="D99" s="94"/>
      <c r="E99" s="94"/>
      <c r="F99" s="94"/>
      <c r="G99" s="25"/>
    </row>
    <row r="100">
      <c r="C100" s="94"/>
      <c r="D100" s="94"/>
      <c r="E100" s="94"/>
      <c r="F100" s="94"/>
      <c r="G100" s="25"/>
    </row>
    <row r="101">
      <c r="C101" s="94"/>
      <c r="D101" s="94"/>
      <c r="E101" s="94"/>
      <c r="F101" s="94"/>
      <c r="G101" s="25"/>
    </row>
    <row r="102">
      <c r="C102" s="94"/>
      <c r="D102" s="94"/>
      <c r="E102" s="94"/>
      <c r="F102" s="94"/>
      <c r="G102" s="25"/>
    </row>
    <row r="103">
      <c r="C103" s="94"/>
      <c r="D103" s="94"/>
      <c r="E103" s="94"/>
      <c r="F103" s="94"/>
      <c r="G103" s="25"/>
    </row>
    <row r="104">
      <c r="C104" s="94"/>
      <c r="D104" s="94"/>
      <c r="E104" s="94"/>
      <c r="F104" s="94"/>
      <c r="G104" s="25"/>
    </row>
    <row r="105">
      <c r="C105" s="94"/>
      <c r="D105" s="94"/>
      <c r="E105" s="94"/>
      <c r="F105" s="94"/>
      <c r="G105" s="25"/>
    </row>
    <row r="106">
      <c r="C106" s="94"/>
      <c r="D106" s="94"/>
      <c r="E106" s="94"/>
      <c r="F106" s="94"/>
      <c r="G106" s="25"/>
    </row>
    <row r="107">
      <c r="C107" s="94"/>
      <c r="D107" s="94"/>
      <c r="E107" s="94"/>
      <c r="F107" s="94"/>
      <c r="G107" s="25"/>
    </row>
    <row r="108">
      <c r="C108" s="94"/>
      <c r="D108" s="94"/>
      <c r="E108" s="94"/>
      <c r="F108" s="94"/>
      <c r="G108" s="25"/>
    </row>
    <row r="109">
      <c r="C109" s="94"/>
      <c r="D109" s="94"/>
      <c r="E109" s="94"/>
      <c r="F109" s="94"/>
      <c r="G109" s="25"/>
    </row>
    <row r="110">
      <c r="C110" s="94"/>
      <c r="D110" s="94"/>
      <c r="E110" s="94"/>
      <c r="F110" s="94"/>
      <c r="G110" s="25"/>
    </row>
    <row r="111">
      <c r="C111" s="94"/>
      <c r="D111" s="94"/>
      <c r="E111" s="94"/>
      <c r="F111" s="94"/>
      <c r="G111" s="25"/>
    </row>
    <row r="112">
      <c r="C112" s="94"/>
      <c r="D112" s="94"/>
      <c r="E112" s="94"/>
      <c r="F112" s="94"/>
      <c r="G112" s="25"/>
    </row>
    <row r="113">
      <c r="C113" s="94"/>
      <c r="D113" s="94"/>
      <c r="E113" s="94"/>
      <c r="F113" s="94"/>
      <c r="G113" s="25"/>
    </row>
    <row r="114">
      <c r="C114" s="94"/>
      <c r="D114" s="94"/>
      <c r="E114" s="94"/>
      <c r="F114" s="94"/>
      <c r="G114" s="25"/>
    </row>
    <row r="115">
      <c r="C115" s="94"/>
      <c r="D115" s="94"/>
      <c r="E115" s="94"/>
      <c r="F115" s="94"/>
      <c r="G115" s="25"/>
    </row>
    <row r="116">
      <c r="C116" s="94"/>
      <c r="D116" s="94"/>
      <c r="E116" s="94"/>
      <c r="F116" s="94"/>
      <c r="G116" s="25"/>
    </row>
    <row r="117">
      <c r="C117" s="94"/>
      <c r="D117" s="94"/>
      <c r="E117" s="94"/>
      <c r="F117" s="94"/>
      <c r="G117" s="25"/>
    </row>
    <row r="118">
      <c r="C118" s="94"/>
      <c r="D118" s="94"/>
      <c r="E118" s="94"/>
      <c r="F118" s="94"/>
      <c r="G118" s="25"/>
    </row>
    <row r="119">
      <c r="C119" s="94"/>
      <c r="D119" s="94"/>
      <c r="E119" s="94"/>
      <c r="F119" s="94"/>
      <c r="G119" s="25"/>
    </row>
    <row r="120">
      <c r="C120" s="94"/>
      <c r="D120" s="94"/>
      <c r="E120" s="94"/>
      <c r="F120" s="94"/>
      <c r="G120" s="25"/>
    </row>
    <row r="121">
      <c r="C121" s="94"/>
      <c r="D121" s="94"/>
      <c r="E121" s="94"/>
      <c r="F121" s="94"/>
      <c r="G121" s="25"/>
    </row>
    <row r="122">
      <c r="C122" s="94"/>
      <c r="D122" s="94"/>
      <c r="E122" s="94"/>
      <c r="F122" s="94"/>
      <c r="G122" s="25"/>
    </row>
    <row r="123">
      <c r="C123" s="94"/>
      <c r="D123" s="94"/>
      <c r="E123" s="94"/>
      <c r="F123" s="94"/>
      <c r="G123" s="25"/>
    </row>
    <row r="124">
      <c r="C124" s="94"/>
      <c r="D124" s="94"/>
      <c r="E124" s="94"/>
      <c r="F124" s="94"/>
      <c r="G124" s="25"/>
    </row>
    <row r="125">
      <c r="C125" s="94"/>
      <c r="D125" s="94"/>
      <c r="E125" s="94"/>
      <c r="F125" s="94"/>
      <c r="G125" s="25"/>
    </row>
    <row r="126">
      <c r="C126" s="94"/>
      <c r="D126" s="94"/>
      <c r="E126" s="94"/>
      <c r="F126" s="94"/>
      <c r="G126" s="25"/>
    </row>
    <row r="127">
      <c r="C127" s="94"/>
      <c r="D127" s="94"/>
      <c r="E127" s="94"/>
      <c r="F127" s="94"/>
      <c r="G127" s="25"/>
    </row>
    <row r="128">
      <c r="C128" s="94"/>
      <c r="D128" s="94"/>
      <c r="E128" s="94"/>
      <c r="F128" s="94"/>
      <c r="G128" s="25"/>
    </row>
    <row r="129">
      <c r="C129" s="94"/>
      <c r="D129" s="94"/>
      <c r="E129" s="94"/>
      <c r="F129" s="94"/>
      <c r="G129" s="25"/>
    </row>
    <row r="130">
      <c r="C130" s="94"/>
      <c r="D130" s="94"/>
      <c r="E130" s="94"/>
      <c r="F130" s="94"/>
      <c r="G130" s="25"/>
    </row>
    <row r="131">
      <c r="C131" s="94"/>
      <c r="D131" s="94"/>
      <c r="E131" s="94"/>
      <c r="F131" s="94"/>
      <c r="G131" s="25"/>
    </row>
    <row r="132">
      <c r="C132" s="94"/>
      <c r="D132" s="94"/>
      <c r="E132" s="94"/>
      <c r="F132" s="94"/>
      <c r="G132" s="25"/>
    </row>
    <row r="133">
      <c r="C133" s="94"/>
      <c r="D133" s="94"/>
      <c r="E133" s="94"/>
      <c r="F133" s="94"/>
      <c r="G133" s="25"/>
    </row>
    <row r="134">
      <c r="C134" s="94"/>
      <c r="D134" s="94"/>
      <c r="E134" s="94"/>
      <c r="F134" s="94"/>
      <c r="G134" s="25"/>
    </row>
    <row r="135">
      <c r="C135" s="94"/>
      <c r="D135" s="94"/>
      <c r="E135" s="94"/>
      <c r="F135" s="94"/>
      <c r="G135" s="25"/>
    </row>
    <row r="136">
      <c r="C136" s="94"/>
      <c r="D136" s="94"/>
      <c r="E136" s="94"/>
      <c r="F136" s="94"/>
      <c r="G136" s="25"/>
    </row>
    <row r="137">
      <c r="C137" s="94"/>
      <c r="D137" s="94"/>
      <c r="E137" s="94"/>
      <c r="F137" s="94"/>
      <c r="G137" s="25"/>
    </row>
    <row r="138">
      <c r="C138" s="94"/>
      <c r="D138" s="94"/>
      <c r="E138" s="94"/>
      <c r="F138" s="94"/>
      <c r="G138" s="25"/>
    </row>
    <row r="139">
      <c r="C139" s="94"/>
      <c r="D139" s="94"/>
      <c r="E139" s="94"/>
      <c r="F139" s="94"/>
      <c r="G139" s="25"/>
    </row>
    <row r="140">
      <c r="C140" s="94"/>
      <c r="D140" s="94"/>
      <c r="E140" s="94"/>
      <c r="F140" s="94"/>
      <c r="G140" s="25"/>
    </row>
    <row r="141">
      <c r="C141" s="94"/>
      <c r="D141" s="94"/>
      <c r="E141" s="94"/>
      <c r="F141" s="94"/>
      <c r="G141" s="25"/>
    </row>
    <row r="142">
      <c r="C142" s="94"/>
      <c r="D142" s="94"/>
      <c r="E142" s="94"/>
      <c r="F142" s="94"/>
      <c r="G142" s="25"/>
    </row>
    <row r="143">
      <c r="C143" s="94"/>
      <c r="D143" s="94"/>
      <c r="E143" s="94"/>
      <c r="F143" s="94"/>
      <c r="G143" s="25"/>
    </row>
    <row r="144">
      <c r="C144" s="94"/>
      <c r="D144" s="94"/>
      <c r="E144" s="94"/>
      <c r="F144" s="94"/>
      <c r="G144" s="25"/>
    </row>
    <row r="145">
      <c r="C145" s="94"/>
      <c r="D145" s="94"/>
      <c r="E145" s="94"/>
      <c r="F145" s="94"/>
      <c r="G145" s="25"/>
    </row>
    <row r="146">
      <c r="C146" s="94"/>
      <c r="D146" s="94"/>
      <c r="E146" s="94"/>
      <c r="F146" s="94"/>
      <c r="G146" s="25"/>
    </row>
    <row r="147">
      <c r="C147" s="94"/>
      <c r="D147" s="94"/>
      <c r="E147" s="94"/>
      <c r="F147" s="94"/>
      <c r="G147" s="25"/>
    </row>
    <row r="148">
      <c r="C148" s="94"/>
      <c r="D148" s="94"/>
      <c r="E148" s="94"/>
      <c r="F148" s="94"/>
      <c r="G148" s="25"/>
    </row>
    <row r="149">
      <c r="C149" s="94"/>
      <c r="D149" s="94"/>
      <c r="E149" s="94"/>
      <c r="F149" s="94"/>
      <c r="G149" s="25"/>
    </row>
    <row r="150">
      <c r="C150" s="94"/>
      <c r="D150" s="94"/>
      <c r="E150" s="94"/>
      <c r="F150" s="94"/>
      <c r="G150" s="25"/>
    </row>
    <row r="151">
      <c r="C151" s="94"/>
      <c r="D151" s="94"/>
      <c r="E151" s="94"/>
      <c r="F151" s="94"/>
      <c r="G151" s="25"/>
    </row>
    <row r="152">
      <c r="C152" s="94"/>
      <c r="D152" s="94"/>
      <c r="E152" s="94"/>
      <c r="F152" s="94"/>
      <c r="G152" s="25"/>
    </row>
    <row r="153">
      <c r="C153" s="94"/>
      <c r="D153" s="94"/>
      <c r="E153" s="94"/>
      <c r="F153" s="94"/>
      <c r="G153" s="25"/>
    </row>
    <row r="154">
      <c r="C154" s="94"/>
      <c r="D154" s="94"/>
      <c r="E154" s="94"/>
      <c r="F154" s="94"/>
      <c r="G154" s="25"/>
    </row>
    <row r="155">
      <c r="C155" s="94"/>
      <c r="D155" s="94"/>
      <c r="E155" s="94"/>
      <c r="F155" s="94"/>
      <c r="G155" s="25"/>
    </row>
    <row r="156">
      <c r="C156" s="94"/>
      <c r="D156" s="94"/>
      <c r="E156" s="94"/>
      <c r="F156" s="94"/>
      <c r="G156" s="25"/>
    </row>
    <row r="157">
      <c r="C157" s="94"/>
      <c r="D157" s="94"/>
      <c r="E157" s="94"/>
      <c r="F157" s="94"/>
      <c r="G157" s="25"/>
    </row>
    <row r="158">
      <c r="C158" s="94"/>
      <c r="D158" s="94"/>
      <c r="E158" s="94"/>
      <c r="F158" s="94"/>
      <c r="G158" s="25"/>
    </row>
    <row r="159">
      <c r="C159" s="94"/>
      <c r="D159" s="94"/>
      <c r="E159" s="94"/>
      <c r="F159" s="94"/>
      <c r="G159" s="25"/>
    </row>
    <row r="160">
      <c r="C160" s="94"/>
      <c r="D160" s="94"/>
      <c r="E160" s="94"/>
      <c r="F160" s="94"/>
      <c r="G160" s="25"/>
    </row>
    <row r="161">
      <c r="C161" s="94"/>
      <c r="D161" s="94"/>
      <c r="E161" s="94"/>
      <c r="F161" s="94"/>
      <c r="G161" s="25"/>
    </row>
    <row r="162">
      <c r="C162" s="94"/>
      <c r="D162" s="94"/>
      <c r="E162" s="94"/>
      <c r="F162" s="94"/>
      <c r="G162" s="25"/>
    </row>
    <row r="163">
      <c r="C163" s="94"/>
      <c r="D163" s="94"/>
      <c r="E163" s="94"/>
      <c r="F163" s="94"/>
      <c r="G163" s="25"/>
    </row>
    <row r="164">
      <c r="C164" s="94"/>
      <c r="D164" s="94"/>
      <c r="E164" s="94"/>
      <c r="F164" s="94"/>
      <c r="G164" s="25"/>
    </row>
    <row r="165">
      <c r="C165" s="94"/>
      <c r="D165" s="94"/>
      <c r="E165" s="94"/>
      <c r="F165" s="94"/>
      <c r="G165" s="25"/>
    </row>
    <row r="166">
      <c r="C166" s="94"/>
      <c r="D166" s="94"/>
      <c r="E166" s="94"/>
      <c r="F166" s="94"/>
      <c r="G166" s="25"/>
    </row>
    <row r="167">
      <c r="C167" s="94"/>
      <c r="D167" s="94"/>
      <c r="E167" s="94"/>
      <c r="F167" s="94"/>
      <c r="G167" s="25"/>
    </row>
    <row r="168">
      <c r="C168" s="94"/>
      <c r="D168" s="94"/>
      <c r="E168" s="94"/>
      <c r="F168" s="94"/>
      <c r="G168" s="25"/>
    </row>
    <row r="169">
      <c r="C169" s="94"/>
      <c r="D169" s="94"/>
      <c r="E169" s="94"/>
      <c r="F169" s="94"/>
      <c r="G169" s="25"/>
    </row>
    <row r="170">
      <c r="C170" s="94"/>
      <c r="D170" s="94"/>
      <c r="E170" s="94"/>
      <c r="F170" s="94"/>
      <c r="G170" s="25"/>
    </row>
    <row r="171">
      <c r="C171" s="94"/>
      <c r="D171" s="94"/>
      <c r="E171" s="94"/>
      <c r="F171" s="94"/>
      <c r="G171" s="25"/>
    </row>
    <row r="172">
      <c r="C172" s="94"/>
      <c r="D172" s="94"/>
      <c r="E172" s="94"/>
      <c r="F172" s="94"/>
      <c r="G172" s="25"/>
    </row>
    <row r="173">
      <c r="C173" s="94"/>
      <c r="D173" s="94"/>
      <c r="E173" s="94"/>
      <c r="F173" s="94"/>
      <c r="G173" s="25"/>
    </row>
    <row r="174">
      <c r="C174" s="94"/>
      <c r="D174" s="94"/>
      <c r="E174" s="94"/>
      <c r="F174" s="94"/>
      <c r="G174" s="25"/>
    </row>
    <row r="175">
      <c r="C175" s="94"/>
      <c r="D175" s="94"/>
      <c r="E175" s="94"/>
      <c r="F175" s="94"/>
      <c r="G175" s="25"/>
    </row>
    <row r="176">
      <c r="C176" s="94"/>
      <c r="D176" s="94"/>
      <c r="E176" s="94"/>
      <c r="F176" s="94"/>
      <c r="G176" s="25"/>
    </row>
    <row r="177">
      <c r="C177" s="94"/>
      <c r="D177" s="94"/>
      <c r="E177" s="94"/>
      <c r="F177" s="94"/>
      <c r="G177" s="25"/>
    </row>
    <row r="178">
      <c r="C178" s="94"/>
      <c r="D178" s="94"/>
      <c r="E178" s="94"/>
      <c r="F178" s="94"/>
      <c r="G178" s="25"/>
    </row>
    <row r="179">
      <c r="C179" s="94"/>
      <c r="D179" s="94"/>
      <c r="E179" s="94"/>
      <c r="F179" s="94"/>
      <c r="G179" s="25"/>
    </row>
    <row r="180">
      <c r="C180" s="94"/>
      <c r="D180" s="94"/>
      <c r="E180" s="94"/>
      <c r="F180" s="94"/>
      <c r="G180" s="25"/>
    </row>
    <row r="181">
      <c r="C181" s="94"/>
      <c r="D181" s="94"/>
      <c r="E181" s="94"/>
      <c r="F181" s="94"/>
      <c r="G181" s="25"/>
    </row>
    <row r="182">
      <c r="C182" s="94"/>
      <c r="D182" s="94"/>
      <c r="E182" s="94"/>
      <c r="F182" s="94"/>
      <c r="G182" s="25"/>
    </row>
    <row r="183">
      <c r="C183" s="94"/>
      <c r="D183" s="94"/>
      <c r="E183" s="94"/>
      <c r="F183" s="94"/>
      <c r="G183" s="25"/>
    </row>
    <row r="184">
      <c r="C184" s="94"/>
      <c r="D184" s="94"/>
      <c r="E184" s="94"/>
      <c r="F184" s="94"/>
      <c r="G184" s="25"/>
    </row>
    <row r="185">
      <c r="C185" s="94"/>
      <c r="D185" s="94"/>
      <c r="E185" s="94"/>
      <c r="F185" s="94"/>
      <c r="G185" s="25"/>
    </row>
    <row r="186">
      <c r="C186" s="94"/>
      <c r="D186" s="94"/>
      <c r="E186" s="94"/>
      <c r="F186" s="94"/>
      <c r="G186" s="25"/>
    </row>
    <row r="187">
      <c r="C187" s="94"/>
      <c r="D187" s="94"/>
      <c r="E187" s="94"/>
      <c r="F187" s="94"/>
      <c r="G187" s="25"/>
    </row>
    <row r="188">
      <c r="C188" s="94"/>
      <c r="D188" s="94"/>
      <c r="E188" s="94"/>
      <c r="F188" s="94"/>
      <c r="G188" s="25"/>
    </row>
    <row r="189">
      <c r="C189" s="94"/>
      <c r="D189" s="94"/>
      <c r="E189" s="94"/>
      <c r="F189" s="94"/>
      <c r="G189" s="25"/>
    </row>
    <row r="190">
      <c r="C190" s="94"/>
      <c r="D190" s="94"/>
      <c r="E190" s="94"/>
      <c r="F190" s="94"/>
      <c r="G190" s="25"/>
    </row>
    <row r="191">
      <c r="C191" s="94"/>
      <c r="D191" s="94"/>
      <c r="E191" s="94"/>
      <c r="F191" s="94"/>
      <c r="G191" s="25"/>
    </row>
    <row r="192">
      <c r="C192" s="94"/>
      <c r="D192" s="94"/>
      <c r="E192" s="94"/>
      <c r="F192" s="94"/>
      <c r="G192" s="25"/>
    </row>
    <row r="193">
      <c r="C193" s="94"/>
      <c r="D193" s="94"/>
      <c r="E193" s="94"/>
      <c r="F193" s="94"/>
      <c r="G193" s="25"/>
    </row>
    <row r="194">
      <c r="C194" s="94"/>
      <c r="D194" s="94"/>
      <c r="E194" s="94"/>
      <c r="F194" s="94"/>
      <c r="G194" s="25"/>
    </row>
    <row r="195">
      <c r="C195" s="94"/>
      <c r="D195" s="94"/>
      <c r="E195" s="94"/>
      <c r="F195" s="94"/>
      <c r="G195" s="25"/>
    </row>
    <row r="196">
      <c r="C196" s="94"/>
      <c r="D196" s="94"/>
      <c r="E196" s="94"/>
      <c r="F196" s="94"/>
      <c r="G196" s="25"/>
    </row>
    <row r="197">
      <c r="C197" s="94"/>
      <c r="D197" s="94"/>
      <c r="E197" s="94"/>
      <c r="F197" s="94"/>
      <c r="G197" s="25"/>
    </row>
    <row r="198">
      <c r="C198" s="94"/>
      <c r="D198" s="94"/>
      <c r="E198" s="94"/>
      <c r="F198" s="94"/>
      <c r="G198" s="25"/>
    </row>
    <row r="199">
      <c r="C199" s="94"/>
      <c r="D199" s="94"/>
      <c r="E199" s="94"/>
      <c r="F199" s="94"/>
      <c r="G199" s="25"/>
    </row>
    <row r="200">
      <c r="C200" s="94"/>
      <c r="D200" s="94"/>
      <c r="E200" s="94"/>
      <c r="F200" s="94"/>
      <c r="G200" s="25"/>
    </row>
    <row r="201">
      <c r="C201" s="94"/>
      <c r="D201" s="94"/>
      <c r="E201" s="94"/>
      <c r="F201" s="94"/>
      <c r="G201" s="25"/>
    </row>
    <row r="202">
      <c r="C202" s="94"/>
      <c r="D202" s="94"/>
      <c r="E202" s="94"/>
      <c r="F202" s="94"/>
      <c r="G202" s="25"/>
    </row>
    <row r="203">
      <c r="C203" s="94"/>
      <c r="D203" s="94"/>
      <c r="E203" s="94"/>
      <c r="F203" s="94"/>
      <c r="G203" s="25"/>
    </row>
    <row r="204">
      <c r="C204" s="94"/>
      <c r="D204" s="94"/>
      <c r="E204" s="94"/>
      <c r="F204" s="94"/>
      <c r="G204" s="25"/>
    </row>
    <row r="205">
      <c r="C205" s="94"/>
      <c r="D205" s="94"/>
      <c r="E205" s="94"/>
      <c r="F205" s="94"/>
      <c r="G205" s="25"/>
    </row>
    <row r="206">
      <c r="C206" s="94"/>
      <c r="D206" s="94"/>
      <c r="E206" s="94"/>
      <c r="F206" s="94"/>
      <c r="G206" s="25"/>
    </row>
    <row r="207">
      <c r="C207" s="94"/>
      <c r="D207" s="94"/>
      <c r="E207" s="94"/>
      <c r="F207" s="94"/>
      <c r="G207" s="25"/>
    </row>
    <row r="208">
      <c r="C208" s="94"/>
      <c r="D208" s="94"/>
      <c r="E208" s="94"/>
      <c r="F208" s="94"/>
      <c r="G208" s="25"/>
    </row>
    <row r="209">
      <c r="C209" s="94"/>
      <c r="D209" s="94"/>
      <c r="E209" s="94"/>
      <c r="F209" s="94"/>
      <c r="G209" s="25"/>
    </row>
    <row r="210">
      <c r="C210" s="94"/>
      <c r="D210" s="94"/>
      <c r="E210" s="94"/>
      <c r="F210" s="94"/>
      <c r="G210" s="25"/>
    </row>
    <row r="211">
      <c r="C211" s="94"/>
      <c r="D211" s="94"/>
      <c r="E211" s="94"/>
      <c r="F211" s="94"/>
      <c r="G211" s="25"/>
    </row>
    <row r="212">
      <c r="C212" s="94"/>
      <c r="D212" s="94"/>
      <c r="E212" s="94"/>
      <c r="F212" s="94"/>
      <c r="G212" s="25"/>
    </row>
    <row r="213">
      <c r="C213" s="94"/>
      <c r="D213" s="94"/>
      <c r="E213" s="94"/>
      <c r="F213" s="94"/>
      <c r="G213" s="25"/>
    </row>
    <row r="214">
      <c r="C214" s="94"/>
      <c r="D214" s="94"/>
      <c r="E214" s="94"/>
      <c r="F214" s="94"/>
      <c r="G214" s="25"/>
    </row>
    <row r="215">
      <c r="C215" s="94"/>
      <c r="D215" s="94"/>
      <c r="E215" s="94"/>
      <c r="F215" s="94"/>
      <c r="G215" s="25"/>
    </row>
    <row r="216">
      <c r="C216" s="94"/>
      <c r="D216" s="94"/>
      <c r="E216" s="94"/>
      <c r="F216" s="94"/>
      <c r="G216" s="25"/>
    </row>
    <row r="217">
      <c r="C217" s="94"/>
      <c r="D217" s="94"/>
      <c r="E217" s="94"/>
      <c r="F217" s="94"/>
      <c r="G217" s="25"/>
    </row>
    <row r="218">
      <c r="C218" s="94"/>
      <c r="D218" s="94"/>
      <c r="E218" s="94"/>
      <c r="F218" s="94"/>
      <c r="G218" s="25"/>
    </row>
    <row r="219">
      <c r="C219" s="94"/>
      <c r="D219" s="94"/>
      <c r="E219" s="94"/>
      <c r="F219" s="94"/>
      <c r="G219" s="25"/>
    </row>
    <row r="220">
      <c r="C220" s="94"/>
      <c r="D220" s="94"/>
      <c r="E220" s="94"/>
      <c r="F220" s="94"/>
      <c r="G220" s="25"/>
    </row>
    <row r="221">
      <c r="C221" s="94"/>
      <c r="D221" s="94"/>
      <c r="E221" s="94"/>
      <c r="F221" s="94"/>
      <c r="G221" s="25"/>
    </row>
    <row r="222">
      <c r="C222" s="94"/>
      <c r="D222" s="94"/>
      <c r="E222" s="94"/>
      <c r="F222" s="94"/>
      <c r="G222" s="25"/>
    </row>
    <row r="223">
      <c r="C223" s="94"/>
      <c r="D223" s="94"/>
      <c r="E223" s="94"/>
      <c r="F223" s="94"/>
      <c r="G223" s="25"/>
    </row>
    <row r="224">
      <c r="C224" s="94"/>
      <c r="D224" s="94"/>
      <c r="E224" s="94"/>
      <c r="F224" s="94"/>
      <c r="G224" s="25"/>
    </row>
    <row r="225">
      <c r="C225" s="94"/>
      <c r="D225" s="94"/>
      <c r="E225" s="94"/>
      <c r="F225" s="94"/>
      <c r="G225" s="25"/>
    </row>
    <row r="226">
      <c r="C226" s="94"/>
      <c r="D226" s="94"/>
      <c r="E226" s="94"/>
      <c r="F226" s="94"/>
      <c r="G226" s="25"/>
    </row>
    <row r="227">
      <c r="C227" s="94"/>
      <c r="D227" s="94"/>
      <c r="E227" s="94"/>
      <c r="F227" s="94"/>
      <c r="G227" s="25"/>
    </row>
    <row r="228">
      <c r="C228" s="94"/>
      <c r="D228" s="94"/>
      <c r="E228" s="94"/>
      <c r="F228" s="94"/>
      <c r="G228" s="25"/>
    </row>
    <row r="229">
      <c r="C229" s="94"/>
      <c r="D229" s="94"/>
      <c r="E229" s="94"/>
      <c r="F229" s="94"/>
      <c r="G229" s="25"/>
    </row>
    <row r="230">
      <c r="C230" s="94"/>
      <c r="D230" s="94"/>
      <c r="E230" s="94"/>
      <c r="F230" s="94"/>
      <c r="G230" s="25"/>
    </row>
    <row r="231">
      <c r="C231" s="94"/>
      <c r="D231" s="94"/>
      <c r="E231" s="94"/>
      <c r="F231" s="94"/>
      <c r="G231" s="25"/>
    </row>
    <row r="232">
      <c r="C232" s="94"/>
      <c r="D232" s="94"/>
      <c r="E232" s="94"/>
      <c r="F232" s="94"/>
      <c r="G232" s="25"/>
    </row>
    <row r="233">
      <c r="C233" s="94"/>
      <c r="D233" s="94"/>
      <c r="E233" s="94"/>
      <c r="F233" s="94"/>
      <c r="G233" s="25"/>
    </row>
    <row r="234">
      <c r="C234" s="94"/>
      <c r="D234" s="94"/>
      <c r="E234" s="94"/>
      <c r="F234" s="94"/>
      <c r="G234" s="25"/>
    </row>
    <row r="235">
      <c r="C235" s="94"/>
      <c r="D235" s="94"/>
      <c r="E235" s="94"/>
      <c r="F235" s="94"/>
      <c r="G235" s="25"/>
    </row>
    <row r="236">
      <c r="C236" s="94"/>
      <c r="D236" s="94"/>
      <c r="E236" s="94"/>
      <c r="F236" s="94"/>
      <c r="G236" s="25"/>
    </row>
    <row r="237">
      <c r="C237" s="94"/>
      <c r="D237" s="94"/>
      <c r="E237" s="94"/>
      <c r="F237" s="94"/>
      <c r="G237" s="25"/>
    </row>
    <row r="238">
      <c r="C238" s="94"/>
      <c r="D238" s="94"/>
      <c r="E238" s="94"/>
      <c r="F238" s="94"/>
      <c r="G238" s="25"/>
    </row>
    <row r="239">
      <c r="C239" s="94"/>
      <c r="D239" s="94"/>
      <c r="E239" s="94"/>
      <c r="F239" s="94"/>
      <c r="G239" s="25"/>
    </row>
    <row r="240">
      <c r="C240" s="94"/>
      <c r="D240" s="94"/>
      <c r="E240" s="94"/>
      <c r="F240" s="94"/>
      <c r="G240" s="25"/>
    </row>
    <row r="241">
      <c r="C241" s="94"/>
      <c r="D241" s="94"/>
      <c r="E241" s="94"/>
      <c r="F241" s="94"/>
      <c r="G241" s="25"/>
    </row>
    <row r="242">
      <c r="C242" s="94"/>
      <c r="D242" s="94"/>
      <c r="E242" s="94"/>
      <c r="F242" s="94"/>
      <c r="G242" s="25"/>
    </row>
    <row r="243">
      <c r="C243" s="94"/>
      <c r="D243" s="94"/>
      <c r="E243" s="94"/>
      <c r="F243" s="94"/>
      <c r="G243" s="25"/>
    </row>
    <row r="244">
      <c r="C244" s="94"/>
      <c r="D244" s="94"/>
      <c r="E244" s="94"/>
      <c r="F244" s="94"/>
      <c r="G244" s="25"/>
    </row>
    <row r="245">
      <c r="C245" s="94"/>
      <c r="D245" s="94"/>
      <c r="E245" s="94"/>
      <c r="F245" s="94"/>
      <c r="G245" s="25"/>
    </row>
    <row r="246">
      <c r="C246" s="94"/>
      <c r="D246" s="94"/>
      <c r="E246" s="94"/>
      <c r="F246" s="94"/>
      <c r="G246" s="25"/>
    </row>
    <row r="247">
      <c r="C247" s="94"/>
      <c r="D247" s="94"/>
      <c r="E247" s="94"/>
      <c r="F247" s="94"/>
      <c r="G247" s="25"/>
    </row>
    <row r="248">
      <c r="C248" s="94"/>
      <c r="D248" s="94"/>
      <c r="E248" s="94"/>
      <c r="F248" s="94"/>
      <c r="G248" s="25"/>
    </row>
    <row r="249">
      <c r="C249" s="94"/>
      <c r="D249" s="94"/>
      <c r="E249" s="94"/>
      <c r="F249" s="94"/>
      <c r="G249" s="25"/>
    </row>
    <row r="250">
      <c r="C250" s="94"/>
      <c r="D250" s="94"/>
      <c r="E250" s="94"/>
      <c r="F250" s="94"/>
      <c r="G250" s="25"/>
    </row>
    <row r="251">
      <c r="C251" s="94"/>
      <c r="D251" s="94"/>
      <c r="E251" s="94"/>
      <c r="F251" s="94"/>
      <c r="G251" s="25"/>
    </row>
    <row r="252">
      <c r="C252" s="94"/>
      <c r="D252" s="94"/>
      <c r="E252" s="94"/>
      <c r="F252" s="94"/>
      <c r="G252" s="25"/>
    </row>
    <row r="253">
      <c r="C253" s="94"/>
      <c r="D253" s="94"/>
      <c r="E253" s="94"/>
      <c r="F253" s="94"/>
      <c r="G253" s="25"/>
    </row>
    <row r="254">
      <c r="C254" s="94"/>
      <c r="D254" s="94"/>
      <c r="E254" s="94"/>
      <c r="F254" s="94"/>
      <c r="G254" s="25"/>
    </row>
    <row r="255">
      <c r="C255" s="94"/>
      <c r="D255" s="94"/>
      <c r="E255" s="94"/>
      <c r="F255" s="94"/>
      <c r="G255" s="25"/>
    </row>
    <row r="256">
      <c r="C256" s="94"/>
      <c r="D256" s="94"/>
      <c r="E256" s="94"/>
      <c r="F256" s="94"/>
      <c r="G256" s="25"/>
    </row>
    <row r="257">
      <c r="C257" s="94"/>
      <c r="D257" s="94"/>
      <c r="E257" s="94"/>
      <c r="F257" s="94"/>
      <c r="G257" s="25"/>
    </row>
    <row r="258">
      <c r="C258" s="94"/>
      <c r="D258" s="94"/>
      <c r="E258" s="94"/>
      <c r="F258" s="94"/>
      <c r="G258" s="25"/>
    </row>
    <row r="259">
      <c r="C259" s="94"/>
      <c r="D259" s="94"/>
      <c r="E259" s="94"/>
      <c r="F259" s="94"/>
      <c r="G259" s="25"/>
    </row>
    <row r="260">
      <c r="C260" s="94"/>
      <c r="D260" s="94"/>
      <c r="E260" s="94"/>
      <c r="F260" s="94"/>
      <c r="G260" s="25"/>
    </row>
    <row r="261">
      <c r="C261" s="94"/>
      <c r="D261" s="94"/>
      <c r="E261" s="94"/>
      <c r="F261" s="94"/>
      <c r="G261" s="25"/>
    </row>
    <row r="262">
      <c r="C262" s="94"/>
      <c r="D262" s="94"/>
      <c r="E262" s="94"/>
      <c r="F262" s="94"/>
      <c r="G262" s="25"/>
    </row>
    <row r="263">
      <c r="C263" s="94"/>
      <c r="D263" s="94"/>
      <c r="E263" s="94"/>
      <c r="F263" s="94"/>
      <c r="G263" s="25"/>
    </row>
    <row r="264">
      <c r="C264" s="94"/>
      <c r="D264" s="94"/>
      <c r="E264" s="94"/>
      <c r="F264" s="94"/>
      <c r="G264" s="25"/>
    </row>
    <row r="265">
      <c r="C265" s="94"/>
      <c r="D265" s="94"/>
      <c r="E265" s="94"/>
      <c r="F265" s="94"/>
      <c r="G265" s="25"/>
    </row>
    <row r="266">
      <c r="C266" s="94"/>
      <c r="D266" s="94"/>
      <c r="E266" s="94"/>
      <c r="F266" s="94"/>
      <c r="G266" s="25"/>
    </row>
    <row r="267">
      <c r="C267" s="94"/>
      <c r="D267" s="94"/>
      <c r="E267" s="94"/>
      <c r="F267" s="94"/>
      <c r="G267" s="25"/>
    </row>
    <row r="268">
      <c r="C268" s="94"/>
      <c r="D268" s="94"/>
      <c r="E268" s="94"/>
      <c r="F268" s="94"/>
      <c r="G268" s="25"/>
    </row>
    <row r="269">
      <c r="C269" s="94"/>
      <c r="D269" s="94"/>
      <c r="E269" s="94"/>
      <c r="F269" s="94"/>
      <c r="G269" s="25"/>
    </row>
    <row r="270">
      <c r="C270" s="94"/>
      <c r="D270" s="94"/>
      <c r="E270" s="94"/>
      <c r="F270" s="94"/>
      <c r="G270" s="25"/>
    </row>
    <row r="271">
      <c r="C271" s="94"/>
      <c r="D271" s="94"/>
      <c r="E271" s="94"/>
      <c r="F271" s="94"/>
      <c r="G271" s="25"/>
    </row>
    <row r="272">
      <c r="C272" s="94"/>
      <c r="D272" s="94"/>
      <c r="E272" s="94"/>
      <c r="F272" s="94"/>
      <c r="G272" s="25"/>
    </row>
    <row r="273">
      <c r="C273" s="94"/>
      <c r="D273" s="94"/>
      <c r="E273" s="94"/>
      <c r="F273" s="94"/>
      <c r="G273" s="25"/>
    </row>
    <row r="274">
      <c r="C274" s="94"/>
      <c r="D274" s="94"/>
      <c r="E274" s="94"/>
      <c r="F274" s="94"/>
      <c r="G274" s="25"/>
    </row>
    <row r="275">
      <c r="C275" s="94"/>
      <c r="D275" s="94"/>
      <c r="E275" s="94"/>
      <c r="F275" s="94"/>
      <c r="G275" s="25"/>
    </row>
    <row r="276">
      <c r="C276" s="94"/>
      <c r="D276" s="94"/>
      <c r="E276" s="94"/>
      <c r="F276" s="94"/>
      <c r="G276" s="25"/>
    </row>
    <row r="277">
      <c r="C277" s="94"/>
      <c r="D277" s="94"/>
      <c r="E277" s="94"/>
      <c r="F277" s="94"/>
      <c r="G277" s="25"/>
    </row>
    <row r="278">
      <c r="C278" s="94"/>
      <c r="D278" s="94"/>
      <c r="E278" s="94"/>
      <c r="F278" s="94"/>
      <c r="G278" s="25"/>
    </row>
    <row r="279">
      <c r="C279" s="94"/>
      <c r="D279" s="94"/>
      <c r="E279" s="94"/>
      <c r="F279" s="94"/>
      <c r="G279" s="25"/>
    </row>
    <row r="280">
      <c r="C280" s="94"/>
      <c r="D280" s="94"/>
      <c r="E280" s="94"/>
      <c r="F280" s="94"/>
      <c r="G280" s="25"/>
    </row>
    <row r="281">
      <c r="C281" s="94"/>
      <c r="D281" s="94"/>
      <c r="E281" s="94"/>
      <c r="F281" s="94"/>
      <c r="G281" s="25"/>
    </row>
    <row r="282">
      <c r="C282" s="94"/>
      <c r="D282" s="94"/>
      <c r="E282" s="94"/>
      <c r="F282" s="94"/>
      <c r="G282" s="25"/>
    </row>
    <row r="283">
      <c r="C283" s="94"/>
      <c r="D283" s="94"/>
      <c r="E283" s="94"/>
      <c r="F283" s="94"/>
      <c r="G283" s="25"/>
    </row>
    <row r="284">
      <c r="C284" s="94"/>
      <c r="D284" s="94"/>
      <c r="E284" s="94"/>
      <c r="F284" s="94"/>
      <c r="G284" s="25"/>
    </row>
    <row r="285">
      <c r="C285" s="94"/>
      <c r="D285" s="94"/>
      <c r="E285" s="94"/>
      <c r="F285" s="94"/>
      <c r="G285" s="25"/>
    </row>
    <row r="286">
      <c r="C286" s="94"/>
      <c r="D286" s="94"/>
      <c r="E286" s="94"/>
      <c r="F286" s="94"/>
      <c r="G286" s="25"/>
    </row>
    <row r="287">
      <c r="C287" s="94"/>
      <c r="D287" s="94"/>
      <c r="E287" s="94"/>
      <c r="F287" s="94"/>
      <c r="G287" s="25"/>
    </row>
    <row r="288">
      <c r="C288" s="94"/>
      <c r="D288" s="94"/>
      <c r="E288" s="94"/>
      <c r="F288" s="94"/>
      <c r="G288" s="25"/>
    </row>
    <row r="289">
      <c r="C289" s="94"/>
      <c r="D289" s="94"/>
      <c r="E289" s="94"/>
      <c r="F289" s="94"/>
      <c r="G289" s="25"/>
    </row>
    <row r="290">
      <c r="C290" s="94"/>
      <c r="D290" s="94"/>
      <c r="E290" s="94"/>
      <c r="F290" s="94"/>
      <c r="G290" s="25"/>
    </row>
    <row r="291">
      <c r="C291" s="94"/>
      <c r="D291" s="94"/>
      <c r="E291" s="94"/>
      <c r="F291" s="94"/>
      <c r="G291" s="25"/>
    </row>
    <row r="292">
      <c r="C292" s="94"/>
      <c r="D292" s="94"/>
      <c r="E292" s="94"/>
      <c r="F292" s="94"/>
      <c r="G292" s="25"/>
    </row>
    <row r="293">
      <c r="C293" s="94"/>
      <c r="D293" s="94"/>
      <c r="E293" s="94"/>
      <c r="F293" s="94"/>
      <c r="G293" s="25"/>
    </row>
    <row r="294">
      <c r="C294" s="94"/>
      <c r="D294" s="94"/>
      <c r="E294" s="94"/>
      <c r="F294" s="94"/>
      <c r="G294" s="25"/>
    </row>
    <row r="295">
      <c r="C295" s="94"/>
      <c r="D295" s="94"/>
      <c r="E295" s="94"/>
      <c r="F295" s="94"/>
      <c r="G295" s="25"/>
    </row>
    <row r="296">
      <c r="C296" s="94"/>
      <c r="D296" s="94"/>
      <c r="E296" s="94"/>
      <c r="F296" s="94"/>
      <c r="G296" s="25"/>
    </row>
    <row r="297">
      <c r="C297" s="94"/>
      <c r="D297" s="94"/>
      <c r="E297" s="94"/>
      <c r="F297" s="94"/>
      <c r="G297" s="25"/>
    </row>
    <row r="298">
      <c r="C298" s="94"/>
      <c r="D298" s="94"/>
      <c r="E298" s="94"/>
      <c r="F298" s="94"/>
      <c r="G298" s="25"/>
    </row>
    <row r="299">
      <c r="C299" s="94"/>
      <c r="D299" s="94"/>
      <c r="E299" s="94"/>
      <c r="F299" s="94"/>
      <c r="G299" s="25"/>
    </row>
    <row r="300">
      <c r="C300" s="94"/>
      <c r="D300" s="94"/>
      <c r="E300" s="94"/>
      <c r="F300" s="94"/>
      <c r="G300" s="25"/>
    </row>
    <row r="301">
      <c r="C301" s="94"/>
      <c r="D301" s="94"/>
      <c r="E301" s="94"/>
      <c r="F301" s="94"/>
      <c r="G301" s="25"/>
    </row>
    <row r="302">
      <c r="C302" s="94"/>
      <c r="D302" s="94"/>
      <c r="E302" s="94"/>
      <c r="F302" s="94"/>
      <c r="G302" s="25"/>
    </row>
    <row r="303">
      <c r="C303" s="94"/>
      <c r="D303" s="94"/>
      <c r="E303" s="94"/>
      <c r="F303" s="94"/>
      <c r="G303" s="25"/>
    </row>
    <row r="304">
      <c r="C304" s="94"/>
      <c r="D304" s="94"/>
      <c r="E304" s="94"/>
      <c r="F304" s="94"/>
      <c r="G304" s="25"/>
    </row>
    <row r="305">
      <c r="C305" s="94"/>
      <c r="D305" s="94"/>
      <c r="E305" s="94"/>
      <c r="F305" s="94"/>
      <c r="G305" s="25"/>
    </row>
    <row r="306">
      <c r="C306" s="94"/>
      <c r="D306" s="94"/>
      <c r="E306" s="94"/>
      <c r="F306" s="94"/>
      <c r="G306" s="25"/>
    </row>
    <row r="307">
      <c r="C307" s="94"/>
      <c r="D307" s="94"/>
      <c r="E307" s="94"/>
      <c r="F307" s="94"/>
      <c r="G307" s="25"/>
    </row>
    <row r="308">
      <c r="C308" s="94"/>
      <c r="D308" s="94"/>
      <c r="E308" s="94"/>
      <c r="F308" s="94"/>
      <c r="G308" s="25"/>
    </row>
    <row r="309">
      <c r="C309" s="94"/>
      <c r="D309" s="94"/>
      <c r="E309" s="94"/>
      <c r="F309" s="94"/>
      <c r="G309" s="25"/>
    </row>
    <row r="310">
      <c r="C310" s="94"/>
      <c r="D310" s="94"/>
      <c r="E310" s="94"/>
      <c r="F310" s="94"/>
      <c r="G310" s="25"/>
    </row>
    <row r="311">
      <c r="C311" s="94"/>
      <c r="D311" s="94"/>
      <c r="E311" s="94"/>
      <c r="F311" s="94"/>
      <c r="G311" s="25"/>
    </row>
    <row r="312">
      <c r="C312" s="94"/>
      <c r="D312" s="94"/>
      <c r="E312" s="94"/>
      <c r="F312" s="94"/>
      <c r="G312" s="25"/>
    </row>
    <row r="313">
      <c r="C313" s="94"/>
      <c r="D313" s="94"/>
      <c r="E313" s="94"/>
      <c r="F313" s="94"/>
      <c r="G313" s="25"/>
    </row>
    <row r="314">
      <c r="C314" s="94"/>
      <c r="D314" s="94"/>
      <c r="E314" s="94"/>
      <c r="F314" s="94"/>
      <c r="G314" s="25"/>
    </row>
    <row r="315">
      <c r="C315" s="94"/>
      <c r="D315" s="94"/>
      <c r="E315" s="94"/>
      <c r="F315" s="94"/>
      <c r="G315" s="25"/>
    </row>
    <row r="316">
      <c r="C316" s="94"/>
      <c r="D316" s="94"/>
      <c r="E316" s="94"/>
      <c r="F316" s="94"/>
      <c r="G316" s="25"/>
    </row>
    <row r="317">
      <c r="C317" s="94"/>
      <c r="D317" s="94"/>
      <c r="E317" s="94"/>
      <c r="F317" s="94"/>
      <c r="G317" s="25"/>
    </row>
    <row r="318">
      <c r="C318" s="94"/>
      <c r="D318" s="94"/>
      <c r="E318" s="94"/>
      <c r="F318" s="94"/>
      <c r="G318" s="25"/>
    </row>
    <row r="319">
      <c r="C319" s="94"/>
      <c r="D319" s="94"/>
      <c r="E319" s="94"/>
      <c r="F319" s="94"/>
      <c r="G319" s="25"/>
    </row>
    <row r="320">
      <c r="C320" s="94"/>
      <c r="D320" s="94"/>
      <c r="E320" s="94"/>
      <c r="F320" s="94"/>
      <c r="G320" s="25"/>
    </row>
    <row r="321">
      <c r="C321" s="94"/>
      <c r="D321" s="94"/>
      <c r="E321" s="94"/>
      <c r="F321" s="94"/>
      <c r="G321" s="25"/>
    </row>
    <row r="322">
      <c r="C322" s="94"/>
      <c r="D322" s="94"/>
      <c r="E322" s="94"/>
      <c r="F322" s="94"/>
      <c r="G322" s="25"/>
    </row>
    <row r="323">
      <c r="C323" s="94"/>
      <c r="D323" s="94"/>
      <c r="E323" s="94"/>
      <c r="F323" s="94"/>
      <c r="G323" s="25"/>
    </row>
    <row r="324">
      <c r="C324" s="94"/>
      <c r="D324" s="94"/>
      <c r="E324" s="94"/>
      <c r="F324" s="94"/>
      <c r="G324" s="25"/>
    </row>
    <row r="325">
      <c r="C325" s="94"/>
      <c r="D325" s="94"/>
      <c r="E325" s="94"/>
      <c r="F325" s="94"/>
      <c r="G325" s="25"/>
    </row>
    <row r="326">
      <c r="C326" s="94"/>
      <c r="D326" s="94"/>
      <c r="E326" s="94"/>
      <c r="F326" s="94"/>
      <c r="G326" s="25"/>
    </row>
    <row r="327">
      <c r="C327" s="94"/>
      <c r="D327" s="94"/>
      <c r="E327" s="94"/>
      <c r="F327" s="94"/>
      <c r="G327" s="25"/>
    </row>
    <row r="328">
      <c r="C328" s="94"/>
      <c r="D328" s="94"/>
      <c r="E328" s="94"/>
      <c r="F328" s="94"/>
      <c r="G328" s="25"/>
    </row>
    <row r="329">
      <c r="C329" s="94"/>
      <c r="D329" s="94"/>
      <c r="E329" s="94"/>
      <c r="F329" s="94"/>
      <c r="G329" s="25"/>
    </row>
    <row r="330">
      <c r="C330" s="94"/>
      <c r="D330" s="94"/>
      <c r="E330" s="94"/>
      <c r="F330" s="94"/>
      <c r="G330" s="25"/>
    </row>
    <row r="331">
      <c r="C331" s="94"/>
      <c r="D331" s="94"/>
      <c r="E331" s="94"/>
      <c r="F331" s="94"/>
      <c r="G331" s="25"/>
    </row>
    <row r="332">
      <c r="C332" s="94"/>
      <c r="D332" s="94"/>
      <c r="E332" s="94"/>
      <c r="F332" s="94"/>
      <c r="G332" s="25"/>
    </row>
    <row r="333">
      <c r="C333" s="94"/>
      <c r="D333" s="94"/>
      <c r="E333" s="94"/>
      <c r="F333" s="94"/>
      <c r="G333" s="25"/>
    </row>
    <row r="334">
      <c r="C334" s="94"/>
      <c r="D334" s="94"/>
      <c r="E334" s="94"/>
      <c r="F334" s="94"/>
      <c r="G334" s="25"/>
    </row>
    <row r="335">
      <c r="C335" s="94"/>
      <c r="D335" s="94"/>
      <c r="E335" s="94"/>
      <c r="F335" s="94"/>
      <c r="G335" s="25"/>
    </row>
    <row r="336">
      <c r="C336" s="94"/>
      <c r="D336" s="94"/>
      <c r="E336" s="94"/>
      <c r="F336" s="94"/>
      <c r="G336" s="25"/>
    </row>
    <row r="337">
      <c r="C337" s="94"/>
      <c r="D337" s="94"/>
      <c r="E337" s="94"/>
      <c r="F337" s="94"/>
      <c r="G337" s="25"/>
    </row>
    <row r="338">
      <c r="C338" s="94"/>
      <c r="D338" s="94"/>
      <c r="E338" s="94"/>
      <c r="F338" s="94"/>
      <c r="G338" s="25"/>
    </row>
    <row r="339">
      <c r="C339" s="94"/>
      <c r="D339" s="94"/>
      <c r="E339" s="94"/>
      <c r="F339" s="94"/>
      <c r="G339" s="25"/>
    </row>
    <row r="340">
      <c r="C340" s="94"/>
      <c r="D340" s="94"/>
      <c r="E340" s="94"/>
      <c r="F340" s="94"/>
      <c r="G340" s="25"/>
    </row>
    <row r="341">
      <c r="C341" s="94"/>
      <c r="D341" s="94"/>
      <c r="E341" s="94"/>
      <c r="F341" s="94"/>
      <c r="G341" s="25"/>
    </row>
    <row r="342">
      <c r="C342" s="94"/>
      <c r="D342" s="94"/>
      <c r="E342" s="94"/>
      <c r="F342" s="94"/>
      <c r="G342" s="25"/>
    </row>
    <row r="343">
      <c r="C343" s="94"/>
      <c r="D343" s="94"/>
      <c r="E343" s="94"/>
      <c r="F343" s="94"/>
      <c r="G343" s="25"/>
    </row>
    <row r="344">
      <c r="C344" s="94"/>
      <c r="D344" s="94"/>
      <c r="E344" s="94"/>
      <c r="F344" s="94"/>
      <c r="G344" s="25"/>
    </row>
    <row r="345">
      <c r="C345" s="94"/>
      <c r="D345" s="94"/>
      <c r="E345" s="94"/>
      <c r="F345" s="94"/>
      <c r="G345" s="25"/>
    </row>
    <row r="346">
      <c r="C346" s="94"/>
      <c r="D346" s="94"/>
      <c r="E346" s="94"/>
      <c r="F346" s="94"/>
      <c r="G346" s="25"/>
    </row>
    <row r="347">
      <c r="C347" s="94"/>
      <c r="D347" s="94"/>
      <c r="E347" s="94"/>
      <c r="F347" s="94"/>
      <c r="G347" s="25"/>
    </row>
    <row r="348">
      <c r="C348" s="94"/>
      <c r="D348" s="94"/>
      <c r="E348" s="94"/>
      <c r="F348" s="94"/>
      <c r="G348" s="25"/>
    </row>
    <row r="349">
      <c r="C349" s="94"/>
      <c r="D349" s="94"/>
      <c r="E349" s="94"/>
      <c r="F349" s="94"/>
      <c r="G349" s="25"/>
    </row>
    <row r="350">
      <c r="C350" s="94"/>
      <c r="D350" s="94"/>
      <c r="E350" s="94"/>
      <c r="F350" s="94"/>
      <c r="G350" s="25"/>
    </row>
    <row r="351">
      <c r="C351" s="94"/>
      <c r="D351" s="94"/>
      <c r="E351" s="94"/>
      <c r="F351" s="94"/>
      <c r="G351" s="25"/>
    </row>
    <row r="352">
      <c r="C352" s="94"/>
      <c r="D352" s="94"/>
      <c r="E352" s="94"/>
      <c r="F352" s="94"/>
      <c r="G352" s="25"/>
    </row>
    <row r="353">
      <c r="C353" s="94"/>
      <c r="D353" s="94"/>
      <c r="E353" s="94"/>
      <c r="F353" s="94"/>
      <c r="G353" s="25"/>
    </row>
    <row r="354">
      <c r="C354" s="94"/>
      <c r="D354" s="94"/>
      <c r="E354" s="94"/>
      <c r="F354" s="94"/>
      <c r="G354" s="25"/>
    </row>
    <row r="355">
      <c r="C355" s="94"/>
      <c r="D355" s="94"/>
      <c r="E355" s="94"/>
      <c r="F355" s="94"/>
      <c r="G355" s="25"/>
    </row>
    <row r="356">
      <c r="C356" s="94"/>
      <c r="D356" s="94"/>
      <c r="E356" s="94"/>
      <c r="F356" s="94"/>
      <c r="G356" s="25"/>
    </row>
    <row r="357">
      <c r="C357" s="94"/>
      <c r="D357" s="94"/>
      <c r="E357" s="94"/>
      <c r="F357" s="94"/>
      <c r="G357" s="25"/>
    </row>
    <row r="358">
      <c r="C358" s="94"/>
      <c r="D358" s="94"/>
      <c r="E358" s="94"/>
      <c r="F358" s="94"/>
      <c r="G358" s="25"/>
    </row>
    <row r="359">
      <c r="C359" s="94"/>
      <c r="D359" s="94"/>
      <c r="E359" s="94"/>
      <c r="F359" s="94"/>
      <c r="G359" s="25"/>
    </row>
    <row r="360">
      <c r="C360" s="94"/>
      <c r="D360" s="94"/>
      <c r="E360" s="94"/>
      <c r="F360" s="94"/>
      <c r="G360" s="25"/>
    </row>
    <row r="361">
      <c r="C361" s="94"/>
      <c r="D361" s="94"/>
      <c r="E361" s="94"/>
      <c r="F361" s="94"/>
      <c r="G361" s="25"/>
    </row>
    <row r="362">
      <c r="C362" s="94"/>
      <c r="D362" s="94"/>
      <c r="E362" s="94"/>
      <c r="F362" s="94"/>
      <c r="G362" s="25"/>
    </row>
    <row r="363">
      <c r="C363" s="94"/>
      <c r="D363" s="94"/>
      <c r="E363" s="94"/>
      <c r="F363" s="94"/>
      <c r="G363" s="25"/>
    </row>
    <row r="364">
      <c r="C364" s="94"/>
      <c r="D364" s="94"/>
      <c r="E364" s="94"/>
      <c r="F364" s="94"/>
      <c r="G364" s="25"/>
    </row>
    <row r="365">
      <c r="C365" s="94"/>
      <c r="D365" s="94"/>
      <c r="E365" s="94"/>
      <c r="F365" s="94"/>
      <c r="G365" s="25"/>
    </row>
    <row r="366">
      <c r="C366" s="94"/>
      <c r="D366" s="94"/>
      <c r="E366" s="94"/>
      <c r="F366" s="94"/>
      <c r="G366" s="25"/>
    </row>
    <row r="367">
      <c r="C367" s="94"/>
      <c r="D367" s="94"/>
      <c r="E367" s="94"/>
      <c r="F367" s="94"/>
      <c r="G367" s="25"/>
    </row>
    <row r="368">
      <c r="C368" s="94"/>
      <c r="D368" s="94"/>
      <c r="E368" s="94"/>
      <c r="F368" s="94"/>
      <c r="G368" s="25"/>
    </row>
    <row r="369">
      <c r="C369" s="94"/>
      <c r="D369" s="94"/>
      <c r="E369" s="94"/>
      <c r="F369" s="94"/>
      <c r="G369" s="25"/>
    </row>
    <row r="370">
      <c r="C370" s="94"/>
      <c r="D370" s="94"/>
      <c r="E370" s="94"/>
      <c r="F370" s="94"/>
      <c r="G370" s="25"/>
    </row>
    <row r="371">
      <c r="C371" s="94"/>
      <c r="D371" s="94"/>
      <c r="E371" s="94"/>
      <c r="F371" s="94"/>
      <c r="G371" s="25"/>
    </row>
    <row r="372">
      <c r="C372" s="94"/>
      <c r="D372" s="94"/>
      <c r="E372" s="94"/>
      <c r="F372" s="94"/>
      <c r="G372" s="25"/>
    </row>
    <row r="373">
      <c r="C373" s="94"/>
      <c r="D373" s="94"/>
      <c r="E373" s="94"/>
      <c r="F373" s="94"/>
      <c r="G373" s="25"/>
    </row>
    <row r="374">
      <c r="C374" s="94"/>
      <c r="D374" s="94"/>
      <c r="E374" s="94"/>
      <c r="F374" s="94"/>
      <c r="G374" s="25"/>
    </row>
    <row r="375">
      <c r="C375" s="94"/>
      <c r="D375" s="94"/>
      <c r="E375" s="94"/>
      <c r="F375" s="94"/>
      <c r="G375" s="25"/>
    </row>
    <row r="376">
      <c r="C376" s="94"/>
      <c r="D376" s="94"/>
      <c r="E376" s="94"/>
      <c r="F376" s="94"/>
      <c r="G376" s="25"/>
    </row>
    <row r="377">
      <c r="C377" s="94"/>
      <c r="D377" s="94"/>
      <c r="E377" s="94"/>
      <c r="F377" s="94"/>
      <c r="G377" s="25"/>
    </row>
    <row r="378">
      <c r="C378" s="94"/>
      <c r="D378" s="94"/>
      <c r="E378" s="94"/>
      <c r="F378" s="94"/>
      <c r="G378" s="25"/>
    </row>
    <row r="379">
      <c r="C379" s="94"/>
      <c r="D379" s="94"/>
      <c r="E379" s="94"/>
      <c r="F379" s="94"/>
      <c r="G379" s="25"/>
    </row>
    <row r="380">
      <c r="C380" s="94"/>
      <c r="D380" s="94"/>
      <c r="E380" s="94"/>
      <c r="F380" s="94"/>
      <c r="G380" s="25"/>
    </row>
    <row r="381">
      <c r="C381" s="94"/>
      <c r="D381" s="94"/>
      <c r="E381" s="94"/>
      <c r="F381" s="94"/>
      <c r="G381" s="25"/>
    </row>
    <row r="382">
      <c r="C382" s="94"/>
      <c r="D382" s="94"/>
      <c r="E382" s="94"/>
      <c r="F382" s="94"/>
      <c r="G382" s="25"/>
    </row>
    <row r="383">
      <c r="C383" s="94"/>
      <c r="D383" s="94"/>
      <c r="E383" s="94"/>
      <c r="F383" s="94"/>
      <c r="G383" s="25"/>
    </row>
    <row r="384">
      <c r="C384" s="94"/>
      <c r="D384" s="94"/>
      <c r="E384" s="94"/>
      <c r="F384" s="94"/>
      <c r="G384" s="25"/>
    </row>
    <row r="385">
      <c r="C385" s="94"/>
      <c r="D385" s="94"/>
      <c r="E385" s="94"/>
      <c r="F385" s="94"/>
      <c r="G385" s="25"/>
    </row>
    <row r="386">
      <c r="C386" s="94"/>
      <c r="D386" s="94"/>
      <c r="E386" s="94"/>
      <c r="F386" s="94"/>
      <c r="G386" s="25"/>
    </row>
    <row r="387">
      <c r="C387" s="94"/>
      <c r="D387" s="94"/>
      <c r="E387" s="94"/>
      <c r="F387" s="94"/>
      <c r="G387" s="25"/>
    </row>
    <row r="388">
      <c r="C388" s="94"/>
      <c r="D388" s="94"/>
      <c r="E388" s="94"/>
      <c r="F388" s="94"/>
      <c r="G388" s="25"/>
    </row>
    <row r="389">
      <c r="C389" s="94"/>
      <c r="D389" s="94"/>
      <c r="E389" s="94"/>
      <c r="F389" s="94"/>
      <c r="G389" s="25"/>
    </row>
    <row r="390">
      <c r="C390" s="94"/>
      <c r="D390" s="94"/>
      <c r="E390" s="94"/>
      <c r="F390" s="94"/>
      <c r="G390" s="25"/>
    </row>
    <row r="391">
      <c r="C391" s="94"/>
      <c r="D391" s="94"/>
      <c r="E391" s="94"/>
      <c r="F391" s="94"/>
      <c r="G391" s="25"/>
    </row>
    <row r="392">
      <c r="C392" s="94"/>
      <c r="D392" s="94"/>
      <c r="E392" s="94"/>
      <c r="F392" s="94"/>
      <c r="G392" s="25"/>
    </row>
    <row r="393">
      <c r="C393" s="94"/>
      <c r="D393" s="94"/>
      <c r="E393" s="94"/>
      <c r="F393" s="94"/>
      <c r="G393" s="25"/>
    </row>
    <row r="394">
      <c r="C394" s="94"/>
      <c r="D394" s="94"/>
      <c r="E394" s="94"/>
      <c r="F394" s="94"/>
      <c r="G394" s="25"/>
    </row>
    <row r="395">
      <c r="C395" s="94"/>
      <c r="D395" s="94"/>
      <c r="E395" s="94"/>
      <c r="F395" s="94"/>
      <c r="G395" s="25"/>
    </row>
    <row r="396">
      <c r="C396" s="94"/>
      <c r="D396" s="94"/>
      <c r="E396" s="94"/>
      <c r="F396" s="94"/>
      <c r="G396" s="25"/>
    </row>
    <row r="397">
      <c r="C397" s="94"/>
      <c r="D397" s="94"/>
      <c r="E397" s="94"/>
      <c r="F397" s="94"/>
      <c r="G397" s="25"/>
    </row>
    <row r="398">
      <c r="C398" s="94"/>
      <c r="D398" s="94"/>
      <c r="E398" s="94"/>
      <c r="F398" s="94"/>
      <c r="G398" s="25"/>
    </row>
    <row r="399">
      <c r="C399" s="94"/>
      <c r="D399" s="94"/>
      <c r="E399" s="94"/>
      <c r="F399" s="94"/>
      <c r="G399" s="25"/>
    </row>
    <row r="400">
      <c r="C400" s="94"/>
      <c r="D400" s="94"/>
      <c r="E400" s="94"/>
      <c r="F400" s="94"/>
      <c r="G400" s="25"/>
    </row>
    <row r="401">
      <c r="C401" s="94"/>
      <c r="D401" s="94"/>
      <c r="E401" s="94"/>
      <c r="F401" s="94"/>
      <c r="G401" s="25"/>
    </row>
    <row r="402">
      <c r="C402" s="94"/>
      <c r="D402" s="94"/>
      <c r="E402" s="94"/>
      <c r="F402" s="94"/>
      <c r="G402" s="25"/>
    </row>
    <row r="403">
      <c r="C403" s="94"/>
      <c r="D403" s="94"/>
      <c r="E403" s="94"/>
      <c r="F403" s="94"/>
      <c r="G403" s="25"/>
    </row>
    <row r="404">
      <c r="C404" s="94"/>
      <c r="D404" s="94"/>
      <c r="E404" s="94"/>
      <c r="F404" s="94"/>
      <c r="G404" s="25"/>
    </row>
    <row r="405">
      <c r="C405" s="94"/>
      <c r="D405" s="94"/>
      <c r="E405" s="94"/>
      <c r="F405" s="94"/>
      <c r="G405" s="25"/>
    </row>
    <row r="406">
      <c r="C406" s="94"/>
      <c r="D406" s="94"/>
      <c r="E406" s="94"/>
      <c r="F406" s="94"/>
      <c r="G406" s="25"/>
    </row>
    <row r="407">
      <c r="C407" s="94"/>
      <c r="D407" s="94"/>
      <c r="E407" s="94"/>
      <c r="F407" s="94"/>
      <c r="G407" s="25"/>
    </row>
    <row r="408">
      <c r="C408" s="94"/>
      <c r="D408" s="94"/>
      <c r="E408" s="94"/>
      <c r="F408" s="94"/>
      <c r="G408" s="25"/>
    </row>
    <row r="409">
      <c r="C409" s="94"/>
      <c r="D409" s="94"/>
      <c r="E409" s="94"/>
      <c r="F409" s="94"/>
      <c r="G409" s="25"/>
    </row>
    <row r="410">
      <c r="C410" s="94"/>
      <c r="D410" s="94"/>
      <c r="E410" s="94"/>
      <c r="F410" s="94"/>
      <c r="G410" s="25"/>
    </row>
    <row r="411">
      <c r="C411" s="94"/>
      <c r="D411" s="94"/>
      <c r="E411" s="94"/>
      <c r="F411" s="94"/>
      <c r="G411" s="25"/>
    </row>
    <row r="412">
      <c r="C412" s="94"/>
      <c r="D412" s="94"/>
      <c r="E412" s="94"/>
      <c r="F412" s="94"/>
      <c r="G412" s="25"/>
    </row>
    <row r="413">
      <c r="C413" s="94"/>
      <c r="D413" s="94"/>
      <c r="E413" s="94"/>
      <c r="F413" s="94"/>
      <c r="G413" s="25"/>
    </row>
    <row r="414">
      <c r="C414" s="94"/>
      <c r="D414" s="94"/>
      <c r="E414" s="94"/>
      <c r="F414" s="94"/>
      <c r="G414" s="25"/>
    </row>
    <row r="415">
      <c r="C415" s="94"/>
      <c r="D415" s="94"/>
      <c r="E415" s="94"/>
      <c r="F415" s="94"/>
      <c r="G415" s="25"/>
    </row>
    <row r="416">
      <c r="C416" s="94"/>
      <c r="D416" s="94"/>
      <c r="E416" s="94"/>
      <c r="F416" s="94"/>
      <c r="G416" s="25"/>
    </row>
    <row r="417">
      <c r="C417" s="94"/>
      <c r="D417" s="94"/>
      <c r="E417" s="94"/>
      <c r="F417" s="94"/>
      <c r="G417" s="25"/>
    </row>
    <row r="418">
      <c r="C418" s="94"/>
      <c r="D418" s="94"/>
      <c r="E418" s="94"/>
      <c r="F418" s="94"/>
      <c r="G418" s="25"/>
    </row>
    <row r="419">
      <c r="C419" s="94"/>
      <c r="D419" s="94"/>
      <c r="E419" s="94"/>
      <c r="F419" s="94"/>
      <c r="G419" s="25"/>
    </row>
    <row r="420">
      <c r="C420" s="94"/>
      <c r="D420" s="94"/>
      <c r="E420" s="94"/>
      <c r="F420" s="94"/>
      <c r="G420" s="25"/>
    </row>
    <row r="421">
      <c r="C421" s="94"/>
      <c r="D421" s="94"/>
      <c r="E421" s="94"/>
      <c r="F421" s="94"/>
      <c r="G421" s="25"/>
    </row>
    <row r="422">
      <c r="C422" s="94"/>
      <c r="D422" s="94"/>
      <c r="E422" s="94"/>
      <c r="F422" s="94"/>
      <c r="G422" s="25"/>
    </row>
    <row r="423">
      <c r="C423" s="94"/>
      <c r="D423" s="94"/>
      <c r="E423" s="94"/>
      <c r="F423" s="94"/>
      <c r="G423" s="25"/>
    </row>
    <row r="424">
      <c r="C424" s="94"/>
      <c r="D424" s="94"/>
      <c r="E424" s="94"/>
      <c r="F424" s="94"/>
      <c r="G424" s="25"/>
    </row>
    <row r="425">
      <c r="C425" s="94"/>
      <c r="D425" s="94"/>
      <c r="E425" s="94"/>
      <c r="F425" s="94"/>
      <c r="G425" s="25"/>
    </row>
    <row r="426">
      <c r="C426" s="94"/>
      <c r="D426" s="94"/>
      <c r="E426" s="94"/>
      <c r="F426" s="94"/>
      <c r="G426" s="25"/>
    </row>
    <row r="427">
      <c r="C427" s="94"/>
      <c r="D427" s="94"/>
      <c r="E427" s="94"/>
      <c r="F427" s="94"/>
      <c r="G427" s="25"/>
    </row>
    <row r="428">
      <c r="C428" s="94"/>
      <c r="D428" s="94"/>
      <c r="E428" s="94"/>
      <c r="F428" s="94"/>
      <c r="G428" s="25"/>
    </row>
    <row r="429">
      <c r="C429" s="94"/>
      <c r="D429" s="94"/>
      <c r="E429" s="94"/>
      <c r="F429" s="94"/>
      <c r="G429" s="25"/>
    </row>
    <row r="430">
      <c r="C430" s="94"/>
      <c r="D430" s="94"/>
      <c r="E430" s="94"/>
      <c r="F430" s="94"/>
      <c r="G430" s="25"/>
    </row>
    <row r="431">
      <c r="C431" s="94"/>
      <c r="D431" s="94"/>
      <c r="E431" s="94"/>
      <c r="F431" s="94"/>
      <c r="G431" s="25"/>
    </row>
    <row r="432">
      <c r="C432" s="94"/>
      <c r="D432" s="94"/>
      <c r="E432" s="94"/>
      <c r="F432" s="94"/>
      <c r="G432" s="25"/>
    </row>
    <row r="433">
      <c r="C433" s="94"/>
      <c r="D433" s="94"/>
      <c r="E433" s="94"/>
      <c r="F433" s="94"/>
      <c r="G433" s="25"/>
    </row>
    <row r="434">
      <c r="C434" s="94"/>
      <c r="D434" s="94"/>
      <c r="E434" s="94"/>
      <c r="F434" s="94"/>
      <c r="G434" s="25"/>
    </row>
    <row r="435">
      <c r="C435" s="94"/>
      <c r="D435" s="94"/>
      <c r="E435" s="94"/>
      <c r="F435" s="94"/>
      <c r="G435" s="25"/>
    </row>
    <row r="436">
      <c r="C436" s="94"/>
      <c r="D436" s="94"/>
      <c r="E436" s="94"/>
      <c r="F436" s="94"/>
      <c r="G436" s="25"/>
    </row>
    <row r="437">
      <c r="C437" s="94"/>
      <c r="D437" s="94"/>
      <c r="E437" s="94"/>
      <c r="F437" s="94"/>
      <c r="G437" s="25"/>
    </row>
    <row r="438">
      <c r="C438" s="94"/>
      <c r="D438" s="94"/>
      <c r="E438" s="94"/>
      <c r="F438" s="94"/>
      <c r="G438" s="25"/>
    </row>
    <row r="439">
      <c r="C439" s="94"/>
      <c r="D439" s="94"/>
      <c r="E439" s="94"/>
      <c r="F439" s="94"/>
      <c r="G439" s="25"/>
    </row>
    <row r="440">
      <c r="C440" s="94"/>
      <c r="D440" s="94"/>
      <c r="E440" s="94"/>
      <c r="F440" s="94"/>
      <c r="G440" s="25"/>
    </row>
    <row r="441">
      <c r="C441" s="94"/>
      <c r="D441" s="94"/>
      <c r="E441" s="94"/>
      <c r="F441" s="94"/>
      <c r="G441" s="25"/>
    </row>
    <row r="442">
      <c r="C442" s="94"/>
      <c r="D442" s="94"/>
      <c r="E442" s="94"/>
      <c r="F442" s="94"/>
      <c r="G442" s="25"/>
    </row>
    <row r="443">
      <c r="C443" s="94"/>
      <c r="D443" s="94"/>
      <c r="E443" s="94"/>
      <c r="F443" s="94"/>
      <c r="G443" s="25"/>
    </row>
    <row r="444">
      <c r="C444" s="94"/>
      <c r="D444" s="94"/>
      <c r="E444" s="94"/>
      <c r="F444" s="94"/>
      <c r="G444" s="25"/>
    </row>
    <row r="445">
      <c r="C445" s="94"/>
      <c r="D445" s="94"/>
      <c r="E445" s="94"/>
      <c r="F445" s="94"/>
      <c r="G445" s="25"/>
    </row>
    <row r="446">
      <c r="C446" s="94"/>
      <c r="D446" s="94"/>
      <c r="E446" s="94"/>
      <c r="F446" s="94"/>
      <c r="G446" s="25"/>
    </row>
    <row r="447">
      <c r="C447" s="94"/>
      <c r="D447" s="94"/>
      <c r="E447" s="94"/>
      <c r="F447" s="94"/>
      <c r="G447" s="25"/>
    </row>
    <row r="448">
      <c r="C448" s="94"/>
      <c r="D448" s="94"/>
      <c r="E448" s="94"/>
      <c r="F448" s="94"/>
      <c r="G448" s="25"/>
    </row>
    <row r="449">
      <c r="C449" s="94"/>
      <c r="D449" s="94"/>
      <c r="E449" s="94"/>
      <c r="F449" s="94"/>
      <c r="G449" s="25"/>
    </row>
    <row r="450">
      <c r="C450" s="94"/>
      <c r="D450" s="94"/>
      <c r="E450" s="94"/>
      <c r="F450" s="94"/>
      <c r="G450" s="25"/>
    </row>
    <row r="451">
      <c r="C451" s="94"/>
      <c r="D451" s="94"/>
      <c r="E451" s="94"/>
      <c r="F451" s="94"/>
      <c r="G451" s="25"/>
    </row>
    <row r="452">
      <c r="C452" s="94"/>
      <c r="D452" s="94"/>
      <c r="E452" s="94"/>
      <c r="F452" s="94"/>
      <c r="G452" s="25"/>
    </row>
    <row r="453">
      <c r="C453" s="94"/>
      <c r="D453" s="94"/>
      <c r="E453" s="94"/>
      <c r="F453" s="94"/>
      <c r="G453" s="25"/>
    </row>
    <row r="454">
      <c r="C454" s="94"/>
      <c r="D454" s="94"/>
      <c r="E454" s="94"/>
      <c r="F454" s="94"/>
      <c r="G454" s="25"/>
    </row>
    <row r="455">
      <c r="C455" s="94"/>
      <c r="D455" s="94"/>
      <c r="E455" s="94"/>
      <c r="F455" s="94"/>
      <c r="G455" s="25"/>
    </row>
    <row r="456">
      <c r="C456" s="94"/>
      <c r="D456" s="94"/>
      <c r="E456" s="94"/>
      <c r="F456" s="94"/>
      <c r="G456" s="25"/>
    </row>
    <row r="457">
      <c r="C457" s="94"/>
      <c r="D457" s="94"/>
      <c r="E457" s="94"/>
      <c r="F457" s="94"/>
      <c r="G457" s="25"/>
    </row>
    <row r="458">
      <c r="C458" s="94"/>
      <c r="D458" s="94"/>
      <c r="E458" s="94"/>
      <c r="F458" s="94"/>
      <c r="G458" s="25"/>
    </row>
    <row r="459">
      <c r="C459" s="94"/>
      <c r="D459" s="94"/>
      <c r="E459" s="94"/>
      <c r="F459" s="94"/>
      <c r="G459" s="25"/>
    </row>
    <row r="460">
      <c r="C460" s="94"/>
      <c r="D460" s="94"/>
      <c r="E460" s="94"/>
      <c r="F460" s="94"/>
      <c r="G460" s="25"/>
    </row>
    <row r="461">
      <c r="C461" s="94"/>
      <c r="D461" s="94"/>
      <c r="E461" s="94"/>
      <c r="F461" s="94"/>
      <c r="G461" s="25"/>
    </row>
    <row r="462">
      <c r="C462" s="94"/>
      <c r="D462" s="94"/>
      <c r="E462" s="94"/>
      <c r="F462" s="94"/>
      <c r="G462" s="25"/>
    </row>
    <row r="463">
      <c r="C463" s="94"/>
      <c r="D463" s="94"/>
      <c r="E463" s="94"/>
      <c r="F463" s="94"/>
      <c r="G463" s="25"/>
    </row>
    <row r="464">
      <c r="C464" s="94"/>
      <c r="D464" s="94"/>
      <c r="E464" s="94"/>
      <c r="F464" s="94"/>
      <c r="G464" s="25"/>
    </row>
    <row r="465">
      <c r="C465" s="94"/>
      <c r="D465" s="94"/>
      <c r="E465" s="94"/>
      <c r="F465" s="94"/>
      <c r="G465" s="25"/>
    </row>
    <row r="466">
      <c r="C466" s="94"/>
      <c r="D466" s="94"/>
      <c r="E466" s="94"/>
      <c r="F466" s="94"/>
      <c r="G466" s="25"/>
    </row>
    <row r="467">
      <c r="C467" s="94"/>
      <c r="D467" s="94"/>
      <c r="E467" s="94"/>
      <c r="F467" s="94"/>
      <c r="G467" s="25"/>
    </row>
    <row r="468">
      <c r="C468" s="94"/>
      <c r="D468" s="94"/>
      <c r="E468" s="94"/>
      <c r="F468" s="94"/>
      <c r="G468" s="25"/>
    </row>
    <row r="469">
      <c r="C469" s="94"/>
      <c r="D469" s="94"/>
      <c r="E469" s="94"/>
      <c r="F469" s="94"/>
      <c r="G469" s="25"/>
    </row>
    <row r="470">
      <c r="C470" s="94"/>
      <c r="D470" s="94"/>
      <c r="E470" s="94"/>
      <c r="F470" s="94"/>
      <c r="G470" s="25"/>
    </row>
    <row r="471">
      <c r="C471" s="94"/>
      <c r="D471" s="94"/>
      <c r="E471" s="94"/>
      <c r="F471" s="94"/>
      <c r="G471" s="25"/>
    </row>
    <row r="472">
      <c r="C472" s="94"/>
      <c r="D472" s="94"/>
      <c r="E472" s="94"/>
      <c r="F472" s="94"/>
      <c r="G472" s="25"/>
    </row>
    <row r="473">
      <c r="C473" s="94"/>
      <c r="D473" s="94"/>
      <c r="E473" s="94"/>
      <c r="F473" s="94"/>
      <c r="G473" s="25"/>
    </row>
    <row r="474">
      <c r="C474" s="94"/>
      <c r="D474" s="94"/>
      <c r="E474" s="94"/>
      <c r="F474" s="94"/>
      <c r="G474" s="25"/>
    </row>
    <row r="475">
      <c r="C475" s="94"/>
      <c r="D475" s="94"/>
      <c r="E475" s="94"/>
      <c r="F475" s="94"/>
      <c r="G475" s="25"/>
    </row>
    <row r="476">
      <c r="C476" s="94"/>
      <c r="D476" s="94"/>
      <c r="E476" s="94"/>
      <c r="F476" s="94"/>
      <c r="G476" s="25"/>
    </row>
    <row r="477">
      <c r="C477" s="94"/>
      <c r="D477" s="94"/>
      <c r="E477" s="94"/>
      <c r="F477" s="94"/>
      <c r="G477" s="25"/>
    </row>
    <row r="478">
      <c r="C478" s="94"/>
      <c r="D478" s="94"/>
      <c r="E478" s="94"/>
      <c r="F478" s="94"/>
      <c r="G478" s="25"/>
    </row>
    <row r="479">
      <c r="C479" s="94"/>
      <c r="D479" s="94"/>
      <c r="E479" s="94"/>
      <c r="F479" s="94"/>
      <c r="G479" s="25"/>
    </row>
    <row r="480">
      <c r="C480" s="94"/>
      <c r="D480" s="94"/>
      <c r="E480" s="94"/>
      <c r="F480" s="94"/>
      <c r="G480" s="25"/>
    </row>
    <row r="481">
      <c r="C481" s="94"/>
      <c r="D481" s="94"/>
      <c r="E481" s="94"/>
      <c r="F481" s="94"/>
      <c r="G481" s="25"/>
    </row>
    <row r="482">
      <c r="C482" s="94"/>
      <c r="D482" s="94"/>
      <c r="E482" s="94"/>
      <c r="F482" s="94"/>
      <c r="G482" s="25"/>
    </row>
    <row r="483">
      <c r="C483" s="94"/>
      <c r="D483" s="94"/>
      <c r="E483" s="94"/>
      <c r="F483" s="94"/>
      <c r="G483" s="25"/>
    </row>
    <row r="484">
      <c r="C484" s="94"/>
      <c r="D484" s="94"/>
      <c r="E484" s="94"/>
      <c r="F484" s="94"/>
      <c r="G484" s="25"/>
    </row>
    <row r="485">
      <c r="C485" s="94"/>
      <c r="D485" s="94"/>
      <c r="E485" s="94"/>
      <c r="F485" s="94"/>
      <c r="G485" s="25"/>
    </row>
    <row r="486">
      <c r="C486" s="94"/>
      <c r="D486" s="94"/>
      <c r="E486" s="94"/>
      <c r="F486" s="94"/>
      <c r="G486" s="25"/>
    </row>
    <row r="487">
      <c r="C487" s="94"/>
      <c r="D487" s="94"/>
      <c r="E487" s="94"/>
      <c r="F487" s="94"/>
      <c r="G487" s="25"/>
    </row>
    <row r="488">
      <c r="C488" s="94"/>
      <c r="D488" s="94"/>
      <c r="E488" s="94"/>
      <c r="F488" s="94"/>
      <c r="G488" s="25"/>
    </row>
    <row r="489">
      <c r="C489" s="94"/>
      <c r="D489" s="94"/>
      <c r="E489" s="94"/>
      <c r="F489" s="94"/>
      <c r="G489" s="25"/>
    </row>
    <row r="490">
      <c r="C490" s="94"/>
      <c r="D490" s="94"/>
      <c r="E490" s="94"/>
      <c r="F490" s="94"/>
      <c r="G490" s="25"/>
    </row>
    <row r="491">
      <c r="C491" s="94"/>
      <c r="D491" s="94"/>
      <c r="E491" s="94"/>
      <c r="F491" s="94"/>
      <c r="G491" s="25"/>
    </row>
    <row r="492">
      <c r="C492" s="94"/>
      <c r="D492" s="94"/>
      <c r="E492" s="94"/>
      <c r="F492" s="94"/>
      <c r="G492" s="25"/>
    </row>
    <row r="493">
      <c r="C493" s="94"/>
      <c r="D493" s="94"/>
      <c r="E493" s="94"/>
      <c r="F493" s="94"/>
      <c r="G493" s="25"/>
    </row>
    <row r="494">
      <c r="C494" s="94"/>
      <c r="D494" s="94"/>
      <c r="E494" s="94"/>
      <c r="F494" s="94"/>
      <c r="G494" s="25"/>
    </row>
    <row r="495">
      <c r="C495" s="94"/>
      <c r="D495" s="94"/>
      <c r="E495" s="94"/>
      <c r="F495" s="94"/>
      <c r="G495" s="25"/>
    </row>
    <row r="496">
      <c r="C496" s="94"/>
      <c r="D496" s="94"/>
      <c r="E496" s="94"/>
      <c r="F496" s="94"/>
      <c r="G496" s="25"/>
    </row>
    <row r="497">
      <c r="C497" s="94"/>
      <c r="D497" s="94"/>
      <c r="E497" s="94"/>
      <c r="F497" s="94"/>
      <c r="G497" s="25"/>
    </row>
    <row r="498">
      <c r="C498" s="94"/>
      <c r="D498" s="94"/>
      <c r="E498" s="94"/>
      <c r="F498" s="94"/>
      <c r="G498" s="25"/>
    </row>
    <row r="499">
      <c r="C499" s="94"/>
      <c r="D499" s="94"/>
      <c r="E499" s="94"/>
      <c r="F499" s="94"/>
      <c r="G499" s="25"/>
    </row>
    <row r="500">
      <c r="C500" s="94"/>
      <c r="D500" s="94"/>
      <c r="E500" s="94"/>
      <c r="F500" s="94"/>
      <c r="G500" s="25"/>
    </row>
    <row r="501">
      <c r="C501" s="94"/>
      <c r="D501" s="94"/>
      <c r="E501" s="94"/>
      <c r="F501" s="94"/>
      <c r="G501" s="25"/>
    </row>
    <row r="502">
      <c r="C502" s="94"/>
      <c r="D502" s="94"/>
      <c r="E502" s="94"/>
      <c r="F502" s="94"/>
      <c r="G502" s="25"/>
    </row>
    <row r="503">
      <c r="C503" s="94"/>
      <c r="D503" s="94"/>
      <c r="E503" s="94"/>
      <c r="F503" s="94"/>
      <c r="G503" s="25"/>
    </row>
    <row r="504">
      <c r="C504" s="94"/>
      <c r="D504" s="94"/>
      <c r="E504" s="94"/>
      <c r="F504" s="94"/>
      <c r="G504" s="25"/>
    </row>
    <row r="505">
      <c r="C505" s="94"/>
      <c r="D505" s="94"/>
      <c r="E505" s="94"/>
      <c r="F505" s="94"/>
      <c r="G505" s="25"/>
    </row>
    <row r="506">
      <c r="C506" s="94"/>
      <c r="D506" s="94"/>
      <c r="E506" s="94"/>
      <c r="F506" s="94"/>
      <c r="G506" s="25"/>
    </row>
    <row r="507">
      <c r="C507" s="94"/>
      <c r="D507" s="94"/>
      <c r="E507" s="94"/>
      <c r="F507" s="94"/>
      <c r="G507" s="25"/>
    </row>
    <row r="508">
      <c r="C508" s="94"/>
      <c r="D508" s="94"/>
      <c r="E508" s="94"/>
      <c r="F508" s="94"/>
      <c r="G508" s="25"/>
    </row>
    <row r="509">
      <c r="C509" s="94"/>
      <c r="D509" s="94"/>
      <c r="E509" s="94"/>
      <c r="F509" s="94"/>
      <c r="G509" s="25"/>
    </row>
    <row r="510">
      <c r="C510" s="94"/>
      <c r="D510" s="94"/>
      <c r="E510" s="94"/>
      <c r="F510" s="94"/>
      <c r="G510" s="25"/>
    </row>
    <row r="511">
      <c r="C511" s="94"/>
      <c r="D511" s="94"/>
      <c r="E511" s="94"/>
      <c r="F511" s="94"/>
      <c r="G511" s="25"/>
    </row>
    <row r="512">
      <c r="C512" s="94"/>
      <c r="D512" s="94"/>
      <c r="E512" s="94"/>
      <c r="F512" s="94"/>
      <c r="G512" s="25"/>
    </row>
    <row r="513">
      <c r="C513" s="94"/>
      <c r="D513" s="94"/>
      <c r="E513" s="94"/>
      <c r="F513" s="94"/>
      <c r="G513" s="25"/>
    </row>
    <row r="514">
      <c r="C514" s="94"/>
      <c r="D514" s="94"/>
      <c r="E514" s="94"/>
      <c r="F514" s="94"/>
      <c r="G514" s="25"/>
    </row>
    <row r="515">
      <c r="C515" s="94"/>
      <c r="D515" s="94"/>
      <c r="E515" s="94"/>
      <c r="F515" s="94"/>
      <c r="G515" s="25"/>
    </row>
    <row r="516">
      <c r="C516" s="94"/>
      <c r="D516" s="94"/>
      <c r="E516" s="94"/>
      <c r="F516" s="94"/>
      <c r="G516" s="25"/>
    </row>
    <row r="517">
      <c r="C517" s="94"/>
      <c r="D517" s="94"/>
      <c r="E517" s="94"/>
      <c r="F517" s="94"/>
      <c r="G517" s="25"/>
    </row>
    <row r="518">
      <c r="C518" s="94"/>
      <c r="D518" s="94"/>
      <c r="E518" s="94"/>
      <c r="F518" s="94"/>
      <c r="G518" s="25"/>
    </row>
    <row r="519">
      <c r="C519" s="94"/>
      <c r="D519" s="94"/>
      <c r="E519" s="94"/>
      <c r="F519" s="94"/>
      <c r="G519" s="25"/>
    </row>
    <row r="520">
      <c r="C520" s="94"/>
      <c r="D520" s="94"/>
      <c r="E520" s="94"/>
      <c r="F520" s="94"/>
      <c r="G520" s="25"/>
    </row>
    <row r="521">
      <c r="C521" s="94"/>
      <c r="D521" s="94"/>
      <c r="E521" s="94"/>
      <c r="F521" s="94"/>
      <c r="G521" s="25"/>
    </row>
    <row r="522">
      <c r="C522" s="94"/>
      <c r="D522" s="94"/>
      <c r="E522" s="94"/>
      <c r="F522" s="94"/>
      <c r="G522" s="25"/>
    </row>
    <row r="523">
      <c r="C523" s="94"/>
      <c r="D523" s="94"/>
      <c r="E523" s="94"/>
      <c r="F523" s="94"/>
      <c r="G523" s="25"/>
    </row>
    <row r="524">
      <c r="C524" s="94"/>
      <c r="D524" s="94"/>
      <c r="E524" s="94"/>
      <c r="F524" s="94"/>
      <c r="G524" s="25"/>
    </row>
    <row r="525">
      <c r="C525" s="94"/>
      <c r="D525" s="94"/>
      <c r="E525" s="94"/>
      <c r="F525" s="94"/>
      <c r="G525" s="25"/>
    </row>
    <row r="526">
      <c r="C526" s="94"/>
      <c r="D526" s="94"/>
      <c r="E526" s="94"/>
      <c r="F526" s="94"/>
      <c r="G526" s="25"/>
    </row>
    <row r="527">
      <c r="C527" s="94"/>
      <c r="D527" s="94"/>
      <c r="E527" s="94"/>
      <c r="F527" s="94"/>
      <c r="G527" s="25"/>
    </row>
    <row r="528">
      <c r="C528" s="94"/>
      <c r="D528" s="94"/>
      <c r="E528" s="94"/>
      <c r="F528" s="94"/>
      <c r="G528" s="25"/>
    </row>
    <row r="529">
      <c r="C529" s="94"/>
      <c r="D529" s="94"/>
      <c r="E529" s="94"/>
      <c r="F529" s="94"/>
      <c r="G529" s="25"/>
    </row>
    <row r="530">
      <c r="C530" s="94"/>
      <c r="D530" s="94"/>
      <c r="E530" s="94"/>
      <c r="F530" s="94"/>
      <c r="G530" s="25"/>
    </row>
    <row r="531">
      <c r="C531" s="94"/>
      <c r="D531" s="94"/>
      <c r="E531" s="94"/>
      <c r="F531" s="94"/>
      <c r="G531" s="25"/>
    </row>
    <row r="532">
      <c r="C532" s="94"/>
      <c r="D532" s="94"/>
      <c r="E532" s="94"/>
      <c r="F532" s="94"/>
      <c r="G532" s="25"/>
    </row>
    <row r="533">
      <c r="C533" s="94"/>
      <c r="D533" s="94"/>
      <c r="E533" s="94"/>
      <c r="F533" s="94"/>
      <c r="G533" s="25"/>
    </row>
    <row r="534">
      <c r="C534" s="94"/>
      <c r="D534" s="94"/>
      <c r="E534" s="94"/>
      <c r="F534" s="94"/>
      <c r="G534" s="25"/>
    </row>
    <row r="535">
      <c r="C535" s="94"/>
      <c r="D535" s="94"/>
      <c r="E535" s="94"/>
      <c r="F535" s="94"/>
      <c r="G535" s="25"/>
    </row>
    <row r="536">
      <c r="C536" s="94"/>
      <c r="D536" s="94"/>
      <c r="E536" s="94"/>
      <c r="F536" s="94"/>
      <c r="G536" s="25"/>
    </row>
    <row r="537">
      <c r="C537" s="94"/>
      <c r="D537" s="94"/>
      <c r="E537" s="94"/>
      <c r="F537" s="94"/>
      <c r="G537" s="25"/>
    </row>
    <row r="538">
      <c r="C538" s="94"/>
      <c r="D538" s="94"/>
      <c r="E538" s="94"/>
      <c r="F538" s="94"/>
      <c r="G538" s="25"/>
    </row>
    <row r="539">
      <c r="C539" s="94"/>
      <c r="D539" s="94"/>
      <c r="E539" s="94"/>
      <c r="F539" s="94"/>
      <c r="G539" s="25"/>
    </row>
    <row r="540">
      <c r="C540" s="94"/>
      <c r="D540" s="94"/>
      <c r="E540" s="94"/>
      <c r="F540" s="94"/>
      <c r="G540" s="25"/>
    </row>
    <row r="541">
      <c r="C541" s="94"/>
      <c r="D541" s="94"/>
      <c r="E541" s="94"/>
      <c r="F541" s="94"/>
      <c r="G541" s="25"/>
    </row>
    <row r="542">
      <c r="C542" s="94"/>
      <c r="D542" s="94"/>
      <c r="E542" s="94"/>
      <c r="F542" s="94"/>
      <c r="G542" s="25"/>
    </row>
    <row r="543">
      <c r="C543" s="94"/>
      <c r="D543" s="94"/>
      <c r="E543" s="94"/>
      <c r="F543" s="94"/>
      <c r="G543" s="25"/>
    </row>
    <row r="544">
      <c r="C544" s="94"/>
      <c r="D544" s="94"/>
      <c r="E544" s="94"/>
      <c r="F544" s="94"/>
      <c r="G544" s="25"/>
    </row>
    <row r="545">
      <c r="C545" s="94"/>
      <c r="D545" s="94"/>
      <c r="E545" s="94"/>
      <c r="F545" s="94"/>
      <c r="G545" s="25"/>
    </row>
    <row r="546">
      <c r="C546" s="94"/>
      <c r="D546" s="94"/>
      <c r="E546" s="94"/>
      <c r="F546" s="94"/>
      <c r="G546" s="25"/>
    </row>
    <row r="547">
      <c r="C547" s="94"/>
      <c r="D547" s="94"/>
      <c r="E547" s="94"/>
      <c r="F547" s="94"/>
      <c r="G547" s="25"/>
    </row>
    <row r="548">
      <c r="C548" s="94"/>
      <c r="D548" s="94"/>
      <c r="E548" s="94"/>
      <c r="F548" s="94"/>
      <c r="G548" s="25"/>
    </row>
    <row r="549">
      <c r="C549" s="94"/>
      <c r="D549" s="94"/>
      <c r="E549" s="94"/>
      <c r="F549" s="94"/>
      <c r="G549" s="25"/>
    </row>
    <row r="550">
      <c r="C550" s="94"/>
      <c r="D550" s="94"/>
      <c r="E550" s="94"/>
      <c r="F550" s="94"/>
      <c r="G550" s="25"/>
    </row>
    <row r="551">
      <c r="C551" s="94"/>
      <c r="D551" s="94"/>
      <c r="E551" s="94"/>
      <c r="F551" s="94"/>
      <c r="G551" s="25"/>
    </row>
    <row r="552">
      <c r="C552" s="94"/>
      <c r="D552" s="94"/>
      <c r="E552" s="94"/>
      <c r="F552" s="94"/>
      <c r="G552" s="25"/>
    </row>
    <row r="553">
      <c r="C553" s="94"/>
      <c r="D553" s="94"/>
      <c r="E553" s="94"/>
      <c r="F553" s="94"/>
      <c r="G553" s="25"/>
    </row>
    <row r="554">
      <c r="C554" s="94"/>
      <c r="D554" s="94"/>
      <c r="E554" s="94"/>
      <c r="F554" s="94"/>
      <c r="G554" s="25"/>
    </row>
    <row r="555">
      <c r="C555" s="94"/>
      <c r="D555" s="94"/>
      <c r="E555" s="94"/>
      <c r="F555" s="94"/>
      <c r="G555" s="25"/>
    </row>
    <row r="556">
      <c r="C556" s="94"/>
      <c r="D556" s="94"/>
      <c r="E556" s="94"/>
      <c r="F556" s="94"/>
      <c r="G556" s="25"/>
    </row>
    <row r="557">
      <c r="C557" s="94"/>
      <c r="D557" s="94"/>
      <c r="E557" s="94"/>
      <c r="F557" s="94"/>
      <c r="G557" s="25"/>
    </row>
    <row r="558">
      <c r="C558" s="94"/>
      <c r="D558" s="94"/>
      <c r="E558" s="94"/>
      <c r="F558" s="94"/>
      <c r="G558" s="25"/>
    </row>
    <row r="559">
      <c r="C559" s="94"/>
      <c r="D559" s="94"/>
      <c r="E559" s="94"/>
      <c r="F559" s="94"/>
      <c r="G559" s="25"/>
    </row>
    <row r="560">
      <c r="C560" s="94"/>
      <c r="D560" s="94"/>
      <c r="E560" s="94"/>
      <c r="F560" s="94"/>
      <c r="G560" s="25"/>
    </row>
    <row r="561">
      <c r="C561" s="94"/>
      <c r="D561" s="94"/>
      <c r="E561" s="94"/>
      <c r="F561" s="94"/>
      <c r="G561" s="25"/>
    </row>
    <row r="562">
      <c r="C562" s="94"/>
      <c r="D562" s="94"/>
      <c r="E562" s="94"/>
      <c r="F562" s="94"/>
      <c r="G562" s="25"/>
    </row>
    <row r="563">
      <c r="C563" s="94"/>
      <c r="D563" s="94"/>
      <c r="E563" s="94"/>
      <c r="F563" s="94"/>
      <c r="G563" s="25"/>
    </row>
    <row r="564">
      <c r="C564" s="94"/>
      <c r="D564" s="94"/>
      <c r="E564" s="94"/>
      <c r="F564" s="94"/>
      <c r="G564" s="25"/>
    </row>
    <row r="565">
      <c r="C565" s="94"/>
      <c r="D565" s="94"/>
      <c r="E565" s="94"/>
      <c r="F565" s="94"/>
      <c r="G565" s="25"/>
    </row>
    <row r="566">
      <c r="C566" s="94"/>
      <c r="D566" s="94"/>
      <c r="E566" s="94"/>
      <c r="F566" s="94"/>
      <c r="G566" s="25"/>
    </row>
    <row r="567">
      <c r="C567" s="94"/>
      <c r="D567" s="94"/>
      <c r="E567" s="94"/>
      <c r="F567" s="94"/>
      <c r="G567" s="25"/>
    </row>
    <row r="568">
      <c r="C568" s="94"/>
      <c r="D568" s="94"/>
      <c r="E568" s="94"/>
      <c r="F568" s="94"/>
      <c r="G568" s="25"/>
    </row>
    <row r="569">
      <c r="C569" s="94"/>
      <c r="D569" s="94"/>
      <c r="E569" s="94"/>
      <c r="F569" s="94"/>
      <c r="G569" s="25"/>
    </row>
    <row r="570">
      <c r="C570" s="94"/>
      <c r="D570" s="94"/>
      <c r="E570" s="94"/>
      <c r="F570" s="94"/>
      <c r="G570" s="25"/>
    </row>
    <row r="571">
      <c r="C571" s="94"/>
      <c r="D571" s="94"/>
      <c r="E571" s="94"/>
      <c r="F571" s="94"/>
      <c r="G571" s="25"/>
    </row>
    <row r="572">
      <c r="C572" s="94"/>
      <c r="D572" s="94"/>
      <c r="E572" s="94"/>
      <c r="F572" s="94"/>
      <c r="G572" s="25"/>
    </row>
    <row r="573">
      <c r="C573" s="94"/>
      <c r="D573" s="94"/>
      <c r="E573" s="94"/>
      <c r="F573" s="94"/>
      <c r="G573" s="25"/>
    </row>
    <row r="574">
      <c r="C574" s="94"/>
      <c r="D574" s="94"/>
      <c r="E574" s="94"/>
      <c r="F574" s="94"/>
      <c r="G574" s="25"/>
    </row>
    <row r="575">
      <c r="C575" s="94"/>
      <c r="D575" s="94"/>
      <c r="E575" s="94"/>
      <c r="F575" s="94"/>
      <c r="G575" s="25"/>
    </row>
    <row r="576">
      <c r="C576" s="94"/>
      <c r="D576" s="94"/>
      <c r="E576" s="94"/>
      <c r="F576" s="94"/>
      <c r="G576" s="25"/>
    </row>
    <row r="577">
      <c r="C577" s="94"/>
      <c r="D577" s="94"/>
      <c r="E577" s="94"/>
      <c r="F577" s="94"/>
      <c r="G577" s="25"/>
    </row>
    <row r="578">
      <c r="C578" s="94"/>
      <c r="D578" s="94"/>
      <c r="E578" s="94"/>
      <c r="F578" s="94"/>
      <c r="G578" s="25"/>
    </row>
    <row r="579">
      <c r="C579" s="94"/>
      <c r="D579" s="94"/>
      <c r="E579" s="94"/>
      <c r="F579" s="94"/>
      <c r="G579" s="25"/>
    </row>
    <row r="580">
      <c r="C580" s="94"/>
      <c r="D580" s="94"/>
      <c r="E580" s="94"/>
      <c r="F580" s="94"/>
      <c r="G580" s="25"/>
    </row>
    <row r="581">
      <c r="C581" s="94"/>
      <c r="D581" s="94"/>
      <c r="E581" s="94"/>
      <c r="F581" s="94"/>
      <c r="G581" s="25"/>
    </row>
    <row r="582">
      <c r="C582" s="94"/>
      <c r="D582" s="94"/>
      <c r="E582" s="94"/>
      <c r="F582" s="94"/>
      <c r="G582" s="25"/>
    </row>
    <row r="583">
      <c r="C583" s="94"/>
      <c r="D583" s="94"/>
      <c r="E583" s="94"/>
      <c r="F583" s="94"/>
      <c r="G583" s="25"/>
    </row>
    <row r="584">
      <c r="C584" s="94"/>
      <c r="D584" s="94"/>
      <c r="E584" s="94"/>
      <c r="F584" s="94"/>
      <c r="G584" s="25"/>
    </row>
    <row r="585">
      <c r="C585" s="94"/>
      <c r="D585" s="94"/>
      <c r="E585" s="94"/>
      <c r="F585" s="94"/>
      <c r="G585" s="25"/>
    </row>
    <row r="586">
      <c r="C586" s="94"/>
      <c r="D586" s="94"/>
      <c r="E586" s="94"/>
      <c r="F586" s="94"/>
      <c r="G586" s="25"/>
    </row>
    <row r="587">
      <c r="C587" s="94"/>
      <c r="D587" s="94"/>
      <c r="E587" s="94"/>
      <c r="F587" s="94"/>
      <c r="G587" s="25"/>
    </row>
    <row r="588">
      <c r="C588" s="94"/>
      <c r="D588" s="94"/>
      <c r="E588" s="94"/>
      <c r="F588" s="94"/>
      <c r="G588" s="25"/>
    </row>
    <row r="589">
      <c r="C589" s="94"/>
      <c r="D589" s="94"/>
      <c r="E589" s="94"/>
      <c r="F589" s="94"/>
      <c r="G589" s="25"/>
    </row>
    <row r="590">
      <c r="C590" s="94"/>
      <c r="D590" s="94"/>
      <c r="E590" s="94"/>
      <c r="F590" s="94"/>
      <c r="G590" s="25"/>
    </row>
    <row r="591">
      <c r="C591" s="94"/>
      <c r="D591" s="94"/>
      <c r="E591" s="94"/>
      <c r="F591" s="94"/>
      <c r="G591" s="25"/>
    </row>
    <row r="592">
      <c r="C592" s="94"/>
      <c r="D592" s="94"/>
      <c r="E592" s="94"/>
      <c r="F592" s="94"/>
      <c r="G592" s="25"/>
    </row>
    <row r="593">
      <c r="C593" s="94"/>
      <c r="D593" s="94"/>
      <c r="E593" s="94"/>
      <c r="F593" s="94"/>
      <c r="G593" s="25"/>
    </row>
    <row r="594">
      <c r="C594" s="94"/>
      <c r="D594" s="94"/>
      <c r="E594" s="94"/>
      <c r="F594" s="94"/>
      <c r="G594" s="25"/>
    </row>
    <row r="595">
      <c r="C595" s="94"/>
      <c r="D595" s="94"/>
      <c r="E595" s="94"/>
      <c r="F595" s="94"/>
      <c r="G595" s="25"/>
    </row>
    <row r="596">
      <c r="C596" s="94"/>
      <c r="D596" s="94"/>
      <c r="E596" s="94"/>
      <c r="F596" s="94"/>
      <c r="G596" s="25"/>
    </row>
    <row r="597">
      <c r="C597" s="94"/>
      <c r="D597" s="94"/>
      <c r="E597" s="94"/>
      <c r="F597" s="94"/>
      <c r="G597" s="25"/>
    </row>
    <row r="598">
      <c r="C598" s="94"/>
      <c r="D598" s="94"/>
      <c r="E598" s="94"/>
      <c r="F598" s="94"/>
      <c r="G598" s="25"/>
    </row>
    <row r="599">
      <c r="C599" s="94"/>
      <c r="D599" s="94"/>
      <c r="E599" s="94"/>
      <c r="F599" s="94"/>
      <c r="G599" s="25"/>
    </row>
    <row r="600">
      <c r="C600" s="94"/>
      <c r="D600" s="94"/>
      <c r="E600" s="94"/>
      <c r="F600" s="94"/>
      <c r="G600" s="25"/>
    </row>
    <row r="601">
      <c r="C601" s="94"/>
      <c r="D601" s="94"/>
      <c r="E601" s="94"/>
      <c r="F601" s="94"/>
      <c r="G601" s="25"/>
    </row>
    <row r="602">
      <c r="C602" s="94"/>
      <c r="D602" s="94"/>
      <c r="E602" s="94"/>
      <c r="F602" s="94"/>
      <c r="G602" s="25"/>
    </row>
    <row r="603">
      <c r="C603" s="94"/>
      <c r="D603" s="94"/>
      <c r="E603" s="94"/>
      <c r="F603" s="94"/>
      <c r="G603" s="25"/>
    </row>
    <row r="604">
      <c r="C604" s="94"/>
      <c r="D604" s="94"/>
      <c r="E604" s="94"/>
      <c r="F604" s="94"/>
      <c r="G604" s="25"/>
    </row>
    <row r="605">
      <c r="C605" s="94"/>
      <c r="D605" s="94"/>
      <c r="E605" s="94"/>
      <c r="F605" s="94"/>
      <c r="G605" s="25"/>
    </row>
    <row r="606">
      <c r="C606" s="94"/>
      <c r="D606" s="94"/>
      <c r="E606" s="94"/>
      <c r="F606" s="94"/>
      <c r="G606" s="25"/>
    </row>
    <row r="607">
      <c r="C607" s="94"/>
      <c r="D607" s="94"/>
      <c r="E607" s="94"/>
      <c r="F607" s="94"/>
      <c r="G607" s="25"/>
    </row>
    <row r="608">
      <c r="C608" s="94"/>
      <c r="D608" s="94"/>
      <c r="E608" s="94"/>
      <c r="F608" s="94"/>
      <c r="G608" s="25"/>
    </row>
    <row r="609">
      <c r="C609" s="94"/>
      <c r="D609" s="94"/>
      <c r="E609" s="94"/>
      <c r="F609" s="94"/>
      <c r="G609" s="25"/>
    </row>
    <row r="610">
      <c r="C610" s="94"/>
      <c r="D610" s="94"/>
      <c r="E610" s="94"/>
      <c r="F610" s="94"/>
      <c r="G610" s="25"/>
    </row>
    <row r="611">
      <c r="C611" s="94"/>
      <c r="D611" s="94"/>
      <c r="E611" s="94"/>
      <c r="F611" s="94"/>
      <c r="G611" s="25"/>
    </row>
    <row r="612">
      <c r="C612" s="94"/>
      <c r="D612" s="94"/>
      <c r="E612" s="94"/>
      <c r="F612" s="94"/>
      <c r="G612" s="25"/>
    </row>
    <row r="613">
      <c r="C613" s="94"/>
      <c r="D613" s="94"/>
      <c r="E613" s="94"/>
      <c r="F613" s="94"/>
      <c r="G613" s="25"/>
    </row>
    <row r="614">
      <c r="C614" s="94"/>
      <c r="D614" s="94"/>
      <c r="E614" s="94"/>
      <c r="F614" s="94"/>
      <c r="G614" s="25"/>
    </row>
    <row r="615">
      <c r="C615" s="94"/>
      <c r="D615" s="94"/>
      <c r="E615" s="94"/>
      <c r="F615" s="94"/>
      <c r="G615" s="25"/>
    </row>
    <row r="616">
      <c r="C616" s="94"/>
      <c r="D616" s="94"/>
      <c r="E616" s="94"/>
      <c r="F616" s="94"/>
      <c r="G616" s="25"/>
    </row>
    <row r="617">
      <c r="C617" s="94"/>
      <c r="D617" s="94"/>
      <c r="E617" s="94"/>
      <c r="F617" s="94"/>
      <c r="G617" s="25"/>
    </row>
    <row r="618">
      <c r="C618" s="94"/>
      <c r="D618" s="94"/>
      <c r="E618" s="94"/>
      <c r="F618" s="94"/>
      <c r="G618" s="25"/>
    </row>
    <row r="619">
      <c r="C619" s="94"/>
      <c r="D619" s="94"/>
      <c r="E619" s="94"/>
      <c r="F619" s="94"/>
      <c r="G619" s="25"/>
    </row>
    <row r="620">
      <c r="C620" s="94"/>
      <c r="D620" s="94"/>
      <c r="E620" s="94"/>
      <c r="F620" s="94"/>
      <c r="G620" s="25"/>
    </row>
    <row r="621">
      <c r="C621" s="94"/>
      <c r="D621" s="94"/>
      <c r="E621" s="94"/>
      <c r="F621" s="94"/>
      <c r="G621" s="25"/>
    </row>
    <row r="622">
      <c r="C622" s="94"/>
      <c r="D622" s="94"/>
      <c r="E622" s="94"/>
      <c r="F622" s="94"/>
      <c r="G622" s="25"/>
    </row>
    <row r="623">
      <c r="C623" s="94"/>
      <c r="D623" s="94"/>
      <c r="E623" s="94"/>
      <c r="F623" s="94"/>
      <c r="G623" s="25"/>
    </row>
    <row r="624">
      <c r="C624" s="94"/>
      <c r="D624" s="94"/>
      <c r="E624" s="94"/>
      <c r="F624" s="94"/>
      <c r="G624" s="25"/>
    </row>
    <row r="625">
      <c r="C625" s="94"/>
      <c r="D625" s="94"/>
      <c r="E625" s="94"/>
      <c r="F625" s="94"/>
      <c r="G625" s="25"/>
    </row>
    <row r="626">
      <c r="C626" s="94"/>
      <c r="D626" s="94"/>
      <c r="E626" s="94"/>
      <c r="F626" s="94"/>
      <c r="G626" s="25"/>
    </row>
    <row r="627">
      <c r="C627" s="94"/>
      <c r="D627" s="94"/>
      <c r="E627" s="94"/>
      <c r="F627" s="94"/>
      <c r="G627" s="25"/>
    </row>
    <row r="628">
      <c r="C628" s="94"/>
      <c r="D628" s="94"/>
      <c r="E628" s="94"/>
      <c r="F628" s="94"/>
      <c r="G628" s="25"/>
    </row>
    <row r="629">
      <c r="C629" s="94"/>
      <c r="D629" s="94"/>
      <c r="E629" s="94"/>
      <c r="F629" s="94"/>
      <c r="G629" s="25"/>
    </row>
    <row r="630">
      <c r="C630" s="94"/>
      <c r="D630" s="94"/>
      <c r="E630" s="94"/>
      <c r="F630" s="94"/>
      <c r="G630" s="25"/>
    </row>
    <row r="631">
      <c r="C631" s="94"/>
      <c r="D631" s="94"/>
      <c r="E631" s="94"/>
      <c r="F631" s="94"/>
      <c r="G631" s="25"/>
    </row>
    <row r="632">
      <c r="C632" s="94"/>
      <c r="D632" s="94"/>
      <c r="E632" s="94"/>
      <c r="F632" s="94"/>
      <c r="G632" s="25"/>
    </row>
    <row r="633">
      <c r="C633" s="94"/>
      <c r="D633" s="94"/>
      <c r="E633" s="94"/>
      <c r="F633" s="94"/>
      <c r="G633" s="25"/>
    </row>
    <row r="634">
      <c r="C634" s="94"/>
      <c r="D634" s="94"/>
      <c r="E634" s="94"/>
      <c r="F634" s="94"/>
      <c r="G634" s="25"/>
    </row>
    <row r="635">
      <c r="C635" s="94"/>
      <c r="D635" s="94"/>
      <c r="E635" s="94"/>
      <c r="F635" s="94"/>
      <c r="G635" s="25"/>
    </row>
    <row r="636">
      <c r="C636" s="94"/>
      <c r="D636" s="94"/>
      <c r="E636" s="94"/>
      <c r="F636" s="94"/>
      <c r="G636" s="25"/>
    </row>
    <row r="637">
      <c r="C637" s="94"/>
      <c r="D637" s="94"/>
      <c r="E637" s="94"/>
      <c r="F637" s="94"/>
      <c r="G637" s="25"/>
    </row>
    <row r="638">
      <c r="C638" s="94"/>
      <c r="D638" s="94"/>
      <c r="E638" s="94"/>
      <c r="F638" s="94"/>
      <c r="G638" s="25"/>
    </row>
    <row r="639">
      <c r="C639" s="94"/>
      <c r="D639" s="94"/>
      <c r="E639" s="94"/>
      <c r="F639" s="94"/>
      <c r="G639" s="25"/>
    </row>
    <row r="640">
      <c r="C640" s="94"/>
      <c r="D640" s="94"/>
      <c r="E640" s="94"/>
      <c r="F640" s="94"/>
      <c r="G640" s="25"/>
    </row>
    <row r="641">
      <c r="C641" s="94"/>
      <c r="D641" s="94"/>
      <c r="E641" s="94"/>
      <c r="F641" s="94"/>
      <c r="G641" s="25"/>
    </row>
    <row r="642">
      <c r="C642" s="94"/>
      <c r="D642" s="94"/>
      <c r="E642" s="94"/>
      <c r="F642" s="94"/>
      <c r="G642" s="25"/>
    </row>
    <row r="643">
      <c r="C643" s="94"/>
      <c r="D643" s="94"/>
      <c r="E643" s="94"/>
      <c r="F643" s="94"/>
      <c r="G643" s="25"/>
    </row>
    <row r="644">
      <c r="C644" s="94"/>
      <c r="D644" s="94"/>
      <c r="E644" s="94"/>
      <c r="F644" s="94"/>
      <c r="G644" s="25"/>
    </row>
    <row r="645">
      <c r="C645" s="94"/>
      <c r="D645" s="94"/>
      <c r="E645" s="94"/>
      <c r="F645" s="94"/>
      <c r="G645" s="25"/>
    </row>
    <row r="646">
      <c r="C646" s="94"/>
      <c r="D646" s="94"/>
      <c r="E646" s="94"/>
      <c r="F646" s="94"/>
      <c r="G646" s="25"/>
    </row>
    <row r="647">
      <c r="C647" s="94"/>
      <c r="D647" s="94"/>
      <c r="E647" s="94"/>
      <c r="F647" s="94"/>
      <c r="G647" s="25"/>
    </row>
    <row r="648">
      <c r="C648" s="94"/>
      <c r="D648" s="94"/>
      <c r="E648" s="94"/>
      <c r="F648" s="94"/>
      <c r="G648" s="25"/>
    </row>
    <row r="649">
      <c r="C649" s="94"/>
      <c r="D649" s="94"/>
      <c r="E649" s="94"/>
      <c r="F649" s="94"/>
      <c r="G649" s="25"/>
    </row>
    <row r="650">
      <c r="C650" s="94"/>
      <c r="D650" s="94"/>
      <c r="E650" s="94"/>
      <c r="F650" s="94"/>
      <c r="G650" s="25"/>
    </row>
    <row r="651">
      <c r="C651" s="94"/>
      <c r="D651" s="94"/>
      <c r="E651" s="94"/>
      <c r="F651" s="94"/>
      <c r="G651" s="25"/>
    </row>
    <row r="652">
      <c r="C652" s="94"/>
      <c r="D652" s="94"/>
      <c r="E652" s="94"/>
      <c r="F652" s="94"/>
      <c r="G652" s="25"/>
    </row>
    <row r="653">
      <c r="C653" s="94"/>
      <c r="D653" s="94"/>
      <c r="E653" s="94"/>
      <c r="F653" s="94"/>
      <c r="G653" s="25"/>
    </row>
    <row r="654">
      <c r="C654" s="94"/>
      <c r="D654" s="94"/>
      <c r="E654" s="94"/>
      <c r="F654" s="94"/>
      <c r="G654" s="25"/>
    </row>
    <row r="655">
      <c r="C655" s="94"/>
      <c r="D655" s="94"/>
      <c r="E655" s="94"/>
      <c r="F655" s="94"/>
      <c r="G655" s="25"/>
    </row>
    <row r="656">
      <c r="C656" s="94"/>
      <c r="D656" s="94"/>
      <c r="E656" s="94"/>
      <c r="F656" s="94"/>
      <c r="G656" s="25"/>
    </row>
    <row r="657">
      <c r="C657" s="94"/>
      <c r="D657" s="94"/>
      <c r="E657" s="94"/>
      <c r="F657" s="94"/>
      <c r="G657" s="25"/>
    </row>
    <row r="658">
      <c r="C658" s="94"/>
      <c r="D658" s="94"/>
      <c r="E658" s="94"/>
      <c r="F658" s="94"/>
      <c r="G658" s="25"/>
    </row>
    <row r="659">
      <c r="C659" s="94"/>
      <c r="D659" s="94"/>
      <c r="E659" s="94"/>
      <c r="F659" s="94"/>
      <c r="G659" s="25"/>
    </row>
    <row r="660">
      <c r="C660" s="94"/>
      <c r="D660" s="94"/>
      <c r="E660" s="94"/>
      <c r="F660" s="94"/>
      <c r="G660" s="25"/>
    </row>
    <row r="661">
      <c r="C661" s="94"/>
      <c r="D661" s="94"/>
      <c r="E661" s="94"/>
      <c r="F661" s="94"/>
      <c r="G661" s="25"/>
    </row>
    <row r="662">
      <c r="C662" s="94"/>
      <c r="D662" s="94"/>
      <c r="E662" s="94"/>
      <c r="F662" s="94"/>
      <c r="G662" s="25"/>
    </row>
    <row r="663">
      <c r="C663" s="94"/>
      <c r="D663" s="94"/>
      <c r="E663" s="94"/>
      <c r="F663" s="94"/>
      <c r="G663" s="25"/>
    </row>
    <row r="664">
      <c r="C664" s="94"/>
      <c r="D664" s="94"/>
      <c r="E664" s="94"/>
      <c r="F664" s="94"/>
      <c r="G664" s="25"/>
    </row>
    <row r="665">
      <c r="C665" s="94"/>
      <c r="D665" s="94"/>
      <c r="E665" s="94"/>
      <c r="F665" s="94"/>
      <c r="G665" s="25"/>
    </row>
    <row r="666">
      <c r="C666" s="94"/>
      <c r="D666" s="94"/>
      <c r="E666" s="94"/>
      <c r="F666" s="94"/>
      <c r="G666" s="25"/>
    </row>
    <row r="667">
      <c r="C667" s="94"/>
      <c r="D667" s="94"/>
      <c r="E667" s="94"/>
      <c r="F667" s="94"/>
      <c r="G667" s="25"/>
    </row>
    <row r="668">
      <c r="C668" s="94"/>
      <c r="D668" s="94"/>
      <c r="E668" s="94"/>
      <c r="F668" s="94"/>
      <c r="G668" s="25"/>
    </row>
    <row r="669">
      <c r="C669" s="94"/>
      <c r="D669" s="94"/>
      <c r="E669" s="94"/>
      <c r="F669" s="94"/>
      <c r="G669" s="25"/>
    </row>
    <row r="670">
      <c r="C670" s="94"/>
      <c r="D670" s="94"/>
      <c r="E670" s="94"/>
      <c r="F670" s="94"/>
      <c r="G670" s="25"/>
    </row>
    <row r="671">
      <c r="C671" s="94"/>
      <c r="D671" s="94"/>
      <c r="E671" s="94"/>
      <c r="F671" s="94"/>
      <c r="G671" s="25"/>
    </row>
    <row r="672">
      <c r="C672" s="94"/>
      <c r="D672" s="94"/>
      <c r="E672" s="94"/>
      <c r="F672" s="94"/>
      <c r="G672" s="25"/>
    </row>
    <row r="673">
      <c r="C673" s="94"/>
      <c r="D673" s="94"/>
      <c r="E673" s="94"/>
      <c r="F673" s="94"/>
      <c r="G673" s="25"/>
    </row>
    <row r="674">
      <c r="C674" s="94"/>
      <c r="D674" s="94"/>
      <c r="E674" s="94"/>
      <c r="F674" s="94"/>
      <c r="G674" s="25"/>
    </row>
    <row r="675">
      <c r="C675" s="94"/>
      <c r="D675" s="94"/>
      <c r="E675" s="94"/>
      <c r="F675" s="94"/>
      <c r="G675" s="25"/>
    </row>
    <row r="676">
      <c r="C676" s="94"/>
      <c r="D676" s="94"/>
      <c r="E676" s="94"/>
      <c r="F676" s="94"/>
      <c r="G676" s="25"/>
    </row>
    <row r="677">
      <c r="C677" s="94"/>
      <c r="D677" s="94"/>
      <c r="E677" s="94"/>
      <c r="F677" s="94"/>
      <c r="G677" s="25"/>
    </row>
    <row r="678">
      <c r="C678" s="94"/>
      <c r="D678" s="94"/>
      <c r="E678" s="94"/>
      <c r="F678" s="94"/>
      <c r="G678" s="25"/>
    </row>
    <row r="679">
      <c r="C679" s="94"/>
      <c r="D679" s="94"/>
      <c r="E679" s="94"/>
      <c r="F679" s="94"/>
      <c r="G679" s="25"/>
    </row>
    <row r="680">
      <c r="C680" s="94"/>
      <c r="D680" s="94"/>
      <c r="E680" s="94"/>
      <c r="F680" s="94"/>
      <c r="G680" s="25"/>
    </row>
    <row r="681">
      <c r="C681" s="94"/>
      <c r="D681" s="94"/>
      <c r="E681" s="94"/>
      <c r="F681" s="94"/>
      <c r="G681" s="25"/>
    </row>
    <row r="682">
      <c r="C682" s="94"/>
      <c r="D682" s="94"/>
      <c r="E682" s="94"/>
      <c r="F682" s="94"/>
      <c r="G682" s="25"/>
    </row>
    <row r="683">
      <c r="C683" s="94"/>
      <c r="D683" s="94"/>
      <c r="E683" s="94"/>
      <c r="F683" s="94"/>
      <c r="G683" s="25"/>
    </row>
    <row r="684">
      <c r="C684" s="94"/>
      <c r="D684" s="94"/>
      <c r="E684" s="94"/>
      <c r="F684" s="94"/>
      <c r="G684" s="25"/>
    </row>
    <row r="685">
      <c r="C685" s="94"/>
      <c r="D685" s="94"/>
      <c r="E685" s="94"/>
      <c r="F685" s="94"/>
      <c r="G685" s="25"/>
    </row>
    <row r="686">
      <c r="C686" s="94"/>
      <c r="D686" s="94"/>
      <c r="E686" s="94"/>
      <c r="F686" s="94"/>
      <c r="G686" s="25"/>
    </row>
    <row r="687">
      <c r="C687" s="94"/>
      <c r="D687" s="94"/>
      <c r="E687" s="94"/>
      <c r="F687" s="94"/>
      <c r="G687" s="25"/>
    </row>
    <row r="688">
      <c r="C688" s="94"/>
      <c r="D688" s="94"/>
      <c r="E688" s="94"/>
      <c r="F688" s="94"/>
      <c r="G688" s="25"/>
    </row>
    <row r="689">
      <c r="C689" s="94"/>
      <c r="D689" s="94"/>
      <c r="E689" s="94"/>
      <c r="F689" s="94"/>
      <c r="G689" s="25"/>
    </row>
    <row r="690">
      <c r="C690" s="94"/>
      <c r="D690" s="94"/>
      <c r="E690" s="94"/>
      <c r="F690" s="94"/>
      <c r="G690" s="25"/>
    </row>
    <row r="691">
      <c r="C691" s="94"/>
      <c r="D691" s="94"/>
      <c r="E691" s="94"/>
      <c r="F691" s="94"/>
      <c r="G691" s="25"/>
    </row>
    <row r="692">
      <c r="C692" s="94"/>
      <c r="D692" s="94"/>
      <c r="E692" s="94"/>
      <c r="F692" s="94"/>
      <c r="G692" s="25"/>
    </row>
    <row r="693">
      <c r="C693" s="94"/>
      <c r="D693" s="94"/>
      <c r="E693" s="94"/>
      <c r="F693" s="94"/>
      <c r="G693" s="25"/>
    </row>
    <row r="694">
      <c r="C694" s="94"/>
      <c r="D694" s="94"/>
      <c r="E694" s="94"/>
      <c r="F694" s="94"/>
      <c r="G694" s="25"/>
    </row>
    <row r="695">
      <c r="C695" s="94"/>
      <c r="D695" s="94"/>
      <c r="E695" s="94"/>
      <c r="F695" s="94"/>
      <c r="G695" s="25"/>
    </row>
    <row r="696">
      <c r="C696" s="94"/>
      <c r="D696" s="94"/>
      <c r="E696" s="94"/>
      <c r="F696" s="94"/>
      <c r="G696" s="25"/>
    </row>
    <row r="697">
      <c r="C697" s="94"/>
      <c r="D697" s="94"/>
      <c r="E697" s="94"/>
      <c r="F697" s="94"/>
      <c r="G697" s="25"/>
    </row>
    <row r="698">
      <c r="C698" s="94"/>
      <c r="D698" s="94"/>
      <c r="E698" s="94"/>
      <c r="F698" s="94"/>
      <c r="G698" s="25"/>
    </row>
    <row r="699">
      <c r="C699" s="94"/>
      <c r="D699" s="94"/>
      <c r="E699" s="94"/>
      <c r="F699" s="94"/>
      <c r="G699" s="25"/>
    </row>
    <row r="700">
      <c r="C700" s="94"/>
      <c r="D700" s="94"/>
      <c r="E700" s="94"/>
      <c r="F700" s="94"/>
      <c r="G700" s="25"/>
    </row>
    <row r="701">
      <c r="C701" s="94"/>
      <c r="D701" s="94"/>
      <c r="E701" s="94"/>
      <c r="F701" s="94"/>
      <c r="G701" s="25"/>
    </row>
    <row r="702">
      <c r="C702" s="94"/>
      <c r="D702" s="94"/>
      <c r="E702" s="94"/>
      <c r="F702" s="94"/>
      <c r="G702" s="25"/>
    </row>
    <row r="703">
      <c r="C703" s="94"/>
      <c r="D703" s="94"/>
      <c r="E703" s="94"/>
      <c r="F703" s="94"/>
      <c r="G703" s="25"/>
    </row>
    <row r="704">
      <c r="C704" s="94"/>
      <c r="D704" s="94"/>
      <c r="E704" s="94"/>
      <c r="F704" s="94"/>
      <c r="G704" s="25"/>
    </row>
    <row r="705">
      <c r="C705" s="94"/>
      <c r="D705" s="94"/>
      <c r="E705" s="94"/>
      <c r="F705" s="94"/>
      <c r="G705" s="25"/>
    </row>
    <row r="706">
      <c r="C706" s="94"/>
      <c r="D706" s="94"/>
      <c r="E706" s="94"/>
      <c r="F706" s="94"/>
      <c r="G706" s="25"/>
    </row>
    <row r="707">
      <c r="C707" s="94"/>
      <c r="D707" s="94"/>
      <c r="E707" s="94"/>
      <c r="F707" s="94"/>
      <c r="G707" s="25"/>
    </row>
    <row r="708">
      <c r="C708" s="94"/>
      <c r="D708" s="94"/>
      <c r="E708" s="94"/>
      <c r="F708" s="94"/>
      <c r="G708" s="25"/>
    </row>
    <row r="709">
      <c r="C709" s="94"/>
      <c r="D709" s="94"/>
      <c r="E709" s="94"/>
      <c r="F709" s="94"/>
      <c r="G709" s="25"/>
    </row>
    <row r="710">
      <c r="C710" s="94"/>
      <c r="D710" s="94"/>
      <c r="E710" s="94"/>
      <c r="F710" s="94"/>
      <c r="G710" s="25"/>
    </row>
    <row r="711">
      <c r="C711" s="94"/>
      <c r="D711" s="94"/>
      <c r="E711" s="94"/>
      <c r="F711" s="94"/>
      <c r="G711" s="25"/>
    </row>
    <row r="712">
      <c r="C712" s="94"/>
      <c r="D712" s="94"/>
      <c r="E712" s="94"/>
      <c r="F712" s="94"/>
      <c r="G712" s="25"/>
    </row>
    <row r="713">
      <c r="C713" s="94"/>
      <c r="D713" s="94"/>
      <c r="E713" s="94"/>
      <c r="F713" s="94"/>
      <c r="G713" s="25"/>
    </row>
    <row r="714">
      <c r="C714" s="94"/>
      <c r="D714" s="94"/>
      <c r="E714" s="94"/>
      <c r="F714" s="94"/>
      <c r="G714" s="25"/>
    </row>
    <row r="715">
      <c r="C715" s="94"/>
      <c r="D715" s="94"/>
      <c r="E715" s="94"/>
      <c r="F715" s="94"/>
      <c r="G715" s="25"/>
    </row>
    <row r="716">
      <c r="C716" s="94"/>
      <c r="D716" s="94"/>
      <c r="E716" s="94"/>
      <c r="F716" s="94"/>
      <c r="G716" s="25"/>
    </row>
    <row r="717">
      <c r="C717" s="94"/>
      <c r="D717" s="94"/>
      <c r="E717" s="94"/>
      <c r="F717" s="94"/>
      <c r="G717" s="25"/>
    </row>
    <row r="718">
      <c r="C718" s="94"/>
      <c r="D718" s="94"/>
      <c r="E718" s="94"/>
      <c r="F718" s="94"/>
      <c r="G718" s="25"/>
    </row>
    <row r="719">
      <c r="C719" s="94"/>
      <c r="D719" s="94"/>
      <c r="E719" s="94"/>
      <c r="F719" s="94"/>
      <c r="G719" s="25"/>
    </row>
    <row r="720">
      <c r="C720" s="94"/>
      <c r="D720" s="94"/>
      <c r="E720" s="94"/>
      <c r="F720" s="94"/>
      <c r="G720" s="25"/>
    </row>
    <row r="721">
      <c r="C721" s="94"/>
      <c r="D721" s="94"/>
      <c r="E721" s="94"/>
      <c r="F721" s="94"/>
      <c r="G721" s="25"/>
    </row>
    <row r="722">
      <c r="C722" s="94"/>
      <c r="D722" s="94"/>
      <c r="E722" s="94"/>
      <c r="F722" s="94"/>
      <c r="G722" s="25"/>
    </row>
    <row r="723">
      <c r="C723" s="94"/>
      <c r="D723" s="94"/>
      <c r="E723" s="94"/>
      <c r="F723" s="94"/>
      <c r="G723" s="25"/>
    </row>
    <row r="724">
      <c r="C724" s="94"/>
      <c r="D724" s="94"/>
      <c r="E724" s="94"/>
      <c r="F724" s="94"/>
      <c r="G724" s="25"/>
    </row>
    <row r="725">
      <c r="C725" s="94"/>
      <c r="D725" s="94"/>
      <c r="E725" s="94"/>
      <c r="F725" s="94"/>
      <c r="G725" s="25"/>
    </row>
    <row r="726">
      <c r="C726" s="94"/>
      <c r="D726" s="94"/>
      <c r="E726" s="94"/>
      <c r="F726" s="94"/>
      <c r="G726" s="25"/>
    </row>
    <row r="727">
      <c r="C727" s="94"/>
      <c r="D727" s="94"/>
      <c r="E727" s="94"/>
      <c r="F727" s="94"/>
      <c r="G727" s="25"/>
    </row>
    <row r="728">
      <c r="C728" s="94"/>
      <c r="D728" s="94"/>
      <c r="E728" s="94"/>
      <c r="F728" s="94"/>
      <c r="G728" s="25"/>
    </row>
    <row r="729">
      <c r="C729" s="94"/>
      <c r="D729" s="94"/>
      <c r="E729" s="94"/>
      <c r="F729" s="94"/>
      <c r="G729" s="25"/>
    </row>
    <row r="730">
      <c r="C730" s="94"/>
      <c r="D730" s="94"/>
      <c r="E730" s="94"/>
      <c r="F730" s="94"/>
      <c r="G730" s="25"/>
    </row>
    <row r="731">
      <c r="C731" s="94"/>
      <c r="D731" s="94"/>
      <c r="E731" s="94"/>
      <c r="F731" s="94"/>
      <c r="G731" s="25"/>
    </row>
    <row r="732">
      <c r="C732" s="94"/>
      <c r="D732" s="94"/>
      <c r="E732" s="94"/>
      <c r="F732" s="94"/>
      <c r="G732" s="25"/>
    </row>
    <row r="733">
      <c r="C733" s="94"/>
      <c r="D733" s="94"/>
      <c r="E733" s="94"/>
      <c r="F733" s="94"/>
      <c r="G733" s="25"/>
    </row>
    <row r="734">
      <c r="C734" s="94"/>
      <c r="D734" s="94"/>
      <c r="E734" s="94"/>
      <c r="F734" s="94"/>
      <c r="G734" s="25"/>
    </row>
    <row r="735">
      <c r="C735" s="94"/>
      <c r="D735" s="94"/>
      <c r="E735" s="94"/>
      <c r="F735" s="94"/>
      <c r="G735" s="25"/>
    </row>
    <row r="736">
      <c r="C736" s="94"/>
      <c r="D736" s="94"/>
      <c r="E736" s="94"/>
      <c r="F736" s="94"/>
      <c r="G736" s="25"/>
    </row>
    <row r="737">
      <c r="C737" s="94"/>
      <c r="D737" s="94"/>
      <c r="E737" s="94"/>
      <c r="F737" s="94"/>
      <c r="G737" s="25"/>
    </row>
    <row r="738">
      <c r="C738" s="94"/>
      <c r="D738" s="94"/>
      <c r="E738" s="94"/>
      <c r="F738" s="94"/>
      <c r="G738" s="25"/>
    </row>
    <row r="739">
      <c r="C739" s="94"/>
      <c r="D739" s="94"/>
      <c r="E739" s="94"/>
      <c r="F739" s="94"/>
      <c r="G739" s="25"/>
    </row>
    <row r="740">
      <c r="C740" s="94"/>
      <c r="D740" s="94"/>
      <c r="E740" s="94"/>
      <c r="F740" s="94"/>
      <c r="G740" s="25"/>
    </row>
    <row r="741">
      <c r="C741" s="94"/>
      <c r="D741" s="94"/>
      <c r="E741" s="94"/>
      <c r="F741" s="94"/>
      <c r="G741" s="25"/>
    </row>
    <row r="742">
      <c r="C742" s="94"/>
      <c r="D742" s="94"/>
      <c r="E742" s="94"/>
      <c r="F742" s="94"/>
      <c r="G742" s="25"/>
    </row>
    <row r="743">
      <c r="C743" s="94"/>
      <c r="D743" s="94"/>
      <c r="E743" s="94"/>
      <c r="F743" s="94"/>
      <c r="G743" s="25"/>
    </row>
    <row r="744">
      <c r="C744" s="94"/>
      <c r="D744" s="94"/>
      <c r="E744" s="94"/>
      <c r="F744" s="94"/>
      <c r="G744" s="25"/>
    </row>
    <row r="745">
      <c r="C745" s="94"/>
      <c r="D745" s="94"/>
      <c r="E745" s="94"/>
      <c r="F745" s="94"/>
      <c r="G745" s="25"/>
    </row>
    <row r="746">
      <c r="C746" s="94"/>
      <c r="D746" s="94"/>
      <c r="E746" s="94"/>
      <c r="F746" s="94"/>
      <c r="G746" s="25"/>
    </row>
    <row r="747">
      <c r="C747" s="94"/>
      <c r="D747" s="94"/>
      <c r="E747" s="94"/>
      <c r="F747" s="94"/>
      <c r="G747" s="25"/>
    </row>
    <row r="748">
      <c r="C748" s="94"/>
      <c r="D748" s="94"/>
      <c r="E748" s="94"/>
      <c r="F748" s="94"/>
      <c r="G748" s="25"/>
    </row>
    <row r="749">
      <c r="C749" s="94"/>
      <c r="D749" s="94"/>
      <c r="E749" s="94"/>
      <c r="F749" s="94"/>
      <c r="G749" s="25"/>
    </row>
    <row r="750">
      <c r="C750" s="94"/>
      <c r="D750" s="94"/>
      <c r="E750" s="94"/>
      <c r="F750" s="94"/>
      <c r="G750" s="25"/>
    </row>
    <row r="751">
      <c r="C751" s="94"/>
      <c r="D751" s="94"/>
      <c r="E751" s="94"/>
      <c r="F751" s="94"/>
      <c r="G751" s="25"/>
    </row>
    <row r="752">
      <c r="C752" s="94"/>
      <c r="D752" s="94"/>
      <c r="E752" s="94"/>
      <c r="F752" s="94"/>
      <c r="G752" s="25"/>
    </row>
    <row r="753">
      <c r="C753" s="94"/>
      <c r="D753" s="94"/>
      <c r="E753" s="94"/>
      <c r="F753" s="94"/>
      <c r="G753" s="25"/>
    </row>
    <row r="754">
      <c r="C754" s="94"/>
      <c r="D754" s="94"/>
      <c r="E754" s="94"/>
      <c r="F754" s="94"/>
      <c r="G754" s="25"/>
    </row>
    <row r="755">
      <c r="C755" s="94"/>
      <c r="D755" s="94"/>
      <c r="E755" s="94"/>
      <c r="F755" s="94"/>
      <c r="G755" s="25"/>
    </row>
    <row r="756">
      <c r="C756" s="94"/>
      <c r="D756" s="94"/>
      <c r="E756" s="94"/>
      <c r="F756" s="94"/>
      <c r="G756" s="25"/>
    </row>
    <row r="757">
      <c r="C757" s="94"/>
      <c r="D757" s="94"/>
      <c r="E757" s="94"/>
      <c r="F757" s="94"/>
      <c r="G757" s="25"/>
    </row>
    <row r="758">
      <c r="C758" s="94"/>
      <c r="D758" s="94"/>
      <c r="E758" s="94"/>
      <c r="F758" s="94"/>
      <c r="G758" s="25"/>
    </row>
    <row r="759">
      <c r="C759" s="94"/>
      <c r="D759" s="94"/>
      <c r="E759" s="94"/>
      <c r="F759" s="94"/>
      <c r="G759" s="25"/>
    </row>
    <row r="760">
      <c r="C760" s="94"/>
      <c r="D760" s="94"/>
      <c r="E760" s="94"/>
      <c r="F760" s="94"/>
      <c r="G760" s="25"/>
    </row>
    <row r="761">
      <c r="C761" s="94"/>
      <c r="D761" s="94"/>
      <c r="E761" s="94"/>
      <c r="F761" s="94"/>
      <c r="G761" s="25"/>
    </row>
    <row r="762">
      <c r="C762" s="94"/>
      <c r="D762" s="94"/>
      <c r="E762" s="94"/>
      <c r="F762" s="94"/>
      <c r="G762" s="25"/>
    </row>
    <row r="763">
      <c r="C763" s="94"/>
      <c r="D763" s="94"/>
      <c r="E763" s="94"/>
      <c r="F763" s="94"/>
      <c r="G763" s="25"/>
    </row>
    <row r="764">
      <c r="C764" s="94"/>
      <c r="D764" s="94"/>
      <c r="E764" s="94"/>
      <c r="F764" s="94"/>
      <c r="G764" s="25"/>
    </row>
    <row r="765">
      <c r="C765" s="94"/>
      <c r="D765" s="94"/>
      <c r="E765" s="94"/>
      <c r="F765" s="94"/>
      <c r="G765" s="25"/>
    </row>
    <row r="766">
      <c r="C766" s="94"/>
      <c r="D766" s="94"/>
      <c r="E766" s="94"/>
      <c r="F766" s="94"/>
      <c r="G766" s="25"/>
    </row>
    <row r="767">
      <c r="C767" s="94"/>
      <c r="D767" s="94"/>
      <c r="E767" s="94"/>
      <c r="F767" s="94"/>
      <c r="G767" s="25"/>
    </row>
    <row r="768">
      <c r="C768" s="94"/>
      <c r="D768" s="94"/>
      <c r="E768" s="94"/>
      <c r="F768" s="94"/>
      <c r="G768" s="25"/>
    </row>
    <row r="769">
      <c r="C769" s="94"/>
      <c r="D769" s="94"/>
      <c r="E769" s="94"/>
      <c r="F769" s="94"/>
      <c r="G769" s="25"/>
    </row>
    <row r="770">
      <c r="C770" s="94"/>
      <c r="D770" s="94"/>
      <c r="E770" s="94"/>
      <c r="F770" s="94"/>
      <c r="G770" s="25"/>
    </row>
    <row r="771">
      <c r="C771" s="94"/>
      <c r="D771" s="94"/>
      <c r="E771" s="94"/>
      <c r="F771" s="94"/>
      <c r="G771" s="25"/>
    </row>
    <row r="772">
      <c r="C772" s="94"/>
      <c r="D772" s="94"/>
      <c r="E772" s="94"/>
      <c r="F772" s="94"/>
      <c r="G772" s="25"/>
    </row>
    <row r="773">
      <c r="C773" s="94"/>
      <c r="D773" s="94"/>
      <c r="E773" s="94"/>
      <c r="F773" s="94"/>
      <c r="G773" s="25"/>
    </row>
    <row r="774">
      <c r="C774" s="94"/>
      <c r="D774" s="94"/>
      <c r="E774" s="94"/>
      <c r="F774" s="94"/>
      <c r="G774" s="25"/>
    </row>
    <row r="775">
      <c r="C775" s="94"/>
      <c r="D775" s="94"/>
      <c r="E775" s="94"/>
      <c r="F775" s="94"/>
      <c r="G775" s="25"/>
    </row>
    <row r="776">
      <c r="C776" s="94"/>
      <c r="D776" s="94"/>
      <c r="E776" s="94"/>
      <c r="F776" s="94"/>
      <c r="G776" s="25"/>
    </row>
    <row r="777">
      <c r="C777" s="94"/>
      <c r="D777" s="94"/>
      <c r="E777" s="94"/>
      <c r="F777" s="94"/>
      <c r="G777" s="25"/>
    </row>
    <row r="778">
      <c r="C778" s="94"/>
      <c r="D778" s="94"/>
      <c r="E778" s="94"/>
      <c r="F778" s="94"/>
      <c r="G778" s="25"/>
    </row>
    <row r="779">
      <c r="C779" s="94"/>
      <c r="D779" s="94"/>
      <c r="E779" s="94"/>
      <c r="F779" s="94"/>
      <c r="G779" s="25"/>
    </row>
    <row r="780">
      <c r="C780" s="94"/>
      <c r="D780" s="94"/>
      <c r="E780" s="94"/>
      <c r="F780" s="94"/>
      <c r="G780" s="25"/>
    </row>
    <row r="781">
      <c r="C781" s="94"/>
      <c r="D781" s="94"/>
      <c r="E781" s="94"/>
      <c r="F781" s="94"/>
      <c r="G781" s="25"/>
    </row>
    <row r="782">
      <c r="C782" s="94"/>
      <c r="D782" s="94"/>
      <c r="E782" s="94"/>
      <c r="F782" s="94"/>
      <c r="G782" s="25"/>
    </row>
    <row r="783">
      <c r="C783" s="94"/>
      <c r="D783" s="94"/>
      <c r="E783" s="94"/>
      <c r="F783" s="94"/>
      <c r="G783" s="25"/>
    </row>
    <row r="784">
      <c r="C784" s="94"/>
      <c r="D784" s="94"/>
      <c r="E784" s="94"/>
      <c r="F784" s="94"/>
      <c r="G784" s="25"/>
    </row>
    <row r="785">
      <c r="C785" s="94"/>
      <c r="D785" s="94"/>
      <c r="E785" s="94"/>
      <c r="F785" s="94"/>
      <c r="G785" s="25"/>
    </row>
    <row r="786">
      <c r="C786" s="94"/>
      <c r="D786" s="94"/>
      <c r="E786" s="94"/>
      <c r="F786" s="94"/>
      <c r="G786" s="25"/>
    </row>
    <row r="787">
      <c r="C787" s="94"/>
      <c r="D787" s="94"/>
      <c r="E787" s="94"/>
      <c r="F787" s="94"/>
      <c r="G787" s="25"/>
    </row>
    <row r="788">
      <c r="C788" s="94"/>
      <c r="D788" s="94"/>
      <c r="E788" s="94"/>
      <c r="F788" s="94"/>
      <c r="G788" s="25"/>
    </row>
    <row r="789">
      <c r="C789" s="94"/>
      <c r="D789" s="94"/>
      <c r="E789" s="94"/>
      <c r="F789" s="94"/>
      <c r="G789" s="25"/>
    </row>
    <row r="790">
      <c r="C790" s="94"/>
      <c r="D790" s="94"/>
      <c r="E790" s="94"/>
      <c r="F790" s="94"/>
      <c r="G790" s="25"/>
    </row>
    <row r="791">
      <c r="C791" s="94"/>
      <c r="D791" s="94"/>
      <c r="E791" s="94"/>
      <c r="F791" s="94"/>
      <c r="G791" s="25"/>
    </row>
    <row r="792">
      <c r="C792" s="94"/>
      <c r="D792" s="94"/>
      <c r="E792" s="94"/>
      <c r="F792" s="94"/>
      <c r="G792" s="25"/>
    </row>
    <row r="793">
      <c r="C793" s="94"/>
      <c r="D793" s="94"/>
      <c r="E793" s="94"/>
      <c r="F793" s="94"/>
      <c r="G793" s="25"/>
    </row>
    <row r="794">
      <c r="C794" s="94"/>
      <c r="D794" s="94"/>
      <c r="E794" s="94"/>
      <c r="F794" s="94"/>
      <c r="G794" s="25"/>
    </row>
    <row r="795">
      <c r="C795" s="94"/>
      <c r="D795" s="94"/>
      <c r="E795" s="94"/>
      <c r="F795" s="94"/>
      <c r="G795" s="25"/>
    </row>
    <row r="796">
      <c r="C796" s="94"/>
      <c r="D796" s="94"/>
      <c r="E796" s="94"/>
      <c r="F796" s="94"/>
      <c r="G796" s="25"/>
    </row>
    <row r="797">
      <c r="C797" s="94"/>
      <c r="D797" s="94"/>
      <c r="E797" s="94"/>
      <c r="F797" s="94"/>
      <c r="G797" s="25"/>
    </row>
    <row r="798">
      <c r="C798" s="94"/>
      <c r="D798" s="94"/>
      <c r="E798" s="94"/>
      <c r="F798" s="94"/>
      <c r="G798" s="25"/>
    </row>
    <row r="799">
      <c r="C799" s="94"/>
      <c r="D799" s="94"/>
      <c r="E799" s="94"/>
      <c r="F799" s="94"/>
      <c r="G799" s="25"/>
    </row>
    <row r="800">
      <c r="C800" s="94"/>
      <c r="D800" s="94"/>
      <c r="E800" s="94"/>
      <c r="F800" s="94"/>
      <c r="G800" s="25"/>
    </row>
    <row r="801">
      <c r="C801" s="94"/>
      <c r="D801" s="94"/>
      <c r="E801" s="94"/>
      <c r="F801" s="94"/>
      <c r="G801" s="25"/>
    </row>
    <row r="802">
      <c r="C802" s="94"/>
      <c r="D802" s="94"/>
      <c r="E802" s="94"/>
      <c r="F802" s="94"/>
      <c r="G802" s="25"/>
    </row>
    <row r="803">
      <c r="C803" s="94"/>
      <c r="D803" s="94"/>
      <c r="E803" s="94"/>
      <c r="F803" s="94"/>
      <c r="G803" s="25"/>
    </row>
    <row r="804">
      <c r="C804" s="94"/>
      <c r="D804" s="94"/>
      <c r="E804" s="94"/>
      <c r="F804" s="94"/>
      <c r="G804" s="25"/>
    </row>
    <row r="805">
      <c r="C805" s="94"/>
      <c r="D805" s="94"/>
      <c r="E805" s="94"/>
      <c r="F805" s="94"/>
      <c r="G805" s="25"/>
    </row>
    <row r="806">
      <c r="C806" s="94"/>
      <c r="D806" s="94"/>
      <c r="E806" s="94"/>
      <c r="F806" s="94"/>
      <c r="G806" s="25"/>
    </row>
    <row r="807">
      <c r="C807" s="94"/>
      <c r="D807" s="94"/>
      <c r="E807" s="94"/>
      <c r="F807" s="94"/>
      <c r="G807" s="25"/>
    </row>
    <row r="808">
      <c r="C808" s="94"/>
      <c r="D808" s="94"/>
      <c r="E808" s="94"/>
      <c r="F808" s="94"/>
      <c r="G808" s="25"/>
    </row>
    <row r="809">
      <c r="C809" s="94"/>
      <c r="D809" s="94"/>
      <c r="E809" s="94"/>
      <c r="F809" s="94"/>
      <c r="G809" s="25"/>
    </row>
    <row r="810">
      <c r="C810" s="94"/>
      <c r="D810" s="94"/>
      <c r="E810" s="94"/>
      <c r="F810" s="94"/>
      <c r="G810" s="25"/>
    </row>
    <row r="811">
      <c r="C811" s="94"/>
      <c r="D811" s="94"/>
      <c r="E811" s="94"/>
      <c r="F811" s="94"/>
      <c r="G811" s="25"/>
    </row>
    <row r="812">
      <c r="C812" s="94"/>
      <c r="D812" s="94"/>
      <c r="E812" s="94"/>
      <c r="F812" s="94"/>
      <c r="G812" s="25"/>
    </row>
    <row r="813">
      <c r="C813" s="94"/>
      <c r="D813" s="94"/>
      <c r="E813" s="94"/>
      <c r="F813" s="94"/>
      <c r="G813" s="25"/>
    </row>
    <row r="814">
      <c r="C814" s="94"/>
      <c r="D814" s="94"/>
      <c r="E814" s="94"/>
      <c r="F814" s="94"/>
      <c r="G814" s="25"/>
    </row>
    <row r="815">
      <c r="C815" s="94"/>
      <c r="D815" s="94"/>
      <c r="E815" s="94"/>
      <c r="F815" s="94"/>
      <c r="G815" s="25"/>
    </row>
    <row r="816">
      <c r="C816" s="94"/>
      <c r="D816" s="94"/>
      <c r="E816" s="94"/>
      <c r="F816" s="94"/>
      <c r="G816" s="25"/>
    </row>
    <row r="817">
      <c r="C817" s="94"/>
      <c r="D817" s="94"/>
      <c r="E817" s="94"/>
      <c r="F817" s="94"/>
      <c r="G817" s="25"/>
    </row>
    <row r="818">
      <c r="C818" s="94"/>
      <c r="D818" s="94"/>
      <c r="E818" s="94"/>
      <c r="F818" s="94"/>
      <c r="G818" s="25"/>
    </row>
    <row r="819">
      <c r="C819" s="94"/>
      <c r="D819" s="94"/>
      <c r="E819" s="94"/>
      <c r="F819" s="94"/>
      <c r="G819" s="25"/>
    </row>
    <row r="820">
      <c r="C820" s="94"/>
      <c r="D820" s="94"/>
      <c r="E820" s="94"/>
      <c r="F820" s="94"/>
      <c r="G820" s="25"/>
    </row>
    <row r="821">
      <c r="C821" s="94"/>
      <c r="D821" s="94"/>
      <c r="E821" s="94"/>
      <c r="F821" s="94"/>
      <c r="G821" s="25"/>
    </row>
    <row r="822">
      <c r="C822" s="94"/>
      <c r="D822" s="94"/>
      <c r="E822" s="94"/>
      <c r="F822" s="94"/>
      <c r="G822" s="25"/>
    </row>
    <row r="823">
      <c r="C823" s="94"/>
      <c r="D823" s="94"/>
      <c r="E823" s="94"/>
      <c r="F823" s="94"/>
      <c r="G823" s="25"/>
    </row>
    <row r="824">
      <c r="C824" s="94"/>
      <c r="D824" s="94"/>
      <c r="E824" s="94"/>
      <c r="F824" s="94"/>
      <c r="G824" s="25"/>
    </row>
    <row r="825">
      <c r="C825" s="94"/>
      <c r="D825" s="94"/>
      <c r="E825" s="94"/>
      <c r="F825" s="94"/>
      <c r="G825" s="25"/>
    </row>
    <row r="826">
      <c r="C826" s="94"/>
      <c r="D826" s="94"/>
      <c r="E826" s="94"/>
      <c r="F826" s="94"/>
      <c r="G826" s="25"/>
    </row>
    <row r="827">
      <c r="C827" s="94"/>
      <c r="D827" s="94"/>
      <c r="E827" s="94"/>
      <c r="F827" s="94"/>
      <c r="G827" s="25"/>
    </row>
    <row r="828">
      <c r="C828" s="94"/>
      <c r="D828" s="94"/>
      <c r="E828" s="94"/>
      <c r="F828" s="94"/>
      <c r="G828" s="25"/>
    </row>
    <row r="829">
      <c r="C829" s="94"/>
      <c r="D829" s="94"/>
      <c r="E829" s="94"/>
      <c r="F829" s="94"/>
      <c r="G829" s="25"/>
    </row>
    <row r="830">
      <c r="C830" s="94"/>
      <c r="D830" s="94"/>
      <c r="E830" s="94"/>
      <c r="F830" s="94"/>
      <c r="G830" s="25"/>
    </row>
    <row r="831">
      <c r="C831" s="94"/>
      <c r="D831" s="94"/>
      <c r="E831" s="94"/>
      <c r="F831" s="94"/>
      <c r="G831" s="25"/>
    </row>
    <row r="832">
      <c r="C832" s="94"/>
      <c r="D832" s="94"/>
      <c r="E832" s="94"/>
      <c r="F832" s="94"/>
      <c r="G832" s="25"/>
    </row>
    <row r="833">
      <c r="C833" s="94"/>
      <c r="D833" s="94"/>
      <c r="E833" s="94"/>
      <c r="F833" s="94"/>
      <c r="G833" s="25"/>
    </row>
    <row r="834">
      <c r="C834" s="94"/>
      <c r="D834" s="94"/>
      <c r="E834" s="94"/>
      <c r="F834" s="94"/>
      <c r="G834" s="25"/>
    </row>
    <row r="835">
      <c r="C835" s="94"/>
      <c r="D835" s="94"/>
      <c r="E835" s="94"/>
      <c r="F835" s="94"/>
      <c r="G835" s="25"/>
    </row>
    <row r="836">
      <c r="C836" s="94"/>
      <c r="D836" s="94"/>
      <c r="E836" s="94"/>
      <c r="F836" s="94"/>
      <c r="G836" s="25"/>
    </row>
    <row r="837">
      <c r="C837" s="94"/>
      <c r="D837" s="94"/>
      <c r="E837" s="94"/>
      <c r="F837" s="94"/>
      <c r="G837" s="25"/>
    </row>
    <row r="838">
      <c r="C838" s="94"/>
      <c r="D838" s="94"/>
      <c r="E838" s="94"/>
      <c r="F838" s="94"/>
      <c r="G838" s="25"/>
    </row>
    <row r="839">
      <c r="C839" s="94"/>
      <c r="D839" s="94"/>
      <c r="E839" s="94"/>
      <c r="F839" s="94"/>
      <c r="G839" s="25"/>
    </row>
    <row r="840">
      <c r="C840" s="94"/>
      <c r="D840" s="94"/>
      <c r="E840" s="94"/>
      <c r="F840" s="94"/>
      <c r="G840" s="25"/>
    </row>
    <row r="841">
      <c r="C841" s="94"/>
      <c r="D841" s="94"/>
      <c r="E841" s="94"/>
      <c r="F841" s="94"/>
      <c r="G841" s="25"/>
    </row>
    <row r="842">
      <c r="C842" s="94"/>
      <c r="D842" s="94"/>
      <c r="E842" s="94"/>
      <c r="F842" s="94"/>
      <c r="G842" s="25"/>
    </row>
    <row r="843">
      <c r="C843" s="94"/>
      <c r="D843" s="94"/>
      <c r="E843" s="94"/>
      <c r="F843" s="94"/>
      <c r="G843" s="25"/>
    </row>
    <row r="844">
      <c r="C844" s="94"/>
      <c r="D844" s="94"/>
      <c r="E844" s="94"/>
      <c r="F844" s="94"/>
      <c r="G844" s="25"/>
    </row>
    <row r="845">
      <c r="C845" s="94"/>
      <c r="D845" s="94"/>
      <c r="E845" s="94"/>
      <c r="F845" s="94"/>
      <c r="G845" s="25"/>
    </row>
    <row r="846">
      <c r="C846" s="94"/>
      <c r="D846" s="94"/>
      <c r="E846" s="94"/>
      <c r="F846" s="94"/>
      <c r="G846" s="25"/>
    </row>
    <row r="847">
      <c r="C847" s="94"/>
      <c r="D847" s="94"/>
      <c r="E847" s="94"/>
      <c r="F847" s="94"/>
      <c r="G847" s="25"/>
    </row>
    <row r="848">
      <c r="C848" s="94"/>
      <c r="D848" s="94"/>
      <c r="E848" s="94"/>
      <c r="F848" s="94"/>
      <c r="G848" s="25"/>
    </row>
    <row r="849">
      <c r="C849" s="94"/>
      <c r="D849" s="94"/>
      <c r="E849" s="94"/>
      <c r="F849" s="94"/>
      <c r="G849" s="25"/>
    </row>
    <row r="850">
      <c r="C850" s="94"/>
      <c r="D850" s="94"/>
      <c r="E850" s="94"/>
      <c r="F850" s="94"/>
      <c r="G850" s="25"/>
    </row>
    <row r="851">
      <c r="C851" s="94"/>
      <c r="D851" s="94"/>
      <c r="E851" s="94"/>
      <c r="F851" s="94"/>
      <c r="G851" s="25"/>
    </row>
    <row r="852">
      <c r="C852" s="94"/>
      <c r="D852" s="94"/>
      <c r="E852" s="94"/>
      <c r="F852" s="94"/>
      <c r="G852" s="25"/>
    </row>
    <row r="853">
      <c r="C853" s="94"/>
      <c r="D853" s="94"/>
      <c r="E853" s="94"/>
      <c r="F853" s="94"/>
      <c r="G853" s="25"/>
    </row>
    <row r="854">
      <c r="C854" s="94"/>
      <c r="D854" s="94"/>
      <c r="E854" s="94"/>
      <c r="F854" s="94"/>
      <c r="G854" s="25"/>
    </row>
    <row r="855">
      <c r="C855" s="94"/>
      <c r="D855" s="94"/>
      <c r="E855" s="94"/>
      <c r="F855" s="94"/>
      <c r="G855" s="25"/>
    </row>
    <row r="856">
      <c r="C856" s="94"/>
      <c r="D856" s="94"/>
      <c r="E856" s="94"/>
      <c r="F856" s="94"/>
      <c r="G856" s="25"/>
    </row>
    <row r="857">
      <c r="C857" s="94"/>
      <c r="D857" s="94"/>
      <c r="E857" s="94"/>
      <c r="F857" s="94"/>
      <c r="G857" s="25"/>
    </row>
    <row r="858">
      <c r="C858" s="94"/>
      <c r="D858" s="94"/>
      <c r="E858" s="94"/>
      <c r="F858" s="94"/>
      <c r="G858" s="25"/>
    </row>
    <row r="859">
      <c r="C859" s="94"/>
      <c r="D859" s="94"/>
      <c r="E859" s="94"/>
      <c r="F859" s="94"/>
      <c r="G859" s="25"/>
    </row>
    <row r="860">
      <c r="C860" s="94"/>
      <c r="D860" s="94"/>
      <c r="E860" s="94"/>
      <c r="F860" s="94"/>
      <c r="G860" s="25"/>
    </row>
    <row r="861">
      <c r="C861" s="94"/>
      <c r="D861" s="94"/>
      <c r="E861" s="94"/>
      <c r="F861" s="94"/>
      <c r="G861" s="25"/>
    </row>
    <row r="862">
      <c r="C862" s="94"/>
      <c r="D862" s="94"/>
      <c r="E862" s="94"/>
      <c r="F862" s="94"/>
      <c r="G862" s="25"/>
    </row>
    <row r="863">
      <c r="C863" s="94"/>
      <c r="D863" s="94"/>
      <c r="E863" s="94"/>
      <c r="F863" s="94"/>
      <c r="G863" s="25"/>
    </row>
    <row r="864">
      <c r="C864" s="94"/>
      <c r="D864" s="94"/>
      <c r="E864" s="94"/>
      <c r="F864" s="94"/>
      <c r="G864" s="25"/>
    </row>
    <row r="865">
      <c r="C865" s="94"/>
      <c r="D865" s="94"/>
      <c r="E865" s="94"/>
      <c r="F865" s="94"/>
      <c r="G865" s="25"/>
    </row>
    <row r="866">
      <c r="C866" s="94"/>
      <c r="D866" s="94"/>
      <c r="E866" s="94"/>
      <c r="F866" s="94"/>
      <c r="G866" s="25"/>
    </row>
    <row r="867">
      <c r="C867" s="94"/>
      <c r="D867" s="94"/>
      <c r="E867" s="94"/>
      <c r="F867" s="94"/>
      <c r="G867" s="25"/>
    </row>
    <row r="868">
      <c r="C868" s="94"/>
      <c r="D868" s="94"/>
      <c r="E868" s="94"/>
      <c r="F868" s="94"/>
      <c r="G868" s="25"/>
    </row>
    <row r="869">
      <c r="C869" s="94"/>
      <c r="D869" s="94"/>
      <c r="E869" s="94"/>
      <c r="F869" s="94"/>
      <c r="G869" s="25"/>
    </row>
    <row r="870">
      <c r="C870" s="94"/>
      <c r="D870" s="94"/>
      <c r="E870" s="94"/>
      <c r="F870" s="94"/>
      <c r="G870" s="25"/>
    </row>
    <row r="871">
      <c r="C871" s="94"/>
      <c r="D871" s="94"/>
      <c r="E871" s="94"/>
      <c r="F871" s="94"/>
      <c r="G871" s="25"/>
    </row>
    <row r="872">
      <c r="C872" s="94"/>
      <c r="D872" s="94"/>
      <c r="E872" s="94"/>
      <c r="F872" s="94"/>
      <c r="G872" s="25"/>
    </row>
    <row r="873">
      <c r="C873" s="94"/>
      <c r="D873" s="94"/>
      <c r="E873" s="94"/>
      <c r="F873" s="94"/>
      <c r="G873" s="25"/>
    </row>
    <row r="874">
      <c r="C874" s="94"/>
      <c r="D874" s="94"/>
      <c r="E874" s="94"/>
      <c r="F874" s="94"/>
      <c r="G874" s="25"/>
    </row>
    <row r="875">
      <c r="C875" s="94"/>
      <c r="D875" s="94"/>
      <c r="E875" s="94"/>
      <c r="F875" s="94"/>
      <c r="G875" s="25"/>
    </row>
    <row r="876">
      <c r="C876" s="94"/>
      <c r="D876" s="94"/>
      <c r="E876" s="94"/>
      <c r="F876" s="94"/>
      <c r="G876" s="25"/>
    </row>
    <row r="877">
      <c r="C877" s="94"/>
      <c r="D877" s="94"/>
      <c r="E877" s="94"/>
      <c r="F877" s="94"/>
      <c r="G877" s="25"/>
    </row>
    <row r="878">
      <c r="C878" s="94"/>
      <c r="D878" s="94"/>
      <c r="E878" s="94"/>
      <c r="F878" s="94"/>
      <c r="G878" s="25"/>
    </row>
    <row r="879">
      <c r="C879" s="94"/>
      <c r="D879" s="94"/>
      <c r="E879" s="94"/>
      <c r="F879" s="94"/>
      <c r="G879" s="25"/>
    </row>
    <row r="880">
      <c r="C880" s="94"/>
      <c r="D880" s="94"/>
      <c r="E880" s="94"/>
      <c r="F880" s="94"/>
      <c r="G880" s="25"/>
    </row>
    <row r="881">
      <c r="C881" s="94"/>
      <c r="D881" s="94"/>
      <c r="E881" s="94"/>
      <c r="F881" s="94"/>
      <c r="G881" s="25"/>
    </row>
    <row r="882">
      <c r="C882" s="94"/>
      <c r="D882" s="94"/>
      <c r="E882" s="94"/>
      <c r="F882" s="94"/>
      <c r="G882" s="25"/>
    </row>
    <row r="883">
      <c r="C883" s="94"/>
      <c r="D883" s="94"/>
      <c r="E883" s="94"/>
      <c r="F883" s="94"/>
      <c r="G883" s="25"/>
    </row>
    <row r="884">
      <c r="C884" s="94"/>
      <c r="D884" s="94"/>
      <c r="E884" s="94"/>
      <c r="F884" s="94"/>
      <c r="G884" s="25"/>
    </row>
    <row r="885">
      <c r="C885" s="94"/>
      <c r="D885" s="94"/>
      <c r="E885" s="94"/>
      <c r="F885" s="94"/>
      <c r="G885" s="25"/>
    </row>
    <row r="886">
      <c r="C886" s="94"/>
      <c r="D886" s="94"/>
      <c r="E886" s="94"/>
      <c r="F886" s="94"/>
      <c r="G886" s="25"/>
    </row>
    <row r="887">
      <c r="C887" s="94"/>
      <c r="D887" s="94"/>
      <c r="E887" s="94"/>
      <c r="F887" s="94"/>
      <c r="G887" s="25"/>
    </row>
    <row r="888">
      <c r="C888" s="94"/>
      <c r="D888" s="94"/>
      <c r="E888" s="94"/>
      <c r="F888" s="94"/>
      <c r="G888" s="25"/>
    </row>
    <row r="889">
      <c r="C889" s="94"/>
      <c r="D889" s="94"/>
      <c r="E889" s="94"/>
      <c r="F889" s="94"/>
      <c r="G889" s="25"/>
    </row>
    <row r="890">
      <c r="C890" s="94"/>
      <c r="D890" s="94"/>
      <c r="E890" s="94"/>
      <c r="F890" s="94"/>
      <c r="G890" s="25"/>
    </row>
    <row r="891">
      <c r="C891" s="94"/>
      <c r="D891" s="94"/>
      <c r="E891" s="94"/>
      <c r="F891" s="94"/>
      <c r="G891" s="25"/>
    </row>
    <row r="892">
      <c r="C892" s="94"/>
      <c r="D892" s="94"/>
      <c r="E892" s="94"/>
      <c r="F892" s="94"/>
      <c r="G892" s="25"/>
    </row>
    <row r="893">
      <c r="C893" s="94"/>
      <c r="D893" s="94"/>
      <c r="E893" s="94"/>
      <c r="F893" s="94"/>
      <c r="G893" s="25"/>
    </row>
    <row r="894">
      <c r="C894" s="94"/>
      <c r="D894" s="94"/>
      <c r="E894" s="94"/>
      <c r="F894" s="94"/>
      <c r="G894" s="25"/>
    </row>
    <row r="895">
      <c r="C895" s="94"/>
      <c r="D895" s="94"/>
      <c r="E895" s="94"/>
      <c r="F895" s="94"/>
      <c r="G895" s="25"/>
    </row>
    <row r="896">
      <c r="C896" s="94"/>
      <c r="D896" s="94"/>
      <c r="E896" s="94"/>
      <c r="F896" s="94"/>
      <c r="G896" s="25"/>
    </row>
    <row r="897">
      <c r="C897" s="94"/>
      <c r="D897" s="94"/>
      <c r="E897" s="94"/>
      <c r="F897" s="94"/>
      <c r="G897" s="25"/>
    </row>
    <row r="898">
      <c r="C898" s="94"/>
      <c r="D898" s="94"/>
      <c r="E898" s="94"/>
      <c r="F898" s="94"/>
      <c r="G898" s="25"/>
    </row>
    <row r="899">
      <c r="C899" s="94"/>
      <c r="D899" s="94"/>
      <c r="E899" s="94"/>
      <c r="F899" s="94"/>
      <c r="G899" s="25"/>
    </row>
    <row r="900">
      <c r="C900" s="94"/>
      <c r="D900" s="94"/>
      <c r="E900" s="94"/>
      <c r="F900" s="94"/>
      <c r="G900" s="25"/>
    </row>
    <row r="901">
      <c r="C901" s="94"/>
      <c r="D901" s="94"/>
      <c r="E901" s="94"/>
      <c r="F901" s="94"/>
      <c r="G901" s="25"/>
    </row>
    <row r="902">
      <c r="C902" s="94"/>
      <c r="D902" s="94"/>
      <c r="E902" s="94"/>
      <c r="F902" s="94"/>
      <c r="G902" s="25"/>
    </row>
    <row r="903">
      <c r="C903" s="94"/>
      <c r="D903" s="94"/>
      <c r="E903" s="94"/>
      <c r="F903" s="94"/>
      <c r="G903" s="25"/>
    </row>
    <row r="904">
      <c r="C904" s="94"/>
      <c r="D904" s="94"/>
      <c r="E904" s="94"/>
      <c r="F904" s="94"/>
      <c r="G904" s="25"/>
    </row>
    <row r="905">
      <c r="C905" s="94"/>
      <c r="D905" s="94"/>
      <c r="E905" s="94"/>
      <c r="F905" s="94"/>
      <c r="G905" s="25"/>
    </row>
    <row r="906">
      <c r="C906" s="94"/>
      <c r="D906" s="94"/>
      <c r="E906" s="94"/>
      <c r="F906" s="94"/>
      <c r="G906" s="25"/>
    </row>
    <row r="907">
      <c r="C907" s="94"/>
      <c r="D907" s="94"/>
      <c r="E907" s="94"/>
      <c r="F907" s="94"/>
      <c r="G907" s="25"/>
    </row>
    <row r="908">
      <c r="C908" s="94"/>
      <c r="D908" s="94"/>
      <c r="E908" s="94"/>
      <c r="F908" s="94"/>
      <c r="G908" s="25"/>
    </row>
    <row r="909">
      <c r="C909" s="94"/>
      <c r="D909" s="94"/>
      <c r="E909" s="94"/>
      <c r="F909" s="94"/>
      <c r="G909" s="25"/>
    </row>
    <row r="910">
      <c r="C910" s="94"/>
      <c r="D910" s="94"/>
      <c r="E910" s="94"/>
      <c r="F910" s="94"/>
      <c r="G910" s="25"/>
    </row>
    <row r="911">
      <c r="C911" s="94"/>
      <c r="D911" s="94"/>
      <c r="E911" s="94"/>
      <c r="F911" s="94"/>
      <c r="G911" s="25"/>
    </row>
    <row r="912">
      <c r="C912" s="94"/>
      <c r="D912" s="94"/>
      <c r="E912" s="94"/>
      <c r="F912" s="94"/>
      <c r="G912" s="25"/>
    </row>
    <row r="913">
      <c r="C913" s="94"/>
      <c r="D913" s="94"/>
      <c r="E913" s="94"/>
      <c r="F913" s="94"/>
      <c r="G913" s="25"/>
    </row>
    <row r="914">
      <c r="C914" s="94"/>
      <c r="D914" s="94"/>
      <c r="E914" s="94"/>
      <c r="F914" s="94"/>
      <c r="G914" s="25"/>
    </row>
    <row r="915">
      <c r="C915" s="94"/>
      <c r="D915" s="94"/>
      <c r="E915" s="94"/>
      <c r="F915" s="94"/>
      <c r="G915" s="25"/>
    </row>
    <row r="916">
      <c r="C916" s="94"/>
      <c r="D916" s="94"/>
      <c r="E916" s="94"/>
      <c r="F916" s="94"/>
      <c r="G916" s="25"/>
    </row>
    <row r="917">
      <c r="C917" s="94"/>
      <c r="D917" s="94"/>
      <c r="E917" s="94"/>
      <c r="F917" s="94"/>
      <c r="G917" s="25"/>
    </row>
    <row r="918">
      <c r="C918" s="94"/>
      <c r="D918" s="94"/>
      <c r="E918" s="94"/>
      <c r="F918" s="94"/>
      <c r="G918" s="25"/>
    </row>
    <row r="919">
      <c r="C919" s="94"/>
      <c r="D919" s="94"/>
      <c r="E919" s="94"/>
      <c r="F919" s="94"/>
      <c r="G919" s="25"/>
    </row>
    <row r="920">
      <c r="C920" s="94"/>
      <c r="D920" s="94"/>
      <c r="E920" s="94"/>
      <c r="F920" s="94"/>
      <c r="G920" s="25"/>
    </row>
    <row r="921">
      <c r="C921" s="94"/>
      <c r="D921" s="94"/>
      <c r="E921" s="94"/>
      <c r="F921" s="94"/>
      <c r="G921" s="25"/>
    </row>
    <row r="922">
      <c r="C922" s="94"/>
      <c r="D922" s="94"/>
      <c r="E922" s="94"/>
      <c r="F922" s="94"/>
      <c r="G922" s="25"/>
    </row>
    <row r="923">
      <c r="C923" s="94"/>
      <c r="D923" s="94"/>
      <c r="E923" s="94"/>
      <c r="F923" s="94"/>
      <c r="G923" s="25"/>
    </row>
    <row r="924">
      <c r="C924" s="94"/>
      <c r="D924" s="94"/>
      <c r="E924" s="94"/>
      <c r="F924" s="94"/>
      <c r="G924" s="25"/>
    </row>
    <row r="925">
      <c r="C925" s="94"/>
      <c r="D925" s="94"/>
      <c r="E925" s="94"/>
      <c r="F925" s="94"/>
      <c r="G925" s="25"/>
    </row>
    <row r="926">
      <c r="C926" s="94"/>
      <c r="D926" s="94"/>
      <c r="E926" s="94"/>
      <c r="F926" s="94"/>
      <c r="G926" s="25"/>
    </row>
    <row r="927">
      <c r="C927" s="94"/>
      <c r="D927" s="94"/>
      <c r="E927" s="94"/>
      <c r="F927" s="94"/>
      <c r="G927" s="25"/>
    </row>
    <row r="928">
      <c r="C928" s="94"/>
      <c r="D928" s="94"/>
      <c r="E928" s="94"/>
      <c r="F928" s="94"/>
      <c r="G928" s="25"/>
    </row>
    <row r="929">
      <c r="C929" s="94"/>
      <c r="D929" s="94"/>
      <c r="E929" s="94"/>
      <c r="F929" s="94"/>
      <c r="G929" s="25"/>
    </row>
    <row r="930">
      <c r="C930" s="94"/>
      <c r="D930" s="94"/>
      <c r="E930" s="94"/>
      <c r="F930" s="94"/>
      <c r="G930" s="25"/>
    </row>
    <row r="931">
      <c r="C931" s="94"/>
      <c r="D931" s="94"/>
      <c r="E931" s="94"/>
      <c r="F931" s="94"/>
      <c r="G931" s="25"/>
    </row>
    <row r="932">
      <c r="C932" s="94"/>
      <c r="D932" s="94"/>
      <c r="E932" s="94"/>
      <c r="F932" s="94"/>
      <c r="G932" s="25"/>
    </row>
    <row r="933">
      <c r="C933" s="94"/>
      <c r="D933" s="94"/>
      <c r="E933" s="94"/>
      <c r="F933" s="94"/>
      <c r="G933" s="25"/>
    </row>
    <row r="934">
      <c r="C934" s="94"/>
      <c r="D934" s="94"/>
      <c r="E934" s="94"/>
      <c r="F934" s="94"/>
      <c r="G934" s="25"/>
    </row>
    <row r="935">
      <c r="C935" s="94"/>
      <c r="D935" s="94"/>
      <c r="E935" s="94"/>
      <c r="F935" s="94"/>
      <c r="G935" s="25"/>
    </row>
    <row r="936">
      <c r="C936" s="94"/>
      <c r="D936" s="94"/>
      <c r="E936" s="94"/>
      <c r="F936" s="94"/>
      <c r="G936" s="25"/>
    </row>
    <row r="937">
      <c r="C937" s="94"/>
      <c r="D937" s="94"/>
      <c r="E937" s="94"/>
      <c r="F937" s="94"/>
      <c r="G937" s="25"/>
    </row>
    <row r="938">
      <c r="C938" s="94"/>
      <c r="D938" s="94"/>
      <c r="E938" s="94"/>
      <c r="F938" s="94"/>
      <c r="G938" s="25"/>
    </row>
    <row r="939">
      <c r="C939" s="94"/>
      <c r="D939" s="94"/>
      <c r="E939" s="94"/>
      <c r="F939" s="94"/>
      <c r="G939" s="25"/>
    </row>
    <row r="940">
      <c r="C940" s="94"/>
      <c r="D940" s="94"/>
      <c r="E940" s="94"/>
      <c r="F940" s="94"/>
      <c r="G940" s="25"/>
    </row>
    <row r="941">
      <c r="C941" s="94"/>
      <c r="D941" s="94"/>
      <c r="E941" s="94"/>
      <c r="F941" s="94"/>
      <c r="G941" s="25"/>
    </row>
    <row r="942">
      <c r="C942" s="94"/>
      <c r="D942" s="94"/>
      <c r="E942" s="94"/>
      <c r="F942" s="94"/>
      <c r="G942" s="25"/>
    </row>
    <row r="943">
      <c r="C943" s="94"/>
      <c r="D943" s="94"/>
      <c r="E943" s="94"/>
      <c r="F943" s="94"/>
      <c r="G943" s="25"/>
    </row>
    <row r="944">
      <c r="C944" s="94"/>
      <c r="D944" s="94"/>
      <c r="E944" s="94"/>
      <c r="F944" s="94"/>
      <c r="G944" s="25"/>
    </row>
    <row r="945">
      <c r="C945" s="94"/>
      <c r="D945" s="94"/>
      <c r="E945" s="94"/>
      <c r="F945" s="94"/>
      <c r="G945" s="25"/>
    </row>
    <row r="946">
      <c r="C946" s="94"/>
      <c r="D946" s="94"/>
      <c r="E946" s="94"/>
      <c r="F946" s="94"/>
      <c r="G946" s="25"/>
    </row>
    <row r="947">
      <c r="C947" s="94"/>
      <c r="D947" s="94"/>
      <c r="E947" s="94"/>
      <c r="F947" s="94"/>
      <c r="G947" s="25"/>
    </row>
    <row r="948">
      <c r="C948" s="94"/>
      <c r="D948" s="94"/>
      <c r="E948" s="94"/>
      <c r="F948" s="94"/>
      <c r="G948" s="25"/>
    </row>
    <row r="949">
      <c r="C949" s="94"/>
      <c r="D949" s="94"/>
      <c r="E949" s="94"/>
      <c r="F949" s="94"/>
      <c r="G949" s="25"/>
    </row>
    <row r="950">
      <c r="C950" s="94"/>
      <c r="D950" s="94"/>
      <c r="E950" s="94"/>
      <c r="F950" s="94"/>
      <c r="G950" s="25"/>
    </row>
    <row r="951">
      <c r="C951" s="94"/>
      <c r="D951" s="94"/>
      <c r="E951" s="94"/>
      <c r="F951" s="94"/>
      <c r="G951" s="25"/>
    </row>
    <row r="952">
      <c r="C952" s="94"/>
      <c r="D952" s="94"/>
      <c r="E952" s="94"/>
      <c r="F952" s="94"/>
      <c r="G952" s="25"/>
    </row>
    <row r="953">
      <c r="C953" s="94"/>
      <c r="D953" s="94"/>
      <c r="E953" s="94"/>
      <c r="F953" s="94"/>
      <c r="G953" s="25"/>
    </row>
    <row r="954">
      <c r="C954" s="94"/>
      <c r="D954" s="94"/>
      <c r="E954" s="94"/>
      <c r="F954" s="94"/>
      <c r="G954" s="25"/>
    </row>
    <row r="955">
      <c r="C955" s="94"/>
      <c r="D955" s="94"/>
      <c r="E955" s="94"/>
      <c r="F955" s="94"/>
      <c r="G955" s="25"/>
    </row>
    <row r="956">
      <c r="C956" s="94"/>
      <c r="D956" s="94"/>
      <c r="E956" s="94"/>
      <c r="F956" s="94"/>
      <c r="G956" s="25"/>
    </row>
    <row r="957">
      <c r="C957" s="94"/>
      <c r="D957" s="94"/>
      <c r="E957" s="94"/>
      <c r="F957" s="94"/>
      <c r="G957" s="25"/>
    </row>
    <row r="958">
      <c r="C958" s="94"/>
      <c r="D958" s="94"/>
      <c r="E958" s="94"/>
      <c r="F958" s="94"/>
      <c r="G958" s="25"/>
    </row>
    <row r="959">
      <c r="C959" s="94"/>
      <c r="D959" s="94"/>
      <c r="E959" s="94"/>
      <c r="F959" s="94"/>
      <c r="G959" s="25"/>
    </row>
    <row r="960">
      <c r="C960" s="94"/>
      <c r="D960" s="94"/>
      <c r="E960" s="94"/>
      <c r="F960" s="94"/>
      <c r="G960" s="25"/>
    </row>
    <row r="961">
      <c r="C961" s="94"/>
      <c r="D961" s="94"/>
      <c r="E961" s="94"/>
      <c r="F961" s="94"/>
      <c r="G961" s="25"/>
    </row>
    <row r="962">
      <c r="C962" s="94"/>
      <c r="D962" s="94"/>
      <c r="E962" s="94"/>
      <c r="F962" s="94"/>
      <c r="G962" s="25"/>
    </row>
    <row r="963">
      <c r="C963" s="94"/>
      <c r="D963" s="94"/>
      <c r="E963" s="94"/>
      <c r="F963" s="94"/>
      <c r="G963" s="25"/>
    </row>
    <row r="964">
      <c r="C964" s="94"/>
      <c r="D964" s="94"/>
      <c r="E964" s="94"/>
      <c r="F964" s="94"/>
      <c r="G964" s="25"/>
    </row>
    <row r="965">
      <c r="C965" s="94"/>
      <c r="D965" s="94"/>
      <c r="E965" s="94"/>
      <c r="F965" s="94"/>
      <c r="G965" s="25"/>
    </row>
    <row r="966">
      <c r="C966" s="94"/>
      <c r="D966" s="94"/>
      <c r="E966" s="94"/>
      <c r="F966" s="94"/>
      <c r="G966" s="25"/>
    </row>
    <row r="967">
      <c r="C967" s="94"/>
      <c r="D967" s="94"/>
      <c r="E967" s="94"/>
      <c r="F967" s="94"/>
      <c r="G967" s="25"/>
    </row>
    <row r="968">
      <c r="C968" s="94"/>
      <c r="D968" s="94"/>
      <c r="E968" s="94"/>
      <c r="F968" s="94"/>
      <c r="G968" s="25"/>
    </row>
    <row r="969">
      <c r="C969" s="94"/>
      <c r="D969" s="94"/>
      <c r="E969" s="94"/>
      <c r="F969" s="94"/>
      <c r="G969" s="25"/>
    </row>
    <row r="970">
      <c r="C970" s="94"/>
      <c r="D970" s="94"/>
      <c r="E970" s="94"/>
      <c r="F970" s="94"/>
      <c r="G970" s="25"/>
    </row>
    <row r="971">
      <c r="C971" s="94"/>
      <c r="D971" s="94"/>
      <c r="E971" s="94"/>
      <c r="F971" s="94"/>
      <c r="G971" s="25"/>
    </row>
    <row r="972">
      <c r="C972" s="94"/>
      <c r="D972" s="94"/>
      <c r="E972" s="94"/>
      <c r="F972" s="94"/>
      <c r="G972" s="25"/>
    </row>
    <row r="973">
      <c r="C973" s="94"/>
      <c r="D973" s="94"/>
      <c r="E973" s="94"/>
      <c r="F973" s="94"/>
      <c r="G973" s="25"/>
    </row>
    <row r="974">
      <c r="C974" s="94"/>
      <c r="D974" s="94"/>
      <c r="E974" s="94"/>
      <c r="F974" s="94"/>
      <c r="G974" s="25"/>
    </row>
    <row r="975">
      <c r="C975" s="94"/>
      <c r="D975" s="94"/>
      <c r="E975" s="94"/>
      <c r="F975" s="94"/>
      <c r="G975" s="25"/>
    </row>
    <row r="976">
      <c r="C976" s="94"/>
      <c r="D976" s="94"/>
      <c r="E976" s="94"/>
      <c r="F976" s="94"/>
      <c r="G976" s="25"/>
    </row>
    <row r="977">
      <c r="C977" s="94"/>
      <c r="D977" s="94"/>
      <c r="E977" s="94"/>
      <c r="F977" s="94"/>
      <c r="G977" s="25"/>
    </row>
    <row r="978">
      <c r="C978" s="94"/>
      <c r="D978" s="94"/>
      <c r="E978" s="94"/>
      <c r="F978" s="94"/>
      <c r="G978" s="25"/>
    </row>
    <row r="979">
      <c r="C979" s="94"/>
      <c r="D979" s="94"/>
      <c r="E979" s="94"/>
      <c r="F979" s="94"/>
      <c r="G979" s="25"/>
    </row>
    <row r="980">
      <c r="C980" s="94"/>
      <c r="D980" s="94"/>
      <c r="E980" s="94"/>
      <c r="F980" s="94"/>
      <c r="G980" s="25"/>
    </row>
    <row r="981">
      <c r="C981" s="94"/>
      <c r="D981" s="94"/>
      <c r="E981" s="94"/>
      <c r="F981" s="94"/>
      <c r="G981" s="25"/>
    </row>
    <row r="982">
      <c r="C982" s="94"/>
      <c r="D982" s="94"/>
      <c r="E982" s="94"/>
      <c r="F982" s="94"/>
      <c r="G982" s="25"/>
    </row>
    <row r="983">
      <c r="C983" s="94"/>
      <c r="D983" s="94"/>
      <c r="E983" s="94"/>
      <c r="F983" s="94"/>
      <c r="G983" s="25"/>
    </row>
    <row r="984">
      <c r="C984" s="94"/>
      <c r="D984" s="94"/>
      <c r="E984" s="94"/>
      <c r="F984" s="94"/>
      <c r="G984" s="25"/>
    </row>
    <row r="985">
      <c r="C985" s="94"/>
      <c r="D985" s="94"/>
      <c r="E985" s="94"/>
      <c r="F985" s="94"/>
      <c r="G985" s="25"/>
    </row>
    <row r="986">
      <c r="C986" s="94"/>
      <c r="D986" s="94"/>
      <c r="E986" s="94"/>
      <c r="F986" s="94"/>
      <c r="G986" s="25"/>
    </row>
    <row r="987">
      <c r="C987" s="94"/>
      <c r="D987" s="94"/>
      <c r="E987" s="94"/>
      <c r="F987" s="94"/>
      <c r="G987" s="25"/>
    </row>
    <row r="988">
      <c r="C988" s="94"/>
      <c r="D988" s="94"/>
      <c r="E988" s="94"/>
      <c r="F988" s="94"/>
      <c r="G988" s="25"/>
    </row>
    <row r="989">
      <c r="C989" s="94"/>
      <c r="D989" s="94"/>
      <c r="E989" s="94"/>
      <c r="F989" s="94"/>
      <c r="G989" s="25"/>
    </row>
    <row r="990">
      <c r="C990" s="94"/>
      <c r="D990" s="94"/>
      <c r="E990" s="94"/>
      <c r="F990" s="94"/>
      <c r="G990" s="25"/>
    </row>
    <row r="991">
      <c r="C991" s="94"/>
      <c r="D991" s="94"/>
      <c r="E991" s="94"/>
      <c r="F991" s="94"/>
      <c r="G991" s="25"/>
    </row>
    <row r="992">
      <c r="C992" s="94"/>
      <c r="D992" s="94"/>
      <c r="E992" s="94"/>
      <c r="F992" s="94"/>
      <c r="G992" s="25"/>
    </row>
    <row r="993">
      <c r="C993" s="94"/>
      <c r="D993" s="94"/>
      <c r="E993" s="94"/>
      <c r="F993" s="94"/>
      <c r="G993" s="25"/>
    </row>
    <row r="994">
      <c r="C994" s="94"/>
      <c r="D994" s="94"/>
      <c r="E994" s="94"/>
      <c r="F994" s="94"/>
      <c r="G994" s="25"/>
    </row>
    <row r="995">
      <c r="C995" s="94"/>
      <c r="D995" s="94"/>
      <c r="E995" s="94"/>
      <c r="F995" s="94"/>
      <c r="G995" s="25"/>
    </row>
    <row r="996">
      <c r="C996" s="94"/>
      <c r="D996" s="94"/>
      <c r="E996" s="94"/>
      <c r="F996" s="94"/>
      <c r="G996" s="25"/>
    </row>
    <row r="997">
      <c r="C997" s="94"/>
      <c r="D997" s="94"/>
      <c r="E997" s="94"/>
      <c r="F997" s="94"/>
      <c r="G997" s="25"/>
    </row>
    <row r="998">
      <c r="C998" s="94"/>
      <c r="D998" s="94"/>
      <c r="E998" s="94"/>
      <c r="F998" s="94"/>
      <c r="G998" s="25"/>
    </row>
    <row r="999">
      <c r="C999" s="94"/>
      <c r="D999" s="94"/>
      <c r="E999" s="94"/>
      <c r="F999" s="94"/>
      <c r="G999" s="25"/>
    </row>
    <row r="1000">
      <c r="C1000" s="94"/>
      <c r="D1000" s="94"/>
      <c r="E1000" s="94"/>
      <c r="F1000" s="94"/>
      <c r="G1000" s="25"/>
    </row>
    <row r="1001">
      <c r="C1001" s="94"/>
      <c r="D1001" s="94"/>
      <c r="E1001" s="94"/>
      <c r="F1001" s="94"/>
      <c r="G1001" s="25"/>
    </row>
    <row r="1002">
      <c r="C1002" s="94"/>
      <c r="D1002" s="94"/>
      <c r="E1002" s="94"/>
      <c r="F1002" s="94"/>
      <c r="G1002" s="25"/>
    </row>
    <row r="1003">
      <c r="C1003" s="94"/>
      <c r="D1003" s="94"/>
      <c r="E1003" s="94"/>
      <c r="F1003" s="94"/>
      <c r="G1003" s="25"/>
    </row>
    <row r="1004">
      <c r="C1004" s="94"/>
      <c r="D1004" s="94"/>
      <c r="E1004" s="94"/>
      <c r="F1004" s="94"/>
      <c r="G1004" s="25"/>
    </row>
    <row r="1005">
      <c r="C1005" s="94"/>
      <c r="D1005" s="94"/>
      <c r="E1005" s="94"/>
      <c r="F1005" s="94"/>
      <c r="G1005" s="25"/>
    </row>
    <row r="1006">
      <c r="C1006" s="94"/>
      <c r="D1006" s="94"/>
      <c r="E1006" s="94"/>
      <c r="F1006" s="94"/>
      <c r="G1006" s="2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9.25"/>
    <col customWidth="1" min="5" max="5" width="7.38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 t="shared" ref="E2:E25" si="1">SUM(G2:R2)</f>
        <v>4</v>
      </c>
      <c r="F2" s="12">
        <f>IF(E2+E3 = 0, "n/a", E2/(E2+E3))</f>
        <v>0.1142857143</v>
      </c>
      <c r="G2" s="11">
        <f>COUNTIFS(Beans!B:B, A2, Beans!A:A, "&gt;=2024-1-1", Beans!A:A,"&lt;2024-2-1" )</f>
        <v>0</v>
      </c>
      <c r="H2" s="7">
        <f>COUNTIFS(Beans!B:B, A2, Beans!A:A, "&gt;=2024-2-1", Beans!A:A,"&lt;2024-3-1" )</f>
        <v>1</v>
      </c>
      <c r="I2" s="11">
        <f>COUNTIFS(Beans!B:B, A2, Beans!A:A, "&gt;=2024-3-1", Beans!A:A,"&lt;2024-4-1" )</f>
        <v>0</v>
      </c>
      <c r="J2" s="11">
        <f>COUNTIFS(Beans!B:B, A2, Beans!A:A, "&gt;=2024-4-1", Beans!A:A,"&lt;2024-5-1" )</f>
        <v>0</v>
      </c>
      <c r="K2" s="7">
        <f>COUNTIFS(Beans!B:B, A2, Beans!A:A, "&gt;=2024-5-1", Beans!A:A,"&lt;2024-6-1" )</f>
        <v>1</v>
      </c>
      <c r="L2" s="11">
        <f>COUNTIFS(Beans!B:B, A2, Beans!A:A, "&gt;=2024-6-1", Beans!A:A,"&lt;2024-7-1" )</f>
        <v>0</v>
      </c>
      <c r="M2" s="11">
        <f>COUNTIFS(Beans!B:B, A2, Beans!A:A, "&gt;=2024-7-1", Beans!A:A,"&lt;2024-8-1" )</f>
        <v>0</v>
      </c>
      <c r="N2" s="7">
        <f>COUNTIFS(Beans!B:B, A2, Beans!A:A, "&gt;=2024-8-1", Beans!A:A,"&lt;2024-9-1" )</f>
        <v>0</v>
      </c>
      <c r="O2" s="11">
        <f>COUNTIFS(Beans!B:B, A2, Beans!A:A, "&gt;=2024-9-1", Beans!A:A,"&lt;2024-10-1" )</f>
        <v>1</v>
      </c>
      <c r="P2" s="11">
        <f>COUNTIFS(Beans!B:B, A2, Beans!A:A, "&gt;=2024-10-1", Beans!A:A,"&lt;2024-11-1" )</f>
        <v>0</v>
      </c>
      <c r="Q2" s="7">
        <f>COUNTIFS(Beans!B:B, A2, Beans!A:A, "&gt;=2024-11-1", Beans!A:A,"&lt;2024-12-1" )</f>
        <v>1</v>
      </c>
      <c r="R2" s="15">
        <f>COUNTIFS(Beans!B:B, A2, Beans!A:A, "&gt;=2024-12-1", Beans!A:A,"&lt;2025-1-1" )</f>
        <v>0</v>
      </c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 t="shared" si="1"/>
        <v>31</v>
      </c>
      <c r="F3" s="12">
        <f>IF(E2+E3 = 0, "n/a", E3/(E2+E3))</f>
        <v>0.8857142857</v>
      </c>
      <c r="G3" s="11">
        <f>COUNTIFS(Beans!B:B, A3, Beans!A:A, "&gt;=2024-1-1", Beans!A:A,"&lt;2024-2-1" )</f>
        <v>9</v>
      </c>
      <c r="H3" s="7">
        <f>COUNTIFS(Beans!B:B, A3, Beans!A:A, "&gt;=2024-2-1", Beans!A:A,"&lt;2024-3-1" )</f>
        <v>1</v>
      </c>
      <c r="I3" s="11">
        <f>COUNTIFS(Beans!B:B, A3, Beans!A:A, "&gt;=2024-3-1", Beans!A:A,"&lt;2024-4-1" )</f>
        <v>6</v>
      </c>
      <c r="J3" s="11">
        <f>COUNTIFS(Beans!B:B, A3, Beans!A:A, "&gt;=2024-4-1", Beans!A:A,"&lt;2024-5-1" )</f>
        <v>2</v>
      </c>
      <c r="K3" s="7">
        <f>COUNTIFS(Beans!B:B, A3, Beans!A:A, "&gt;=2024-5-1", Beans!A:A,"&lt;2024-6-1" )</f>
        <v>5</v>
      </c>
      <c r="L3" s="11">
        <f>COUNTIFS(Beans!B:B, A3, Beans!A:A, "&gt;=2024-6-1", Beans!A:A,"&lt;2024-7-1" )</f>
        <v>1</v>
      </c>
      <c r="M3" s="11">
        <f>COUNTIFS(Beans!B:B, A3, Beans!A:A, "&gt;=2024-7-1", Beans!A:A,"&lt;2024-8-1" )</f>
        <v>2</v>
      </c>
      <c r="N3" s="7">
        <f>COUNTIFS(Beans!B:B, A3, Beans!A:A, "&gt;=2024-8-1", Beans!A:A,"&lt;2024-9-1" )</f>
        <v>2</v>
      </c>
      <c r="O3" s="11">
        <f>COUNTIFS(Beans!B:B, A3, Beans!A:A, "&gt;=2024-9-1", Beans!A:A,"&lt;2024-10-1" )</f>
        <v>1</v>
      </c>
      <c r="P3" s="11">
        <f>COUNTIFS(Beans!B:B, A3, Beans!A:A, "&gt;=2024-10-1", Beans!A:A,"&lt;2024-11-1" )</f>
        <v>0</v>
      </c>
      <c r="Q3" s="7">
        <f>COUNTIFS(Beans!B:B, A3, Beans!A:A, "&gt;=2024-11-1", Beans!A:A,"&lt;2024-12-1" )</f>
        <v>0</v>
      </c>
      <c r="R3" s="15">
        <f>COUNTIFS(Beans!B:B, A3, Beans!A:A, "&gt;=2024-12-1", Beans!A:A,"&lt;2025-1-1" )</f>
        <v>2</v>
      </c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 t="shared" si="1"/>
        <v>6</v>
      </c>
      <c r="F4" s="12">
        <f>IF(E4+E5 = 0, "n/a", E4/(E4+E5))</f>
        <v>0.1714285714</v>
      </c>
      <c r="G4" s="11">
        <f>COUNTIFS(Beans!B:B, A4, Beans!A:A, "&gt;=2024-1-1", Beans!A:A,"&lt;2024-2-1" )</f>
        <v>1</v>
      </c>
      <c r="H4" s="7">
        <f>COUNTIFS(Beans!B:B, A4, Beans!A:A, "&gt;=2024-2-1", Beans!A:A,"&lt;2024-3-1" )</f>
        <v>0</v>
      </c>
      <c r="I4" s="11">
        <f>COUNTIFS(Beans!B:B, A4, Beans!A:A, "&gt;=2024-3-1", Beans!A:A,"&lt;2024-4-1" )</f>
        <v>2</v>
      </c>
      <c r="J4" s="11">
        <f>COUNTIFS(Beans!B:B, A4, Beans!A:A, "&gt;=2024-4-1", Beans!A:A,"&lt;2024-5-1" )</f>
        <v>0</v>
      </c>
      <c r="K4" s="7">
        <f>COUNTIFS(Beans!B:B, A4, Beans!A:A, "&gt;=2024-5-1", Beans!A:A,"&lt;2024-6-1" )</f>
        <v>1</v>
      </c>
      <c r="L4" s="11">
        <f>COUNTIFS(Beans!B:B, A4, Beans!A:A, "&gt;=2024-6-1", Beans!A:A,"&lt;2024-7-1" )</f>
        <v>1</v>
      </c>
      <c r="M4" s="11">
        <f>COUNTIFS(Beans!B:B, A4, Beans!A:A, "&gt;=2024-7-1", Beans!A:A,"&lt;2024-8-1" )</f>
        <v>0</v>
      </c>
      <c r="N4" s="7">
        <f>COUNTIFS(Beans!B:B, A4, Beans!A:A, "&gt;=2024-8-1", Beans!A:A,"&lt;2024-9-1" )</f>
        <v>1</v>
      </c>
      <c r="O4" s="11">
        <f>COUNTIFS(Beans!B:B, A4, Beans!A:A, "&gt;=2024-9-1", Beans!A:A,"&lt;2024-10-1" )</f>
        <v>0</v>
      </c>
      <c r="P4" s="11">
        <f>COUNTIFS(Beans!B:B, A4, Beans!A:A, "&gt;=2024-10-1", Beans!A:A,"&lt;2024-11-1" )</f>
        <v>0</v>
      </c>
      <c r="Q4" s="7">
        <f>COUNTIFS(Beans!B:B, A4, Beans!A:A, "&gt;=2024-11-1", Beans!A:A,"&lt;2024-12-1" )</f>
        <v>0</v>
      </c>
      <c r="R4" s="15">
        <f>COUNTIFS(Beans!B:B, A4, Beans!A:A, "&gt;=2024-12-1", Beans!A:A,"&lt;2025-1-1" )</f>
        <v>0</v>
      </c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 t="shared" si="1"/>
        <v>29</v>
      </c>
      <c r="F5" s="12">
        <f>IF(E4+E5 = 0, "n/a", E5/(E4+E5))</f>
        <v>0.8285714286</v>
      </c>
      <c r="G5" s="11">
        <f>COUNTIFS(Beans!B:B, A5, Beans!A:A, "&gt;=2024-1-1", Beans!A:A,"&lt;2024-2-1" )</f>
        <v>2</v>
      </c>
      <c r="H5" s="7">
        <f>COUNTIFS(Beans!B:B, A5, Beans!A:A, "&gt;=2024-2-1", Beans!A:A,"&lt;2024-3-1" )</f>
        <v>2</v>
      </c>
      <c r="I5" s="11">
        <f>COUNTIFS(Beans!B:B, A5, Beans!A:A, "&gt;=2024-3-1", Beans!A:A,"&lt;2024-4-1" )</f>
        <v>2</v>
      </c>
      <c r="J5" s="11">
        <f>COUNTIFS(Beans!B:B, A5, Beans!A:A, "&gt;=2024-4-1", Beans!A:A,"&lt;2024-5-1" )</f>
        <v>4</v>
      </c>
      <c r="K5" s="7">
        <f>COUNTIFS(Beans!B:B, A5, Beans!A:A, "&gt;=2024-5-1", Beans!A:A,"&lt;2024-6-1" )</f>
        <v>3</v>
      </c>
      <c r="L5" s="11">
        <f>COUNTIFS(Beans!B:B, A5, Beans!A:A, "&gt;=2024-6-1", Beans!A:A,"&lt;2024-7-1" )</f>
        <v>2</v>
      </c>
      <c r="M5" s="11">
        <f>COUNTIFS(Beans!B:B, A5, Beans!A:A, "&gt;=2024-7-1", Beans!A:A,"&lt;2024-8-1" )</f>
        <v>1</v>
      </c>
      <c r="N5" s="7">
        <f>COUNTIFS(Beans!B:B, A5, Beans!A:A, "&gt;=2024-8-1", Beans!A:A,"&lt;2024-9-1" )</f>
        <v>5</v>
      </c>
      <c r="O5" s="11">
        <f>COUNTIFS(Beans!B:B, A5, Beans!A:A, "&gt;=2024-9-1", Beans!A:A,"&lt;2024-10-1" )</f>
        <v>0</v>
      </c>
      <c r="P5" s="11">
        <f>COUNTIFS(Beans!B:B, A5, Beans!A:A, "&gt;=2024-10-1", Beans!A:A,"&lt;2024-11-1" )</f>
        <v>2</v>
      </c>
      <c r="Q5" s="7">
        <f>COUNTIFS(Beans!B:B, A5, Beans!A:A, "&gt;=2024-11-1", Beans!A:A,"&lt;2024-12-1" )</f>
        <v>5</v>
      </c>
      <c r="R5" s="15">
        <f>COUNTIFS(Beans!B:B, A5, Beans!A:A, "&gt;=2024-12-1", Beans!A:A,"&lt;2025-1-1" )</f>
        <v>1</v>
      </c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 t="shared" si="1"/>
        <v>2</v>
      </c>
      <c r="F6" s="12">
        <f>IF(E6+E7 = 0, "n/a", E6/(E6+E7))</f>
        <v>0.5</v>
      </c>
      <c r="G6" s="11">
        <f>COUNTIFS(Beans!B:B, A6, Beans!A:A, "&gt;=2024-1-1", Beans!A:A,"&lt;2024-2-1" )</f>
        <v>0</v>
      </c>
      <c r="H6" s="7">
        <f>COUNTIFS(Beans!B:B, A6, Beans!A:A, "&gt;=2024-2-1", Beans!A:A,"&lt;2024-3-1" )</f>
        <v>0</v>
      </c>
      <c r="I6" s="11">
        <f>COUNTIFS(Beans!B:B, A6, Beans!A:A, "&gt;=2024-3-1", Beans!A:A,"&lt;2024-4-1" )</f>
        <v>0</v>
      </c>
      <c r="J6" s="11">
        <f>COUNTIFS(Beans!B:B, A6, Beans!A:A, "&gt;=2024-4-1", Beans!A:A,"&lt;2024-5-1" )</f>
        <v>0</v>
      </c>
      <c r="K6" s="7">
        <f>COUNTIFS(Beans!B:B, A6, Beans!A:A, "&gt;=2024-5-1", Beans!A:A,"&lt;2024-6-1" )</f>
        <v>0</v>
      </c>
      <c r="L6" s="11">
        <f>COUNTIFS(Beans!B:B, A6, Beans!A:A, "&gt;=2024-6-1", Beans!A:A,"&lt;2024-7-1" )</f>
        <v>0</v>
      </c>
      <c r="M6" s="11">
        <f>COUNTIFS(Beans!B:B, A6, Beans!A:A, "&gt;=2024-7-1", Beans!A:A,"&lt;2024-8-1" )</f>
        <v>1</v>
      </c>
      <c r="N6" s="7">
        <f>COUNTIFS(Beans!B:B, A6, Beans!A:A, "&gt;=2024-8-1", Beans!A:A,"&lt;2024-9-1" )</f>
        <v>0</v>
      </c>
      <c r="O6" s="11">
        <f>COUNTIFS(Beans!B:B, A6, Beans!A:A, "&gt;=2024-9-1", Beans!A:A,"&lt;2024-10-1" )</f>
        <v>0</v>
      </c>
      <c r="P6" s="11">
        <f>COUNTIFS(Beans!B:B, A6, Beans!A:A, "&gt;=2024-10-1", Beans!A:A,"&lt;2024-11-1" )</f>
        <v>0</v>
      </c>
      <c r="Q6" s="7">
        <f>COUNTIFS(Beans!B:B, A6, Beans!A:A, "&gt;=2024-11-1", Beans!A:A,"&lt;2024-12-1" )</f>
        <v>1</v>
      </c>
      <c r="R6" s="15">
        <f>COUNTIFS(Beans!B:B, A6, Beans!A:A, "&gt;=2024-12-1", Beans!A:A,"&lt;2025-1-1" )</f>
        <v>0</v>
      </c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 t="shared" si="1"/>
        <v>2</v>
      </c>
      <c r="F7" s="12">
        <f>IF(E6+E7 = 0, "n/a", E7/(E6+E7))</f>
        <v>0.5</v>
      </c>
      <c r="G7" s="11">
        <f>COUNTIFS(Beans!B:B, A7, Beans!A:A, "&gt;=2024-1-1", Beans!A:A,"&lt;2024-2-1" )</f>
        <v>0</v>
      </c>
      <c r="H7" s="7">
        <f>COUNTIFS(Beans!B:B, A7, Beans!A:A, "&gt;=2024-2-1", Beans!A:A,"&lt;2024-3-1" )</f>
        <v>0</v>
      </c>
      <c r="I7" s="11">
        <f>COUNTIFS(Beans!B:B, A7, Beans!A:A, "&gt;=2024-3-1", Beans!A:A,"&lt;2024-4-1" )</f>
        <v>1</v>
      </c>
      <c r="J7" s="11">
        <f>COUNTIFS(Beans!B:B, A7, Beans!A:A, "&gt;=2024-4-1", Beans!A:A,"&lt;2024-5-1" )</f>
        <v>0</v>
      </c>
      <c r="K7" s="7">
        <f>COUNTIFS(Beans!B:B, A7, Beans!A:A, "&gt;=2024-5-1", Beans!A:A,"&lt;2024-6-1" )</f>
        <v>0</v>
      </c>
      <c r="L7" s="11">
        <f>COUNTIFS(Beans!B:B, A7, Beans!A:A, "&gt;=2024-6-1", Beans!A:A,"&lt;2024-7-1" )</f>
        <v>0</v>
      </c>
      <c r="M7" s="11">
        <f>COUNTIFS(Beans!B:B, A7, Beans!A:A, "&gt;=2024-7-1", Beans!A:A,"&lt;2024-8-1" )</f>
        <v>0</v>
      </c>
      <c r="N7" s="7">
        <f>COUNTIFS(Beans!B:B, A7, Beans!A:A, "&gt;=2024-8-1", Beans!A:A,"&lt;2024-9-1" )</f>
        <v>0</v>
      </c>
      <c r="O7" s="11">
        <f>COUNTIFS(Beans!B:B, A7, Beans!A:A, "&gt;=2024-9-1", Beans!A:A,"&lt;2024-10-1" )</f>
        <v>0</v>
      </c>
      <c r="P7" s="11">
        <f>COUNTIFS(Beans!B:B, A7, Beans!A:A, "&gt;=2024-10-1", Beans!A:A,"&lt;2024-11-1" )</f>
        <v>0</v>
      </c>
      <c r="Q7" s="7">
        <f>COUNTIFS(Beans!B:B, A7, Beans!A:A, "&gt;=2024-11-1", Beans!A:A,"&lt;2024-12-1" )</f>
        <v>1</v>
      </c>
      <c r="R7" s="15">
        <f>COUNTIFS(Beans!B:B, A7, Beans!A:A, "&gt;=2024-12-1", Beans!A:A,"&lt;2025-1-1" )</f>
        <v>0</v>
      </c>
    </row>
    <row r="8" ht="30.0" customHeight="1">
      <c r="A8" s="9" t="s">
        <v>53</v>
      </c>
      <c r="B8" s="6" t="s">
        <v>16</v>
      </c>
      <c r="C8" s="10" t="s">
        <v>102</v>
      </c>
      <c r="D8" s="11" t="str">
        <f>D9</f>
        <v/>
      </c>
      <c r="E8" s="11">
        <f t="shared" si="1"/>
        <v>3</v>
      </c>
      <c r="F8" s="12">
        <f>IF(E8+E9 = 0, "n/a", E8/(E8+E9))</f>
        <v>0.09677419355</v>
      </c>
      <c r="G8" s="11">
        <f>COUNTIFS(Beans!B:B, A8, Beans!A:A, "&gt;=2024-1-1", Beans!A:A,"&lt;2024-2-1" )</f>
        <v>1</v>
      </c>
      <c r="H8" s="7">
        <f>COUNTIFS(Beans!B:B, A8, Beans!A:A, "&gt;=2024-2-1", Beans!A:A,"&lt;2024-3-1" )</f>
        <v>0</v>
      </c>
      <c r="I8" s="11">
        <f>COUNTIFS(Beans!B:B, A8, Beans!A:A, "&gt;=2024-3-1", Beans!A:A,"&lt;2024-4-1" )</f>
        <v>0</v>
      </c>
      <c r="J8" s="11">
        <f>COUNTIFS(Beans!B:B, A8, Beans!A:A, "&gt;=2024-4-1", Beans!A:A,"&lt;2024-5-1" )</f>
        <v>1</v>
      </c>
      <c r="K8" s="7">
        <f>COUNTIFS(Beans!B:B, A8, Beans!A:A, "&gt;=2024-5-1", Beans!A:A,"&lt;2024-6-1" )</f>
        <v>0</v>
      </c>
      <c r="L8" s="11">
        <f>COUNTIFS(Beans!B:B, A8, Beans!A:A, "&gt;=2024-6-1", Beans!A:A,"&lt;2024-7-1" )</f>
        <v>0</v>
      </c>
      <c r="M8" s="11">
        <f>COUNTIFS(Beans!B:B, A8, Beans!A:A, "&gt;=2024-7-1", Beans!A:A,"&lt;2024-8-1" )</f>
        <v>0</v>
      </c>
      <c r="N8" s="7">
        <f>COUNTIFS(Beans!B:B, A8, Beans!A:A, "&gt;=2024-8-1", Beans!A:A,"&lt;2024-9-1" )</f>
        <v>1</v>
      </c>
      <c r="O8" s="11">
        <f>COUNTIFS(Beans!B:B, A8, Beans!A:A, "&gt;=2024-9-1", Beans!A:A,"&lt;2024-10-1" )</f>
        <v>0</v>
      </c>
      <c r="P8" s="11">
        <f>COUNTIFS(Beans!B:B, A8, Beans!A:A, "&gt;=2024-10-1", Beans!A:A,"&lt;2024-11-1" )</f>
        <v>0</v>
      </c>
      <c r="Q8" s="7">
        <f>COUNTIFS(Beans!B:B, A8, Beans!A:A, "&gt;=2024-11-1", Beans!A:A,"&lt;2024-12-1" )</f>
        <v>0</v>
      </c>
      <c r="R8" s="15">
        <f>COUNTIFS(Beans!B:B, A8, Beans!A:A, "&gt;=2024-12-1", Beans!A:A,"&lt;2025-1-1" )</f>
        <v>0</v>
      </c>
    </row>
    <row r="9" ht="30.0" customHeight="1">
      <c r="A9" s="9" t="s">
        <v>14</v>
      </c>
      <c r="B9" s="6" t="s">
        <v>21</v>
      </c>
      <c r="C9" s="10" t="s">
        <v>102</v>
      </c>
      <c r="D9" s="11"/>
      <c r="E9" s="11">
        <f t="shared" si="1"/>
        <v>28</v>
      </c>
      <c r="F9" s="12">
        <f>IF(E8+E9 = 0, "n/a", E9/(E8+E9))</f>
        <v>0.9032258065</v>
      </c>
      <c r="G9" s="11">
        <f>COUNTIFS(Beans!B:B, A9, Beans!A:A, "&gt;=2024-1-1", Beans!A:A,"&lt;2024-2-1" )</f>
        <v>11</v>
      </c>
      <c r="H9" s="7">
        <f>COUNTIFS(Beans!B:B, A9, Beans!A:A, "&gt;=2024-2-1", Beans!A:A,"&lt;2024-3-1" )</f>
        <v>1</v>
      </c>
      <c r="I9" s="11">
        <f>COUNTIFS(Beans!B:B, A9, Beans!A:A, "&gt;=2024-3-1", Beans!A:A,"&lt;2024-4-1" )</f>
        <v>2</v>
      </c>
      <c r="J9" s="11">
        <f>COUNTIFS(Beans!B:B, A9, Beans!A:A, "&gt;=2024-4-1", Beans!A:A,"&lt;2024-5-1" )</f>
        <v>1</v>
      </c>
      <c r="K9" s="7">
        <f>COUNTIFS(Beans!B:B, A9, Beans!A:A, "&gt;=2024-5-1", Beans!A:A,"&lt;2024-6-1" )</f>
        <v>4</v>
      </c>
      <c r="L9" s="11">
        <f>COUNTIFS(Beans!B:B, A9, Beans!A:A, "&gt;=2024-6-1", Beans!A:A,"&lt;2024-7-1" )</f>
        <v>2</v>
      </c>
      <c r="M9" s="11">
        <f>COUNTIFS(Beans!B:B, A9, Beans!A:A, "&gt;=2024-7-1", Beans!A:A,"&lt;2024-8-1" )</f>
        <v>1</v>
      </c>
      <c r="N9" s="7">
        <f>COUNTIFS(Beans!B:B, A9, Beans!A:A, "&gt;=2024-8-1", Beans!A:A,"&lt;2024-9-1" )</f>
        <v>4</v>
      </c>
      <c r="O9" s="11">
        <f>COUNTIFS(Beans!B:B, A9, Beans!A:A, "&gt;=2024-9-1", Beans!A:A,"&lt;2024-10-1" )</f>
        <v>2</v>
      </c>
      <c r="P9" s="11">
        <f>COUNTIFS(Beans!B:B, A9, Beans!A:A, "&gt;=2024-10-1", Beans!A:A,"&lt;2024-11-1" )</f>
        <v>0</v>
      </c>
      <c r="Q9" s="7">
        <f>COUNTIFS(Beans!B:B, A9, Beans!A:A, "&gt;=2024-11-1", Beans!A:A,"&lt;2024-12-1" )</f>
        <v>0</v>
      </c>
      <c r="R9" s="15">
        <f>COUNTIFS(Beans!B:B, A9, Beans!A:A, "&gt;=2024-12-1", Beans!A:A,"&lt;2025-1-1" )</f>
        <v>0</v>
      </c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 t="shared" si="1"/>
        <v>11</v>
      </c>
      <c r="F10" s="12">
        <f>IF(E10+E11 = 0, "n/a", E10/(E10+E11))</f>
        <v>0.22</v>
      </c>
      <c r="G10" s="11">
        <f>COUNTIFS(Beans!B:B, A10, Beans!A:A, "&gt;=2024-1-1", Beans!A:A,"&lt;2024-2-1" )</f>
        <v>1</v>
      </c>
      <c r="H10" s="7">
        <f>COUNTIFS(Beans!B:B, A10, Beans!A:A, "&gt;=2024-2-1", Beans!A:A,"&lt;2024-3-1" )</f>
        <v>2</v>
      </c>
      <c r="I10" s="11">
        <f>COUNTIFS(Beans!B:B, A10, Beans!A:A, "&gt;=2024-3-1", Beans!A:A,"&lt;2024-4-1" )</f>
        <v>1</v>
      </c>
      <c r="J10" s="11">
        <f>COUNTIFS(Beans!B:B, A10, Beans!A:A, "&gt;=2024-4-1", Beans!A:A,"&lt;2024-5-1" )</f>
        <v>0</v>
      </c>
      <c r="K10" s="7">
        <f>COUNTIFS(Beans!B:B, A10, Beans!A:A, "&gt;=2024-5-1", Beans!A:A,"&lt;2024-6-1" )</f>
        <v>1</v>
      </c>
      <c r="L10" s="11">
        <f>COUNTIFS(Beans!B:B, A10, Beans!A:A, "&gt;=2024-6-1", Beans!A:A,"&lt;2024-7-1" )</f>
        <v>0</v>
      </c>
      <c r="M10" s="11">
        <f>COUNTIFS(Beans!B:B, A10, Beans!A:A, "&gt;=2024-7-1", Beans!A:A,"&lt;2024-8-1" )</f>
        <v>0</v>
      </c>
      <c r="N10" s="7">
        <f>COUNTIFS(Beans!B:B, A10, Beans!A:A, "&gt;=2024-8-1", Beans!A:A,"&lt;2024-9-1" )</f>
        <v>2</v>
      </c>
      <c r="O10" s="11">
        <f>COUNTIFS(Beans!B:B, A10, Beans!A:A, "&gt;=2024-9-1", Beans!A:A,"&lt;2024-10-1" )</f>
        <v>3</v>
      </c>
      <c r="P10" s="11">
        <f>COUNTIFS(Beans!B:B, A10, Beans!A:A, "&gt;=2024-10-1", Beans!A:A,"&lt;2024-11-1" )</f>
        <v>0</v>
      </c>
      <c r="Q10" s="7">
        <f>COUNTIFS(Beans!B:B, A10, Beans!A:A, "&gt;=2024-11-1", Beans!A:A,"&lt;2024-12-1" )</f>
        <v>0</v>
      </c>
      <c r="R10" s="15">
        <f>COUNTIFS(Beans!B:B, A10, Beans!A:A, "&gt;=2024-12-1", Beans!A:A,"&lt;2025-1-1" )</f>
        <v>1</v>
      </c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 t="shared" si="1"/>
        <v>39</v>
      </c>
      <c r="F11" s="12">
        <f>IF(E10+E11 = 0, "n/a", E11/(E10+E11))</f>
        <v>0.78</v>
      </c>
      <c r="G11" s="11">
        <f>COUNTIFS(Beans!B:B, A11, Beans!A:A, "&gt;=2024-1-1", Beans!A:A,"&lt;2024-2-1" )</f>
        <v>2</v>
      </c>
      <c r="H11" s="7">
        <f>COUNTIFS(Beans!B:B, A11, Beans!A:A, "&gt;=2024-2-1", Beans!A:A,"&lt;2024-3-1" )</f>
        <v>2</v>
      </c>
      <c r="I11" s="11">
        <f>COUNTIFS(Beans!B:B, A11, Beans!A:A, "&gt;=2024-3-1", Beans!A:A,"&lt;2024-4-1" )</f>
        <v>4</v>
      </c>
      <c r="J11" s="11">
        <f>COUNTIFS(Beans!B:B, A11, Beans!A:A, "&gt;=2024-4-1", Beans!A:A,"&lt;2024-5-1" )</f>
        <v>4</v>
      </c>
      <c r="K11" s="7">
        <f>COUNTIFS(Beans!B:B, A11, Beans!A:A, "&gt;=2024-5-1", Beans!A:A,"&lt;2024-6-1" )</f>
        <v>2</v>
      </c>
      <c r="L11" s="11">
        <f>COUNTIFS(Beans!B:B, A11, Beans!A:A, "&gt;=2024-6-1", Beans!A:A,"&lt;2024-7-1" )</f>
        <v>0</v>
      </c>
      <c r="M11" s="11">
        <f>COUNTIFS(Beans!B:B, A11, Beans!A:A, "&gt;=2024-7-1", Beans!A:A,"&lt;2024-8-1" )</f>
        <v>0</v>
      </c>
      <c r="N11" s="7">
        <f>COUNTIFS(Beans!B:B, A11, Beans!A:A, "&gt;=2024-8-1", Beans!A:A,"&lt;2024-9-1" )</f>
        <v>7</v>
      </c>
      <c r="O11" s="11">
        <f>COUNTIFS(Beans!B:B, A11, Beans!A:A, "&gt;=2024-9-1", Beans!A:A,"&lt;2024-10-1" )</f>
        <v>4</v>
      </c>
      <c r="P11" s="11">
        <f>COUNTIFS(Beans!B:B, A11, Beans!A:A, "&gt;=2024-10-1", Beans!A:A,"&lt;2024-11-1" )</f>
        <v>3</v>
      </c>
      <c r="Q11" s="7">
        <f>COUNTIFS(Beans!B:B, A11, Beans!A:A, "&gt;=2024-11-1", Beans!A:A,"&lt;2024-12-1" )</f>
        <v>7</v>
      </c>
      <c r="R11" s="15">
        <f>COUNTIFS(Beans!B:B, A11, Beans!A:A, "&gt;=2024-12-1", Beans!A:A,"&lt;2025-1-1" )</f>
        <v>4</v>
      </c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 t="shared" si="1"/>
        <v>14</v>
      </c>
      <c r="F12" s="12">
        <f>IF(E12+E13 = 0, "n/a", E12/(E12+E13))</f>
        <v>0.2857142857</v>
      </c>
      <c r="G12" s="11">
        <f>COUNTIFS(Beans!B:B, A12, Beans!A:A, "&gt;=2024-1-1", Beans!A:A,"&lt;2024-2-1" )</f>
        <v>2</v>
      </c>
      <c r="H12" s="7">
        <f>COUNTIFS(Beans!B:B, A12, Beans!A:A, "&gt;=2024-2-1", Beans!A:A,"&lt;2024-3-1" )</f>
        <v>0</v>
      </c>
      <c r="I12" s="11">
        <f>COUNTIFS(Beans!B:B, A12, Beans!A:A, "&gt;=2024-3-1", Beans!A:A,"&lt;2024-4-1" )</f>
        <v>2</v>
      </c>
      <c r="J12" s="11">
        <f>COUNTIFS(Beans!B:B, A12, Beans!A:A, "&gt;=2024-4-1", Beans!A:A,"&lt;2024-5-1" )</f>
        <v>0</v>
      </c>
      <c r="K12" s="7">
        <f>COUNTIFS(Beans!B:B, A12, Beans!A:A, "&gt;=2024-5-1", Beans!A:A,"&lt;2024-6-1" )</f>
        <v>0</v>
      </c>
      <c r="L12" s="11">
        <f>COUNTIFS(Beans!B:B, A12, Beans!A:A, "&gt;=2024-6-1", Beans!A:A,"&lt;2024-7-1" )</f>
        <v>2</v>
      </c>
      <c r="M12" s="11">
        <f>COUNTIFS(Beans!B:B, A12, Beans!A:A, "&gt;=2024-7-1", Beans!A:A,"&lt;2024-8-1" )</f>
        <v>0</v>
      </c>
      <c r="N12" s="7">
        <f>COUNTIFS(Beans!B:B, A12, Beans!A:A, "&gt;=2024-8-1", Beans!A:A,"&lt;2024-9-1" )</f>
        <v>2</v>
      </c>
      <c r="O12" s="11">
        <f>COUNTIFS(Beans!B:B, A12, Beans!A:A, "&gt;=2024-9-1", Beans!A:A,"&lt;2024-10-1" )</f>
        <v>2</v>
      </c>
      <c r="P12" s="11">
        <f>COUNTIFS(Beans!B:B, A12, Beans!A:A, "&gt;=2024-10-1", Beans!A:A,"&lt;2024-11-1" )</f>
        <v>0</v>
      </c>
      <c r="Q12" s="7">
        <f>COUNTIFS(Beans!B:B, A12, Beans!A:A, "&gt;=2024-11-1", Beans!A:A,"&lt;2024-12-1" )</f>
        <v>4</v>
      </c>
      <c r="R12" s="15">
        <f>COUNTIFS(Beans!B:B, A12, Beans!A:A, "&gt;=2024-12-1", Beans!A:A,"&lt;2025-1-1" )</f>
        <v>0</v>
      </c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 t="shared" si="1"/>
        <v>35</v>
      </c>
      <c r="F13" s="12">
        <f>IF(E12+E13 = 0, "n/a", E13/(E12+E13))</f>
        <v>0.7142857143</v>
      </c>
      <c r="G13" s="11">
        <f>COUNTIFS(Beans!B:B, A13, Beans!A:A, "&gt;=2024-1-1", Beans!A:A,"&lt;2024-2-1" )</f>
        <v>9</v>
      </c>
      <c r="H13" s="7">
        <f>COUNTIFS(Beans!B:B, A13, Beans!A:A, "&gt;=2024-2-1", Beans!A:A,"&lt;2024-3-1" )</f>
        <v>3</v>
      </c>
      <c r="I13" s="11">
        <f>COUNTIFS(Beans!B:B, A13, Beans!A:A, "&gt;=2024-3-1", Beans!A:A,"&lt;2024-4-1" )</f>
        <v>3</v>
      </c>
      <c r="J13" s="11">
        <f>COUNTIFS(Beans!B:B, A13, Beans!A:A, "&gt;=2024-4-1", Beans!A:A,"&lt;2024-5-1" )</f>
        <v>1</v>
      </c>
      <c r="K13" s="7">
        <f>COUNTIFS(Beans!B:B, A13, Beans!A:A, "&gt;=2024-5-1", Beans!A:A,"&lt;2024-6-1" )</f>
        <v>2</v>
      </c>
      <c r="L13" s="11">
        <f>COUNTIFS(Beans!B:B, A13, Beans!A:A, "&gt;=2024-6-1", Beans!A:A,"&lt;2024-7-1" )</f>
        <v>1</v>
      </c>
      <c r="M13" s="11">
        <f>COUNTIFS(Beans!B:B, A13, Beans!A:A, "&gt;=2024-7-1", Beans!A:A,"&lt;2024-8-1" )</f>
        <v>0</v>
      </c>
      <c r="N13" s="7">
        <f>COUNTIFS(Beans!B:B, A13, Beans!A:A, "&gt;=2024-8-1", Beans!A:A,"&lt;2024-9-1" )</f>
        <v>6</v>
      </c>
      <c r="O13" s="11">
        <f>COUNTIFS(Beans!B:B, A13, Beans!A:A, "&gt;=2024-9-1", Beans!A:A,"&lt;2024-10-1" )</f>
        <v>4</v>
      </c>
      <c r="P13" s="11">
        <f>COUNTIFS(Beans!B:B, A13, Beans!A:A, "&gt;=2024-10-1", Beans!A:A,"&lt;2024-11-1" )</f>
        <v>2</v>
      </c>
      <c r="Q13" s="7">
        <f>COUNTIFS(Beans!B:B, A13, Beans!A:A, "&gt;=2024-11-1", Beans!A:A,"&lt;2024-12-1" )</f>
        <v>4</v>
      </c>
      <c r="R13" s="15">
        <f>COUNTIFS(Beans!B:B, A13, Beans!A:A, "&gt;=2024-12-1", Beans!A:A,"&lt;2025-1-1" )</f>
        <v>0</v>
      </c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 t="shared" si="1"/>
        <v>9</v>
      </c>
      <c r="F14" s="12">
        <f>IF(E14+E15 = 0, "n/a", E14/(E14+E15))</f>
        <v>0.2142857143</v>
      </c>
      <c r="G14" s="11">
        <f>COUNTIFS(Beans!B:B, A14, Beans!A:A, "&gt;=2024-1-1", Beans!A:A,"&lt;2024-2-1" )</f>
        <v>1</v>
      </c>
      <c r="H14" s="7">
        <f>COUNTIFS(Beans!B:B, A14, Beans!A:A, "&gt;=2024-2-1", Beans!A:A,"&lt;2024-3-1" )</f>
        <v>1</v>
      </c>
      <c r="I14" s="11">
        <f>COUNTIFS(Beans!B:B, A14, Beans!A:A, "&gt;=2024-3-1", Beans!A:A,"&lt;2024-4-1" )</f>
        <v>1</v>
      </c>
      <c r="J14" s="11">
        <f>COUNTIFS(Beans!B:B, A14, Beans!A:A, "&gt;=2024-4-1", Beans!A:A,"&lt;2024-5-1" )</f>
        <v>0</v>
      </c>
      <c r="K14" s="7">
        <f>COUNTIFS(Beans!B:B, A14, Beans!A:A, "&gt;=2024-5-1", Beans!A:A,"&lt;2024-6-1" )</f>
        <v>2</v>
      </c>
      <c r="L14" s="11">
        <f>COUNTIFS(Beans!B:B, A14, Beans!A:A, "&gt;=2024-6-1", Beans!A:A,"&lt;2024-7-1" )</f>
        <v>1</v>
      </c>
      <c r="M14" s="11">
        <f>COUNTIFS(Beans!B:B, A14, Beans!A:A, "&gt;=2024-7-1", Beans!A:A,"&lt;2024-8-1" )</f>
        <v>0</v>
      </c>
      <c r="N14" s="7">
        <f>COUNTIFS(Beans!B:B, A14, Beans!A:A, "&gt;=2024-8-1", Beans!A:A,"&lt;2024-9-1" )</f>
        <v>0</v>
      </c>
      <c r="O14" s="11">
        <f>COUNTIFS(Beans!B:B, A14, Beans!A:A, "&gt;=2024-9-1", Beans!A:A,"&lt;2024-10-1" )</f>
        <v>1</v>
      </c>
      <c r="P14" s="11">
        <f>COUNTIFS(Beans!B:B, A14, Beans!A:A, "&gt;=2024-10-1", Beans!A:A,"&lt;2024-11-1" )</f>
        <v>1</v>
      </c>
      <c r="Q14" s="7">
        <f>COUNTIFS(Beans!B:B, A14, Beans!A:A, "&gt;=2024-11-1", Beans!A:A,"&lt;2024-12-1" )</f>
        <v>0</v>
      </c>
      <c r="R14" s="15">
        <f>COUNTIFS(Beans!B:B, A14, Beans!A:A, "&gt;=2024-12-1", Beans!A:A,"&lt;2025-1-1" )</f>
        <v>1</v>
      </c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 t="shared" si="1"/>
        <v>33</v>
      </c>
      <c r="F15" s="12">
        <f>IF(E14+E15 = 0, "n/a", E15/(E14+E15))</f>
        <v>0.7857142857</v>
      </c>
      <c r="G15" s="11">
        <f>COUNTIFS(Beans!B:B, A15, Beans!A:A, "&gt;=2024-1-1", Beans!A:A,"&lt;2024-2-1" )</f>
        <v>2</v>
      </c>
      <c r="H15" s="7">
        <f>COUNTIFS(Beans!B:B, A15, Beans!A:A, "&gt;=2024-2-1", Beans!A:A,"&lt;2024-3-1" )</f>
        <v>6</v>
      </c>
      <c r="I15" s="11">
        <f>COUNTIFS(Beans!B:B, A15, Beans!A:A, "&gt;=2024-3-1", Beans!A:A,"&lt;2024-4-1" )</f>
        <v>1</v>
      </c>
      <c r="J15" s="11">
        <f>COUNTIFS(Beans!B:B, A15, Beans!A:A, "&gt;=2024-4-1", Beans!A:A,"&lt;2024-5-1" )</f>
        <v>5</v>
      </c>
      <c r="K15" s="7">
        <f>COUNTIFS(Beans!B:B, A15, Beans!A:A, "&gt;=2024-5-1", Beans!A:A,"&lt;2024-6-1" )</f>
        <v>3</v>
      </c>
      <c r="L15" s="11">
        <f>COUNTIFS(Beans!B:B, A15, Beans!A:A, "&gt;=2024-6-1", Beans!A:A,"&lt;2024-7-1" )</f>
        <v>2</v>
      </c>
      <c r="M15" s="11">
        <f>COUNTIFS(Beans!B:B, A15, Beans!A:A, "&gt;=2024-7-1", Beans!A:A,"&lt;2024-8-1" )</f>
        <v>1</v>
      </c>
      <c r="N15" s="7">
        <f>COUNTIFS(Beans!B:B, A15, Beans!A:A, "&gt;=2024-8-1", Beans!A:A,"&lt;2024-9-1" )</f>
        <v>4</v>
      </c>
      <c r="O15" s="11">
        <f>COUNTIFS(Beans!B:B, A15, Beans!A:A, "&gt;=2024-9-1", Beans!A:A,"&lt;2024-10-1" )</f>
        <v>1</v>
      </c>
      <c r="P15" s="11">
        <f>COUNTIFS(Beans!B:B, A15, Beans!A:A, "&gt;=2024-10-1", Beans!A:A,"&lt;2024-11-1" )</f>
        <v>2</v>
      </c>
      <c r="Q15" s="7">
        <f>COUNTIFS(Beans!B:B, A15, Beans!A:A, "&gt;=2024-11-1", Beans!A:A,"&lt;2024-12-1" )</f>
        <v>4</v>
      </c>
      <c r="R15" s="15">
        <f>COUNTIFS(Beans!B:B, A15, Beans!A:A, "&gt;=2024-12-1", Beans!A:A,"&lt;2025-1-1" )</f>
        <v>2</v>
      </c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 t="shared" si="1"/>
        <v>10</v>
      </c>
      <c r="F16" s="12">
        <f>IF(E16+E17 = 0, "n/a", E16/(E16+E17))</f>
        <v>0.2857142857</v>
      </c>
      <c r="G16" s="11">
        <f>COUNTIFS(Beans!B:B, A16, Beans!A:A, "&gt;=2024-1-1", Beans!A:A,"&lt;2024-2-1" )</f>
        <v>1</v>
      </c>
      <c r="H16" s="7">
        <f>COUNTIFS(Beans!B:B, A16, Beans!A:A, "&gt;=2024-2-1", Beans!A:A,"&lt;2024-3-1" )</f>
        <v>3</v>
      </c>
      <c r="I16" s="11">
        <f>COUNTIFS(Beans!B:B, A16, Beans!A:A, "&gt;=2024-3-1", Beans!A:A,"&lt;2024-4-1" )</f>
        <v>2</v>
      </c>
      <c r="J16" s="11">
        <f>COUNTIFS(Beans!B:B, A16, Beans!A:A, "&gt;=2024-4-1", Beans!A:A,"&lt;2024-5-1" )</f>
        <v>2</v>
      </c>
      <c r="K16" s="7">
        <f>COUNTIFS(Beans!B:B, A16, Beans!A:A, "&gt;=2024-5-1", Beans!A:A,"&lt;2024-6-1" )</f>
        <v>1</v>
      </c>
      <c r="L16" s="11">
        <f>COUNTIFS(Beans!B:B, A16, Beans!A:A, "&gt;=2024-6-1", Beans!A:A,"&lt;2024-7-1" )</f>
        <v>0</v>
      </c>
      <c r="M16" s="11">
        <f>COUNTIFS(Beans!B:B, A16, Beans!A:A, "&gt;=2024-7-1", Beans!A:A,"&lt;2024-8-1" )</f>
        <v>0</v>
      </c>
      <c r="N16" s="7">
        <f>COUNTIFS(Beans!B:B, A16, Beans!A:A, "&gt;=2024-8-1", Beans!A:A,"&lt;2024-9-1" )</f>
        <v>0</v>
      </c>
      <c r="O16" s="11">
        <f>COUNTIFS(Beans!B:B, A16, Beans!A:A, "&gt;=2024-9-1", Beans!A:A,"&lt;2024-10-1" )</f>
        <v>0</v>
      </c>
      <c r="P16" s="11">
        <f>COUNTIFS(Beans!B:B, A16, Beans!A:A, "&gt;=2024-10-1", Beans!A:A,"&lt;2024-11-1" )</f>
        <v>1</v>
      </c>
      <c r="Q16" s="7">
        <f>COUNTIFS(Beans!B:B, A16, Beans!A:A, "&gt;=2024-11-1", Beans!A:A,"&lt;2024-12-1" )</f>
        <v>0</v>
      </c>
      <c r="R16" s="15">
        <f>COUNTIFS(Beans!B:B, A16, Beans!A:A, "&gt;=2024-12-1", Beans!A:A,"&lt;2025-1-1" )</f>
        <v>0</v>
      </c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 t="shared" si="1"/>
        <v>25</v>
      </c>
      <c r="F17" s="12">
        <f>IF(E16+E17 = 0, "n/a", E17/(E16+E17))</f>
        <v>0.7142857143</v>
      </c>
      <c r="G17" s="11">
        <f>COUNTIFS(Beans!B:B, A17, Beans!A:A, "&gt;=2024-1-1", Beans!A:A,"&lt;2024-2-1" )</f>
        <v>1</v>
      </c>
      <c r="H17" s="7">
        <f>COUNTIFS(Beans!B:B, A17, Beans!A:A, "&gt;=2024-2-1", Beans!A:A,"&lt;2024-3-1" )</f>
        <v>2</v>
      </c>
      <c r="I17" s="11">
        <f>COUNTIFS(Beans!B:B, A17, Beans!A:A, "&gt;=2024-3-1", Beans!A:A,"&lt;2024-4-1" )</f>
        <v>3</v>
      </c>
      <c r="J17" s="11">
        <f>COUNTIFS(Beans!B:B, A17, Beans!A:A, "&gt;=2024-4-1", Beans!A:A,"&lt;2024-5-1" )</f>
        <v>1</v>
      </c>
      <c r="K17" s="7">
        <f>COUNTIFS(Beans!B:B, A17, Beans!A:A, "&gt;=2024-5-1", Beans!A:A,"&lt;2024-6-1" )</f>
        <v>1</v>
      </c>
      <c r="L17" s="11">
        <f>COUNTIFS(Beans!B:B, A17, Beans!A:A, "&gt;=2024-6-1", Beans!A:A,"&lt;2024-7-1" )</f>
        <v>0</v>
      </c>
      <c r="M17" s="11">
        <f>COUNTIFS(Beans!B:B, A17, Beans!A:A, "&gt;=2024-7-1", Beans!A:A,"&lt;2024-8-1" )</f>
        <v>2</v>
      </c>
      <c r="N17" s="7">
        <f>COUNTIFS(Beans!B:B, A17, Beans!A:A, "&gt;=2024-8-1", Beans!A:A,"&lt;2024-9-1" )</f>
        <v>5</v>
      </c>
      <c r="O17" s="11">
        <f>COUNTIFS(Beans!B:B, A17, Beans!A:A, "&gt;=2024-9-1", Beans!A:A,"&lt;2024-10-1" )</f>
        <v>2</v>
      </c>
      <c r="P17" s="11">
        <f>COUNTIFS(Beans!B:B, A17, Beans!A:A, "&gt;=2024-10-1", Beans!A:A,"&lt;2024-11-1" )</f>
        <v>1</v>
      </c>
      <c r="Q17" s="7">
        <f>COUNTIFS(Beans!B:B, A17, Beans!A:A, "&gt;=2024-11-1", Beans!A:A,"&lt;2024-12-1" )</f>
        <v>4</v>
      </c>
      <c r="R17" s="15">
        <f>COUNTIFS(Beans!B:B, A17, Beans!A:A, "&gt;=2024-12-1", Beans!A:A,"&lt;2025-1-1" )</f>
        <v>3</v>
      </c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 t="shared" si="1"/>
        <v>11</v>
      </c>
      <c r="F18" s="12">
        <f>IF(E18+E19 = 0, "n/a", E18/(E18+E19))</f>
        <v>0.2972972973</v>
      </c>
      <c r="G18" s="11">
        <f>COUNTIFS(Beans!B:B, A18, Beans!A:A, "&gt;=2024-1-1", Beans!A:A,"&lt;2024-2-1" )</f>
        <v>2</v>
      </c>
      <c r="H18" s="7">
        <f>COUNTIFS(Beans!B:B, A18, Beans!A:A, "&gt;=2024-2-1", Beans!A:A,"&lt;2024-3-1" )</f>
        <v>0</v>
      </c>
      <c r="I18" s="11">
        <f>COUNTIFS(Beans!B:B, A18, Beans!A:A, "&gt;=2024-3-1", Beans!A:A,"&lt;2024-4-1" )</f>
        <v>1</v>
      </c>
      <c r="J18" s="11">
        <f>COUNTIFS(Beans!B:B, A18, Beans!A:A, "&gt;=2024-4-1", Beans!A:A,"&lt;2024-5-1" )</f>
        <v>1</v>
      </c>
      <c r="K18" s="7">
        <f>COUNTIFS(Beans!B:B, A18, Beans!A:A, "&gt;=2024-5-1", Beans!A:A,"&lt;2024-6-1" )</f>
        <v>0</v>
      </c>
      <c r="L18" s="11">
        <f>COUNTIFS(Beans!B:B, A18, Beans!A:A, "&gt;=2024-6-1", Beans!A:A,"&lt;2024-7-1" )</f>
        <v>0</v>
      </c>
      <c r="M18" s="11">
        <f>COUNTIFS(Beans!B:B, A18, Beans!A:A, "&gt;=2024-7-1", Beans!A:A,"&lt;2024-8-1" )</f>
        <v>0</v>
      </c>
      <c r="N18" s="7">
        <f>COUNTIFS(Beans!B:B, A18, Beans!A:A, "&gt;=2024-8-1", Beans!A:A,"&lt;2024-9-1" )</f>
        <v>1</v>
      </c>
      <c r="O18" s="11">
        <f>COUNTIFS(Beans!B:B, A18, Beans!A:A, "&gt;=2024-9-1", Beans!A:A,"&lt;2024-10-1" )</f>
        <v>2</v>
      </c>
      <c r="P18" s="11">
        <f>COUNTIFS(Beans!B:B, A18, Beans!A:A, "&gt;=2024-10-1", Beans!A:A,"&lt;2024-11-1" )</f>
        <v>1</v>
      </c>
      <c r="Q18" s="7">
        <f>COUNTIFS(Beans!B:B, A18, Beans!A:A, "&gt;=2024-11-1", Beans!A:A,"&lt;2024-12-1" )</f>
        <v>2</v>
      </c>
      <c r="R18" s="15">
        <f>COUNTIFS(Beans!B:B, A18, Beans!A:A, "&gt;=2024-12-1", Beans!A:A,"&lt;2025-1-1" )</f>
        <v>1</v>
      </c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 t="shared" si="1"/>
        <v>26</v>
      </c>
      <c r="F19" s="12">
        <f>IF(E18+E19 = 0, "n/a", E19/(E18+E19))</f>
        <v>0.7027027027</v>
      </c>
      <c r="G19" s="11">
        <f>COUNTIFS(Beans!B:B, A19, Beans!A:A, "&gt;=2024-1-1", Beans!A:A,"&lt;2024-2-1" )</f>
        <v>2</v>
      </c>
      <c r="H19" s="7">
        <f>COUNTIFS(Beans!B:B, A19, Beans!A:A, "&gt;=2024-2-1", Beans!A:A,"&lt;2024-3-1" )</f>
        <v>1</v>
      </c>
      <c r="I19" s="11">
        <f>COUNTIFS(Beans!B:B, A19, Beans!A:A, "&gt;=2024-3-1", Beans!A:A,"&lt;2024-4-1" )</f>
        <v>4</v>
      </c>
      <c r="J19" s="11">
        <f>COUNTIFS(Beans!B:B, A19, Beans!A:A, "&gt;=2024-4-1", Beans!A:A,"&lt;2024-5-1" )</f>
        <v>1</v>
      </c>
      <c r="K19" s="7">
        <f>COUNTIFS(Beans!B:B, A19, Beans!A:A, "&gt;=2024-5-1", Beans!A:A,"&lt;2024-6-1" )</f>
        <v>3</v>
      </c>
      <c r="L19" s="11">
        <f>COUNTIFS(Beans!B:B, A19, Beans!A:A, "&gt;=2024-6-1", Beans!A:A,"&lt;2024-7-1" )</f>
        <v>0</v>
      </c>
      <c r="M19" s="11">
        <f>COUNTIFS(Beans!B:B, A19, Beans!A:A, "&gt;=2024-7-1", Beans!A:A,"&lt;2024-8-1" )</f>
        <v>1</v>
      </c>
      <c r="N19" s="7">
        <f>COUNTIFS(Beans!B:B, A19, Beans!A:A, "&gt;=2024-8-1", Beans!A:A,"&lt;2024-9-1" )</f>
        <v>5</v>
      </c>
      <c r="O19" s="11">
        <f>COUNTIFS(Beans!B:B, A19, Beans!A:A, "&gt;=2024-9-1", Beans!A:A,"&lt;2024-10-1" )</f>
        <v>1</v>
      </c>
      <c r="P19" s="11">
        <f>COUNTIFS(Beans!B:B, A19, Beans!A:A, "&gt;=2024-10-1", Beans!A:A,"&lt;2024-11-1" )</f>
        <v>0</v>
      </c>
      <c r="Q19" s="7">
        <f>COUNTIFS(Beans!B:B, A19, Beans!A:A, "&gt;=2024-11-1", Beans!A:A,"&lt;2024-12-1" )</f>
        <v>5</v>
      </c>
      <c r="R19" s="15">
        <f>COUNTIFS(Beans!B:B, A19, Beans!A:A, "&gt;=2024-12-1", Beans!A:A,"&lt;2025-1-1" )</f>
        <v>3</v>
      </c>
    </row>
    <row r="20" ht="47.25" customHeight="1">
      <c r="A20" s="9" t="s">
        <v>67</v>
      </c>
      <c r="B20" s="6" t="s">
        <v>16</v>
      </c>
      <c r="C20" s="10" t="s">
        <v>35</v>
      </c>
      <c r="D20" s="11" t="str">
        <f>D21</f>
        <v/>
      </c>
      <c r="E20" s="11">
        <f t="shared" si="1"/>
        <v>13</v>
      </c>
      <c r="F20" s="12">
        <f>IF(E20+E21 = 0, "n/a", E20/(E20+E21))</f>
        <v>0.2765957447</v>
      </c>
      <c r="G20" s="11">
        <f>COUNTIFS(Beans!B:B, A20, Beans!A:A, "&gt;=2024-1-1", Beans!A:A,"&lt;2024-2-1" )</f>
        <v>2</v>
      </c>
      <c r="H20" s="7">
        <f>COUNTIFS(Beans!B:B, A20, Beans!A:A, "&gt;=2024-2-1", Beans!A:A,"&lt;2024-3-1" )</f>
        <v>2</v>
      </c>
      <c r="I20" s="11">
        <f>COUNTIFS(Beans!B:B, A20, Beans!A:A, "&gt;=2024-3-1", Beans!A:A,"&lt;2024-4-1" )</f>
        <v>1</v>
      </c>
      <c r="J20" s="11">
        <f>COUNTIFS(Beans!B:B, A20, Beans!A:A, "&gt;=2024-4-1", Beans!A:A,"&lt;2024-5-1" )</f>
        <v>1</v>
      </c>
      <c r="K20" s="7">
        <f>COUNTIFS(Beans!B:B, A20, Beans!A:A, "&gt;=2024-5-1", Beans!A:A,"&lt;2024-6-1" )</f>
        <v>1</v>
      </c>
      <c r="L20" s="11">
        <f>COUNTIFS(Beans!B:B, A20, Beans!A:A, "&gt;=2024-6-1", Beans!A:A,"&lt;2024-7-1" )</f>
        <v>1</v>
      </c>
      <c r="M20" s="11">
        <f>COUNTIFS(Beans!B:B, A20, Beans!A:A, "&gt;=2024-7-1", Beans!A:A,"&lt;2024-8-1" )</f>
        <v>0</v>
      </c>
      <c r="N20" s="7">
        <f>COUNTIFS(Beans!B:B, A20, Beans!A:A, "&gt;=2024-8-1", Beans!A:A,"&lt;2024-9-1" )</f>
        <v>0</v>
      </c>
      <c r="O20" s="11">
        <f>COUNTIFS(Beans!B:B, A20, Beans!A:A, "&gt;=2024-9-1", Beans!A:A,"&lt;2024-10-1" )</f>
        <v>0</v>
      </c>
      <c r="P20" s="11">
        <f>COUNTIFS(Beans!B:B, A20, Beans!A:A, "&gt;=2024-10-1", Beans!A:A,"&lt;2024-11-1" )</f>
        <v>0</v>
      </c>
      <c r="Q20" s="7">
        <f>COUNTIFS(Beans!B:B, A20, Beans!A:A, "&gt;=2024-11-1", Beans!A:A,"&lt;2024-12-1" )</f>
        <v>3</v>
      </c>
      <c r="R20" s="15">
        <f>COUNTIFS(Beans!B:B, A20, Beans!A:A, "&gt;=2024-12-1", Beans!A:A,"&lt;2025-1-1" )</f>
        <v>2</v>
      </c>
    </row>
    <row r="21" ht="49.5" customHeight="1">
      <c r="A21" s="9" t="s">
        <v>72</v>
      </c>
      <c r="B21" s="6" t="s">
        <v>21</v>
      </c>
      <c r="C21" s="10" t="s">
        <v>35</v>
      </c>
      <c r="D21" s="11"/>
      <c r="E21" s="11">
        <f t="shared" si="1"/>
        <v>34</v>
      </c>
      <c r="F21" s="12">
        <f>IF(E20+E21 = 0, "n/a", E21/(E20+E21))</f>
        <v>0.7234042553</v>
      </c>
      <c r="G21" s="11">
        <f>COUNTIFS(Beans!B:B, A21, Beans!A:A, "&gt;=2024-1-1", Beans!A:A,"&lt;2024-2-1" )</f>
        <v>2</v>
      </c>
      <c r="H21" s="7">
        <f>COUNTIFS(Beans!B:B, A21, Beans!A:A, "&gt;=2024-2-1", Beans!A:A,"&lt;2024-3-1" )</f>
        <v>2</v>
      </c>
      <c r="I21" s="11">
        <f>COUNTIFS(Beans!B:B, A21, Beans!A:A, "&gt;=2024-3-1", Beans!A:A,"&lt;2024-4-1" )</f>
        <v>4</v>
      </c>
      <c r="J21" s="11">
        <f>COUNTIFS(Beans!B:B, A21, Beans!A:A, "&gt;=2024-4-1", Beans!A:A,"&lt;2024-5-1" )</f>
        <v>3</v>
      </c>
      <c r="K21" s="7">
        <f>COUNTIFS(Beans!B:B, A21, Beans!A:A, "&gt;=2024-5-1", Beans!A:A,"&lt;2024-6-1" )</f>
        <v>1</v>
      </c>
      <c r="L21" s="11">
        <f>COUNTIFS(Beans!B:B, A21, Beans!A:A, "&gt;=2024-6-1", Beans!A:A,"&lt;2024-7-1" )</f>
        <v>1</v>
      </c>
      <c r="M21" s="11">
        <f>COUNTIFS(Beans!B:B, A21, Beans!A:A, "&gt;=2024-7-1", Beans!A:A,"&lt;2024-8-1" )</f>
        <v>3</v>
      </c>
      <c r="N21" s="7">
        <f>COUNTIFS(Beans!B:B, A21, Beans!A:A, "&gt;=2024-8-1", Beans!A:A,"&lt;2024-9-1" )</f>
        <v>7</v>
      </c>
      <c r="O21" s="11">
        <f>COUNTIFS(Beans!B:B, A21, Beans!A:A, "&gt;=2024-9-1", Beans!A:A,"&lt;2024-10-1" )</f>
        <v>3</v>
      </c>
      <c r="P21" s="11">
        <f>COUNTIFS(Beans!B:B, A21, Beans!A:A, "&gt;=2024-10-1", Beans!A:A,"&lt;2024-11-1" )</f>
        <v>4</v>
      </c>
      <c r="Q21" s="7">
        <f>COUNTIFS(Beans!B:B, A21, Beans!A:A, "&gt;=2024-11-1", Beans!A:A,"&lt;2024-12-1" )</f>
        <v>3</v>
      </c>
      <c r="R21" s="15">
        <f>COUNTIFS(Beans!B:B, A21, Beans!A:A, "&gt;=2024-12-1", Beans!A:A,"&lt;2025-1-1" )</f>
        <v>1</v>
      </c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 t="shared" si="1"/>
        <v>0</v>
      </c>
      <c r="F22" s="12" t="str">
        <f>IF(E22+E23 = 0, "n/a", E22/(E22+E23))</f>
        <v>n/a</v>
      </c>
      <c r="G22" s="11">
        <f>COUNTIFS(Beans!B:B, A22, Beans!A:A, "&gt;=2024-1-1", Beans!A:A,"&lt;2024-2-1" )</f>
        <v>0</v>
      </c>
      <c r="H22" s="7">
        <f>COUNTIFS(Beans!B:B, A22, Beans!A:A, "&gt;=2024-2-1", Beans!A:A,"&lt;2024-3-1" )</f>
        <v>0</v>
      </c>
      <c r="I22" s="11">
        <f>COUNTIFS(Beans!B:B, A22, Beans!A:A, "&gt;=2024-3-1", Beans!A:A,"&lt;2024-4-1" )</f>
        <v>0</v>
      </c>
      <c r="J22" s="11">
        <f>COUNTIFS(Beans!B:B, A22, Beans!A:A, "&gt;=2024-4-1", Beans!A:A,"&lt;2024-5-1" )</f>
        <v>0</v>
      </c>
      <c r="K22" s="7">
        <f>COUNTIFS(Beans!B:B, A22, Beans!A:A, "&gt;=2024-5-1", Beans!A:A,"&lt;2024-6-1" )</f>
        <v>0</v>
      </c>
      <c r="L22" s="11">
        <f>COUNTIFS(Beans!B:B, A22, Beans!A:A, "&gt;=2024-6-1", Beans!A:A,"&lt;2024-7-1" )</f>
        <v>0</v>
      </c>
      <c r="M22" s="11">
        <f>COUNTIFS(Beans!B:B, A22, Beans!A:A, "&gt;=2024-7-1", Beans!A:A,"&lt;2024-8-1" )</f>
        <v>0</v>
      </c>
      <c r="N22" s="7">
        <f>COUNTIFS(Beans!B:B, A22, Beans!A:A, "&gt;=2024-8-1", Beans!A:A,"&lt;2024-9-1" )</f>
        <v>0</v>
      </c>
      <c r="O22" s="11">
        <f>COUNTIFS(Beans!B:B, A22, Beans!A:A, "&gt;=2024-9-1", Beans!A:A,"&lt;2024-10-1" )</f>
        <v>0</v>
      </c>
      <c r="P22" s="11">
        <f>COUNTIFS(Beans!B:B, A22, Beans!A:A, "&gt;=2024-10-1", Beans!A:A,"&lt;2024-11-1" )</f>
        <v>0</v>
      </c>
      <c r="Q22" s="7">
        <f>COUNTIFS(Beans!B:B, A22, Beans!A:A, "&gt;=2024-11-1", Beans!A:A,"&lt;2024-12-1" )</f>
        <v>0</v>
      </c>
      <c r="R22" s="15">
        <f>COUNTIFS(Beans!B:B, A22, Beans!A:A, "&gt;=2024-12-1", Beans!A:A,"&lt;2025-1-1" )</f>
        <v>0</v>
      </c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 t="shared" si="1"/>
        <v>0</v>
      </c>
      <c r="F23" s="12" t="str">
        <f>IF(E22+E23 = 0, "n/a", E23/(E22+E23))</f>
        <v>n/a</v>
      </c>
      <c r="G23" s="11">
        <f>COUNTIFS(Beans!B:B, A23, Beans!A:A, "&gt;=2024-1-1", Beans!A:A,"&lt;2024-2-1" )</f>
        <v>0</v>
      </c>
      <c r="H23" s="7">
        <f>COUNTIFS(Beans!B:B, A23, Beans!A:A, "&gt;=2024-2-1", Beans!A:A,"&lt;2024-3-1" )</f>
        <v>0</v>
      </c>
      <c r="I23" s="11">
        <f>COUNTIFS(Beans!B:B, A23, Beans!A:A, "&gt;=2024-3-1", Beans!A:A,"&lt;2024-4-1" )</f>
        <v>0</v>
      </c>
      <c r="J23" s="11">
        <f>COUNTIFS(Beans!B:B, A23, Beans!A:A, "&gt;=2024-4-1", Beans!A:A,"&lt;2024-5-1" )</f>
        <v>0</v>
      </c>
      <c r="K23" s="7">
        <f>COUNTIFS(Beans!B:B, A23, Beans!A:A, "&gt;=2024-5-1", Beans!A:A,"&lt;2024-6-1" )</f>
        <v>0</v>
      </c>
      <c r="L23" s="11">
        <f>COUNTIFS(Beans!B:B, A23, Beans!A:A, "&gt;=2024-6-1", Beans!A:A,"&lt;2024-7-1" )</f>
        <v>0</v>
      </c>
      <c r="M23" s="11">
        <f>COUNTIFS(Beans!B:B, A23, Beans!A:A, "&gt;=2024-7-1", Beans!A:A,"&lt;2024-8-1" )</f>
        <v>0</v>
      </c>
      <c r="N23" s="7">
        <f>COUNTIFS(Beans!B:B, A23, Beans!A:A, "&gt;=2024-8-1", Beans!A:A,"&lt;2024-9-1" )</f>
        <v>0</v>
      </c>
      <c r="O23" s="11">
        <f>COUNTIFS(Beans!B:B, A23, Beans!A:A, "&gt;=2024-9-1", Beans!A:A,"&lt;2024-10-1" )</f>
        <v>0</v>
      </c>
      <c r="P23" s="11">
        <f>COUNTIFS(Beans!B:B, A23, Beans!A:A, "&gt;=2024-10-1", Beans!A:A,"&lt;2024-11-1" )</f>
        <v>0</v>
      </c>
      <c r="Q23" s="7">
        <f>COUNTIFS(Beans!B:B, A23, Beans!A:A, "&gt;=2024-11-1", Beans!A:A,"&lt;2024-12-1" )</f>
        <v>0</v>
      </c>
      <c r="R23" s="15">
        <f>COUNTIFS(Beans!B:B, A23, Beans!A:A, "&gt;=2024-12-1", Beans!A:A,"&lt;2025-1-1" )</f>
        <v>0</v>
      </c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 t="shared" si="1"/>
        <v>0</v>
      </c>
      <c r="F24" s="12" t="str">
        <f>IF(E24+E25 = 0, "n/a", E24/(E24+E25))</f>
        <v>n/a</v>
      </c>
      <c r="G24" s="11">
        <f>COUNTIFS(Beans!B:B, A24, Beans!A:A, "&gt;=2024-1-1", Beans!A:A,"&lt;2024-2-1" )</f>
        <v>0</v>
      </c>
      <c r="H24" s="7">
        <f>COUNTIFS(Beans!B:B, A24, Beans!A:A, "&gt;=2024-2-1", Beans!A:A,"&lt;2024-3-1" )</f>
        <v>0</v>
      </c>
      <c r="I24" s="11">
        <f>COUNTIFS(Beans!B:B, A24, Beans!A:A, "&gt;=2024-3-1", Beans!A:A,"&lt;2024-4-1" )</f>
        <v>0</v>
      </c>
      <c r="J24" s="11">
        <f>COUNTIFS(Beans!B:B, A24, Beans!A:A, "&gt;=2024-4-1", Beans!A:A,"&lt;2024-5-1" )</f>
        <v>0</v>
      </c>
      <c r="K24" s="7">
        <f>COUNTIFS(Beans!B:B, A24, Beans!A:A, "&gt;=2024-5-1", Beans!A:A,"&lt;2024-6-1" )</f>
        <v>0</v>
      </c>
      <c r="L24" s="11">
        <f>COUNTIFS(Beans!B:B, A24, Beans!A:A, "&gt;=2024-6-1", Beans!A:A,"&lt;2024-7-1" )</f>
        <v>0</v>
      </c>
      <c r="M24" s="11">
        <f>COUNTIFS(Beans!B:B, A24, Beans!A:A, "&gt;=2024-7-1", Beans!A:A,"&lt;2024-8-1" )</f>
        <v>0</v>
      </c>
      <c r="N24" s="7">
        <f>COUNTIFS(Beans!B:B, A24, Beans!A:A, "&gt;=2024-8-1", Beans!A:A,"&lt;2024-9-1" )</f>
        <v>0</v>
      </c>
      <c r="O24" s="11">
        <f>COUNTIFS(Beans!B:B, A24, Beans!A:A, "&gt;=2024-9-1", Beans!A:A,"&lt;2024-10-1" )</f>
        <v>0</v>
      </c>
      <c r="P24" s="11">
        <f>COUNTIFS(Beans!B:B, A24, Beans!A:A, "&gt;=2024-10-1", Beans!A:A,"&lt;2024-11-1" )</f>
        <v>0</v>
      </c>
      <c r="Q24" s="7">
        <f>COUNTIFS(Beans!B:B, A24, Beans!A:A, "&gt;=2024-11-1", Beans!A:A,"&lt;2024-12-1" )</f>
        <v>0</v>
      </c>
      <c r="R24" s="15">
        <f>COUNTIFS(Beans!B:B, A24, Beans!A:A, "&gt;=2024-12-1", Beans!A:A,"&lt;2025-1-1" )</f>
        <v>0</v>
      </c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 t="shared" si="1"/>
        <v>0</v>
      </c>
      <c r="F25" s="12" t="str">
        <f>IF(E24+E25 = 0, "n/a", E25/(E24+E25))</f>
        <v>n/a</v>
      </c>
      <c r="G25" s="11">
        <f>COUNTIFS(Beans!B:B, A25, Beans!A:A, "&gt;=2024-1-1", Beans!A:A,"&lt;2024-2-1" )</f>
        <v>0</v>
      </c>
      <c r="H25" s="7">
        <f>COUNTIFS(Beans!B:B, A25, Beans!A:A, "&gt;=2024-2-1", Beans!A:A,"&lt;2024-3-1" )</f>
        <v>0</v>
      </c>
      <c r="I25" s="11">
        <f>COUNTIFS(Beans!B:B, A25, Beans!A:A, "&gt;=2024-3-1", Beans!A:A,"&lt;2024-4-1" )</f>
        <v>0</v>
      </c>
      <c r="J25" s="11">
        <f>COUNTIFS(Beans!B:B, A25, Beans!A:A, "&gt;=2024-4-1", Beans!A:A,"&lt;2024-5-1" )</f>
        <v>0</v>
      </c>
      <c r="K25" s="7">
        <f>COUNTIFS(Beans!B:B, A25, Beans!A:A, "&gt;=2024-5-1", Beans!A:A,"&lt;2024-6-1" )</f>
        <v>0</v>
      </c>
      <c r="L25" s="11">
        <f>COUNTIFS(Beans!B:B, A25, Beans!A:A, "&gt;=2024-6-1", Beans!A:A,"&lt;2024-7-1" )</f>
        <v>0</v>
      </c>
      <c r="M25" s="11">
        <f>COUNTIFS(Beans!B:B, A25, Beans!A:A, "&gt;=2024-7-1", Beans!A:A,"&lt;2024-8-1" )</f>
        <v>0</v>
      </c>
      <c r="N25" s="7">
        <f>COUNTIFS(Beans!B:B, A25, Beans!A:A, "&gt;=2024-8-1", Beans!A:A,"&lt;2024-9-1" )</f>
        <v>0</v>
      </c>
      <c r="O25" s="11">
        <f>COUNTIFS(Beans!B:B, A25, Beans!A:A, "&gt;=2024-9-1", Beans!A:A,"&lt;2024-10-1" )</f>
        <v>0</v>
      </c>
      <c r="P25" s="11">
        <f>COUNTIFS(Beans!B:B, A25, Beans!A:A, "&gt;=2024-10-1", Beans!A:A,"&lt;2024-11-1" )</f>
        <v>0</v>
      </c>
      <c r="Q25" s="7">
        <f>COUNTIFS(Beans!B:B, A25, Beans!A:A, "&gt;=2024-11-1", Beans!A:A,"&lt;2024-12-1" )</f>
        <v>0</v>
      </c>
      <c r="R25" s="15">
        <f>COUNTIFS(Beans!B:B, A25, Beans!A:A, "&gt;=2024-12-1", Beans!A:A,"&lt;2025-1-1" )</f>
        <v>0</v>
      </c>
    </row>
    <row r="26" ht="44.25" customHeight="1">
      <c r="A26" s="9"/>
      <c r="B26" s="6"/>
      <c r="C26" s="51"/>
      <c r="D26" s="6"/>
      <c r="E26" s="11"/>
      <c r="F26" s="12"/>
      <c r="G26" s="11"/>
      <c r="H26" s="7"/>
      <c r="I26" s="11"/>
      <c r="J26" s="11"/>
      <c r="K26" s="7"/>
      <c r="L26" s="11"/>
      <c r="M26" s="11"/>
      <c r="N26" s="7"/>
      <c r="O26" s="11"/>
      <c r="P26" s="11"/>
      <c r="Q26" s="7"/>
      <c r="R26" s="15"/>
    </row>
    <row r="27" ht="44.25" customHeight="1">
      <c r="A27" s="9"/>
      <c r="B27" s="6"/>
      <c r="C27" s="51"/>
      <c r="D27" s="6"/>
      <c r="E27" s="11"/>
      <c r="F27" s="12"/>
      <c r="G27" s="11"/>
      <c r="H27" s="7"/>
      <c r="I27" s="11"/>
      <c r="J27" s="11"/>
      <c r="K27" s="7"/>
      <c r="L27" s="11"/>
      <c r="M27" s="11"/>
      <c r="N27" s="7"/>
      <c r="O27" s="11"/>
      <c r="P27" s="11"/>
      <c r="Q27" s="7"/>
      <c r="R27" s="15"/>
    </row>
    <row r="28" ht="44.25" customHeight="1">
      <c r="A28" s="9"/>
      <c r="B28" s="6"/>
      <c r="C28" s="51"/>
      <c r="D28" s="6"/>
      <c r="E28" s="11"/>
      <c r="F28" s="12"/>
      <c r="G28" s="11"/>
      <c r="H28" s="7"/>
      <c r="I28" s="11"/>
      <c r="J28" s="11"/>
      <c r="K28" s="7"/>
      <c r="L28" s="11"/>
      <c r="M28" s="11"/>
      <c r="N28" s="7"/>
      <c r="O28" s="11"/>
      <c r="P28" s="11"/>
      <c r="Q28" s="7"/>
      <c r="R28" s="15"/>
    </row>
    <row r="29" ht="44.25" customHeight="1">
      <c r="A29" s="9"/>
      <c r="B29" s="6"/>
      <c r="C29" s="51"/>
      <c r="D29" s="6"/>
      <c r="E29" s="11"/>
      <c r="F29" s="12"/>
      <c r="G29" s="11"/>
      <c r="H29" s="7"/>
      <c r="I29" s="11"/>
      <c r="J29" s="11"/>
      <c r="K29" s="7"/>
      <c r="L29" s="11"/>
      <c r="M29" s="11"/>
      <c r="N29" s="7"/>
      <c r="O29" s="11"/>
      <c r="P29" s="11"/>
      <c r="Q29" s="7"/>
      <c r="R29" s="15"/>
    </row>
    <row r="30" ht="44.25" customHeight="1">
      <c r="A30" s="9" t="s">
        <v>137</v>
      </c>
      <c r="B30" s="6" t="s">
        <v>27</v>
      </c>
      <c r="C30" s="51" t="s">
        <v>138</v>
      </c>
      <c r="D30" s="6"/>
      <c r="E30" s="11">
        <f t="shared" ref="E30:E36" si="2">SUM(G30:R30)</f>
        <v>0</v>
      </c>
      <c r="F30" s="12" t="str">
        <f>IF(E30+E31+E32+E33+E34 = 0, "n/a", E30/(E30+E31+E32+E33+E34))</f>
        <v>n/a</v>
      </c>
      <c r="G30" s="11">
        <f>COUNTIFS(Beans!B:B, A30, Beans!A:A, "&gt;=2024-1-1", Beans!A:A,"&lt;2024-2-1" )</f>
        <v>0</v>
      </c>
      <c r="H30" s="7">
        <f>COUNTIFS(Beans!B:B, A30, Beans!A:A, "&gt;=2024-2-1", Beans!A:A,"&lt;2024-3-1" )</f>
        <v>0</v>
      </c>
      <c r="I30" s="11">
        <f>COUNTIFS(Beans!B:B, A30, Beans!A:A, "&gt;=2024-3-1", Beans!A:A,"&lt;2024-4-1" )</f>
        <v>0</v>
      </c>
      <c r="J30" s="11">
        <f>COUNTIFS(Beans!B:B, A30, Beans!A:A, "&gt;=2024-4-1", Beans!A:A,"&lt;2024-5-1" )</f>
        <v>0</v>
      </c>
      <c r="K30" s="7">
        <f>COUNTIFS(Beans!B:B, A30, Beans!A:A, "&gt;=2024-5-1", Beans!A:A,"&lt;2024-6-1" )</f>
        <v>0</v>
      </c>
      <c r="L30" s="11">
        <f>COUNTIFS(Beans!B:B, A30, Beans!A:A, "&gt;=2024-6-1", Beans!A:A,"&lt;2024-7-1" )</f>
        <v>0</v>
      </c>
      <c r="M30" s="11">
        <f>COUNTIFS(Beans!B:B, A30, Beans!A:A, "&gt;=2024-7-1", Beans!A:A,"&lt;2024-8-1" )</f>
        <v>0</v>
      </c>
      <c r="N30" s="7">
        <f>COUNTIFS(Beans!B:B, A30, Beans!A:A, "&gt;=2024-8-1", Beans!A:A,"&lt;2024-9-1" )</f>
        <v>0</v>
      </c>
      <c r="O30" s="11">
        <f>COUNTIFS(Beans!B:B, A30, Beans!A:A, "&gt;=2024-9-1", Beans!A:A,"&lt;2024-10-1" )</f>
        <v>0</v>
      </c>
      <c r="P30" s="11">
        <f>COUNTIFS(Beans!B:B, A30, Beans!A:A, "&gt;=2024-10-1", Beans!A:A,"&lt;2024-11-1" )</f>
        <v>0</v>
      </c>
      <c r="Q30" s="7">
        <f>COUNTIFS(Beans!B:B, A30, Beans!A:A, "&gt;=2024-11-1", Beans!A:A,"&lt;2024-12-1" )</f>
        <v>0</v>
      </c>
      <c r="R30" s="15">
        <f>COUNTIFS(Beans!B:B, A30, Beans!A:A, "&gt;=2024-12-1", Beans!A:A,"&lt;2025-1-1" )</f>
        <v>0</v>
      </c>
    </row>
    <row r="31" ht="45.75" customHeight="1">
      <c r="A31" s="9" t="s">
        <v>139</v>
      </c>
      <c r="B31" s="6" t="s">
        <v>27</v>
      </c>
      <c r="C31" s="51" t="s">
        <v>138</v>
      </c>
      <c r="D31" s="7"/>
      <c r="E31" s="11">
        <f t="shared" si="2"/>
        <v>0</v>
      </c>
      <c r="F31" s="12" t="str">
        <f>IF(E30+E31+E32+E33+E34 = 0, "n/a", E31/(E30+E31+E32+E33+E34))</f>
        <v>n/a</v>
      </c>
      <c r="G31" s="11">
        <f>COUNTIFS(Beans!B:B, A31, Beans!A:A, "&gt;=2024-1-1", Beans!A:A,"&lt;2024-2-1" )</f>
        <v>0</v>
      </c>
      <c r="H31" s="7">
        <f>COUNTIFS(Beans!B:B, A31, Beans!A:A, "&gt;=2024-2-1", Beans!A:A,"&lt;2024-3-1" )</f>
        <v>0</v>
      </c>
      <c r="I31" s="11">
        <f>COUNTIFS(Beans!B:B, A31, Beans!A:A, "&gt;=2024-3-1", Beans!A:A,"&lt;2024-4-1" )</f>
        <v>0</v>
      </c>
      <c r="J31" s="11">
        <f>COUNTIFS(Beans!B:B, A31, Beans!A:A, "&gt;=2024-4-1", Beans!A:A,"&lt;2024-5-1" )</f>
        <v>0</v>
      </c>
      <c r="K31" s="7">
        <f>COUNTIFS(Beans!B:B, A31, Beans!A:A, "&gt;=2024-5-1", Beans!A:A,"&lt;2024-6-1" )</f>
        <v>0</v>
      </c>
      <c r="L31" s="11">
        <f>COUNTIFS(Beans!B:B, A31, Beans!A:A, "&gt;=2024-6-1", Beans!A:A,"&lt;2024-7-1" )</f>
        <v>0</v>
      </c>
      <c r="M31" s="11">
        <f>COUNTIFS(Beans!B:B, A31, Beans!A:A, "&gt;=2024-7-1", Beans!A:A,"&lt;2024-8-1" )</f>
        <v>0</v>
      </c>
      <c r="N31" s="7">
        <f>COUNTIFS(Beans!B:B, A31, Beans!A:A, "&gt;=2024-8-1", Beans!A:A,"&lt;2024-9-1" )</f>
        <v>0</v>
      </c>
      <c r="O31" s="11">
        <f>COUNTIFS(Beans!B:B, A31, Beans!A:A, "&gt;=2024-9-1", Beans!A:A,"&lt;2024-10-1" )</f>
        <v>0</v>
      </c>
      <c r="P31" s="11">
        <f>COUNTIFS(Beans!B:B, A31, Beans!A:A, "&gt;=2024-10-1", Beans!A:A,"&lt;2024-11-1" )</f>
        <v>0</v>
      </c>
      <c r="Q31" s="7">
        <f>COUNTIFS(Beans!B:B, A31, Beans!A:A, "&gt;=2024-11-1", Beans!A:A,"&lt;2024-12-1" )</f>
        <v>0</v>
      </c>
      <c r="R31" s="15">
        <f>COUNTIFS(Beans!B:B, A31, Beans!A:A, "&gt;=2024-12-1", Beans!A:A,"&lt;2025-1-1" )</f>
        <v>0</v>
      </c>
    </row>
    <row r="32" ht="46.5" customHeight="1">
      <c r="A32" s="9" t="s">
        <v>140</v>
      </c>
      <c r="B32" s="6" t="s">
        <v>27</v>
      </c>
      <c r="C32" s="51" t="s">
        <v>138</v>
      </c>
      <c r="D32" s="7"/>
      <c r="E32" s="11">
        <f t="shared" si="2"/>
        <v>0</v>
      </c>
      <c r="F32" s="12" t="str">
        <f>IF(E30+E31+E32+E33+E34 = 0, "n/a", E32/(E30+E31+E32+E33+E34))</f>
        <v>n/a</v>
      </c>
      <c r="G32" s="11">
        <f>COUNTIFS(Beans!B:B, A32, Beans!A:A, "&gt;=2024-1-1", Beans!A:A,"&lt;2024-2-1" )</f>
        <v>0</v>
      </c>
      <c r="H32" s="7">
        <f>COUNTIFS(Beans!B:B, A32, Beans!A:A, "&gt;=2024-2-1", Beans!A:A,"&lt;2024-3-1" )</f>
        <v>0</v>
      </c>
      <c r="I32" s="11">
        <f>COUNTIFS(Beans!B:B, A32, Beans!A:A, "&gt;=2024-3-1", Beans!A:A,"&lt;2024-4-1" )</f>
        <v>0</v>
      </c>
      <c r="J32" s="11">
        <f>COUNTIFS(Beans!B:B, A32, Beans!A:A, "&gt;=2024-4-1", Beans!A:A,"&lt;2024-5-1" )</f>
        <v>0</v>
      </c>
      <c r="K32" s="7">
        <f>COUNTIFS(Beans!B:B, A32, Beans!A:A, "&gt;=2024-5-1", Beans!A:A,"&lt;2024-6-1" )</f>
        <v>0</v>
      </c>
      <c r="L32" s="11">
        <f>COUNTIFS(Beans!B:B, A32, Beans!A:A, "&gt;=2024-6-1", Beans!A:A,"&lt;2024-7-1" )</f>
        <v>0</v>
      </c>
      <c r="M32" s="11">
        <f>COUNTIFS(Beans!B:B, A32, Beans!A:A, "&gt;=2024-7-1", Beans!A:A,"&lt;2024-8-1" )</f>
        <v>0</v>
      </c>
      <c r="N32" s="7">
        <f>COUNTIFS(Beans!B:B, A32, Beans!A:A, "&gt;=2024-8-1", Beans!A:A,"&lt;2024-9-1" )</f>
        <v>0</v>
      </c>
      <c r="O32" s="11">
        <f>COUNTIFS(Beans!B:B, A32, Beans!A:A, "&gt;=2024-9-1", Beans!A:A,"&lt;2024-10-1" )</f>
        <v>0</v>
      </c>
      <c r="P32" s="11">
        <f>COUNTIFS(Beans!B:B, A32, Beans!A:A, "&gt;=2024-10-1", Beans!A:A,"&lt;2024-11-1" )</f>
        <v>0</v>
      </c>
      <c r="Q32" s="7">
        <f>COUNTIFS(Beans!B:B, A32, Beans!A:A, "&gt;=2024-11-1", Beans!A:A,"&lt;2024-12-1" )</f>
        <v>0</v>
      </c>
      <c r="R32" s="15">
        <f>COUNTIFS(Beans!B:B, A32, Beans!A:A, "&gt;=2024-12-1", Beans!A:A,"&lt;2025-1-1" )</f>
        <v>0</v>
      </c>
    </row>
    <row r="33" ht="45.75" customHeight="1">
      <c r="A33" s="9" t="s">
        <v>141</v>
      </c>
      <c r="B33" s="6" t="s">
        <v>27</v>
      </c>
      <c r="C33" s="51" t="s">
        <v>138</v>
      </c>
      <c r="D33" s="7"/>
      <c r="E33" s="11">
        <f t="shared" si="2"/>
        <v>0</v>
      </c>
      <c r="F33" s="12" t="str">
        <f>IF(E30+E31+E32+E33+E34 = 0, "n/a", E33/(E30+E31+E32+E33+E34))</f>
        <v>n/a</v>
      </c>
      <c r="G33" s="11">
        <f>COUNTIFS(Beans!B:B, A33, Beans!A:A, "&gt;=2024-1-1", Beans!A:A,"&lt;2024-2-1" )</f>
        <v>0</v>
      </c>
      <c r="H33" s="7">
        <f>COUNTIFS(Beans!B:B, A33, Beans!A:A, "&gt;=2024-2-1", Beans!A:A,"&lt;2024-3-1" )</f>
        <v>0</v>
      </c>
      <c r="I33" s="11">
        <f>COUNTIFS(Beans!B:B, A33, Beans!A:A, "&gt;=2024-3-1", Beans!A:A,"&lt;2024-4-1" )</f>
        <v>0</v>
      </c>
      <c r="J33" s="11">
        <f>COUNTIFS(Beans!B:B, A33, Beans!A:A, "&gt;=2024-4-1", Beans!A:A,"&lt;2024-5-1" )</f>
        <v>0</v>
      </c>
      <c r="K33" s="7">
        <f>COUNTIFS(Beans!B:B, A33, Beans!A:A, "&gt;=2024-5-1", Beans!A:A,"&lt;2024-6-1" )</f>
        <v>0</v>
      </c>
      <c r="L33" s="11">
        <f>COUNTIFS(Beans!B:B, A33, Beans!A:A, "&gt;=2024-6-1", Beans!A:A,"&lt;2024-7-1" )</f>
        <v>0</v>
      </c>
      <c r="M33" s="11">
        <f>COUNTIFS(Beans!B:B, A33, Beans!A:A, "&gt;=2024-7-1", Beans!A:A,"&lt;2024-8-1" )</f>
        <v>0</v>
      </c>
      <c r="N33" s="7">
        <f>COUNTIFS(Beans!B:B, A33, Beans!A:A, "&gt;=2024-8-1", Beans!A:A,"&lt;2024-9-1" )</f>
        <v>0</v>
      </c>
      <c r="O33" s="11">
        <f>COUNTIFS(Beans!B:B, A33, Beans!A:A, "&gt;=2024-9-1", Beans!A:A,"&lt;2024-10-1" )</f>
        <v>0</v>
      </c>
      <c r="P33" s="11">
        <f>COUNTIFS(Beans!B:B, A33, Beans!A:A, "&gt;=2024-10-1", Beans!A:A,"&lt;2024-11-1" )</f>
        <v>0</v>
      </c>
      <c r="Q33" s="7">
        <f>COUNTIFS(Beans!B:B, A33, Beans!A:A, "&gt;=2024-11-1", Beans!A:A,"&lt;2024-12-1" )</f>
        <v>0</v>
      </c>
      <c r="R33" s="15">
        <f>COUNTIFS(Beans!B:B, A33, Beans!A:A, "&gt;=2024-12-1", Beans!A:A,"&lt;2025-1-1" )</f>
        <v>0</v>
      </c>
    </row>
    <row r="34" ht="43.5" customHeight="1">
      <c r="A34" s="9" t="s">
        <v>145</v>
      </c>
      <c r="B34" s="6" t="s">
        <v>27</v>
      </c>
      <c r="C34" s="51" t="s">
        <v>138</v>
      </c>
      <c r="D34" s="7"/>
      <c r="E34" s="11">
        <f t="shared" si="2"/>
        <v>0</v>
      </c>
      <c r="F34" s="12" t="str">
        <f>IF(E30+E31+E32+E33+E34 = 0, "n/a", E34/(E30+E31+E32+E33+E34))</f>
        <v>n/a</v>
      </c>
      <c r="G34" s="11">
        <f>COUNTIFS(Beans!B:B, A34, Beans!A:A, "&gt;=2024-1-1", Beans!A:A,"&lt;2024-2-1" )</f>
        <v>0</v>
      </c>
      <c r="H34" s="7">
        <f>COUNTIFS(Beans!B:B, A34, Beans!A:A, "&gt;=2024-2-1", Beans!A:A,"&lt;2024-3-1" )</f>
        <v>0</v>
      </c>
      <c r="I34" s="11">
        <f>COUNTIFS(Beans!B:B, A34, Beans!A:A, "&gt;=2024-3-1", Beans!A:A,"&lt;2024-4-1" )</f>
        <v>0</v>
      </c>
      <c r="J34" s="11">
        <f>COUNTIFS(Beans!B:B, A34, Beans!A:A, "&gt;=2024-4-1", Beans!A:A,"&lt;2024-5-1" )</f>
        <v>0</v>
      </c>
      <c r="K34" s="7">
        <f>COUNTIFS(Beans!B:B, A34, Beans!A:A, "&gt;=2024-5-1", Beans!A:A,"&lt;2024-6-1" )</f>
        <v>0</v>
      </c>
      <c r="L34" s="11">
        <f>COUNTIFS(Beans!B:B, A34, Beans!A:A, "&gt;=2024-6-1", Beans!A:A,"&lt;2024-7-1" )</f>
        <v>0</v>
      </c>
      <c r="M34" s="11">
        <f>COUNTIFS(Beans!B:B, A34, Beans!A:A, "&gt;=2024-7-1", Beans!A:A,"&lt;2024-8-1" )</f>
        <v>0</v>
      </c>
      <c r="N34" s="7">
        <f>COUNTIFS(Beans!B:B, A34, Beans!A:A, "&gt;=2024-8-1", Beans!A:A,"&lt;2024-9-1" )</f>
        <v>0</v>
      </c>
      <c r="O34" s="11">
        <f>COUNTIFS(Beans!B:B, A34, Beans!A:A, "&gt;=2024-9-1", Beans!A:A,"&lt;2024-10-1" )</f>
        <v>0</v>
      </c>
      <c r="P34" s="11">
        <f>COUNTIFS(Beans!B:B, A34, Beans!A:A, "&gt;=2024-10-1", Beans!A:A,"&lt;2024-11-1" )</f>
        <v>0</v>
      </c>
      <c r="Q34" s="7">
        <f>COUNTIFS(Beans!B:B, A34, Beans!A:A, "&gt;=2024-11-1", Beans!A:A,"&lt;2024-12-1" )</f>
        <v>0</v>
      </c>
      <c r="R34" s="15">
        <f>COUNTIFS(Beans!B:B, A34, Beans!A:A, "&gt;=2024-12-1", Beans!A:A,"&lt;2025-1-1" )</f>
        <v>0</v>
      </c>
    </row>
    <row r="35">
      <c r="A35" s="6" t="s">
        <v>99</v>
      </c>
      <c r="B35" s="6" t="s">
        <v>16</v>
      </c>
      <c r="C35" s="5" t="s">
        <v>146</v>
      </c>
      <c r="D35" s="11"/>
      <c r="E35" s="11">
        <f t="shared" si="2"/>
        <v>0</v>
      </c>
      <c r="F35" s="12" t="str">
        <f>IF(E35+E36 = 0, "n/a", E35/(E35+E36))</f>
        <v>n/a</v>
      </c>
      <c r="G35" s="11">
        <f>COUNTIFS(Beans!B:B, A35, Beans!A:A, "&gt;=2024-1-1", Beans!A:A,"&lt;2024-2-1" )</f>
        <v>0</v>
      </c>
      <c r="H35" s="7">
        <f>COUNTIFS(Beans!B:B, A35, Beans!A:A, "&gt;=2024-2-1", Beans!A:A,"&lt;2024-3-1" )</f>
        <v>0</v>
      </c>
      <c r="I35" s="11">
        <f>COUNTIFS(Beans!B:B, A35, Beans!A:A, "&gt;=2024-3-1", Beans!A:A,"&lt;2024-4-1" )</f>
        <v>0</v>
      </c>
      <c r="J35" s="11">
        <f>COUNTIFS(Beans!B:B, A35, Beans!A:A, "&gt;=2024-4-1", Beans!A:A,"&lt;2024-5-1" )</f>
        <v>0</v>
      </c>
      <c r="K35" s="7">
        <f>COUNTIFS(Beans!B:B, A35, Beans!A:A, "&gt;=2024-5-1", Beans!A:A,"&lt;2024-6-1" )</f>
        <v>0</v>
      </c>
      <c r="L35" s="11">
        <f>COUNTIFS(Beans!B:B, A35, Beans!A:A, "&gt;=2024-6-1", Beans!A:A,"&lt;2024-7-1" )</f>
        <v>0</v>
      </c>
      <c r="M35" s="11">
        <f>COUNTIFS(Beans!B:B, A35, Beans!A:A, "&gt;=2024-7-1", Beans!A:A,"&lt;2024-8-1" )</f>
        <v>0</v>
      </c>
      <c r="N35" s="7">
        <f>COUNTIFS(Beans!B:B, A35, Beans!A:A, "&gt;=2024-8-1", Beans!A:A,"&lt;2024-9-1" )</f>
        <v>0</v>
      </c>
      <c r="O35" s="11">
        <f>COUNTIFS(Beans!B:B, A35, Beans!A:A, "&gt;=2024-9-1", Beans!A:A,"&lt;2024-10-1" )</f>
        <v>0</v>
      </c>
      <c r="P35" s="11">
        <f>COUNTIFS(Beans!B:B, A35, Beans!A:A, "&gt;=2024-10-1", Beans!A:A,"&lt;2024-11-1" )</f>
        <v>0</v>
      </c>
      <c r="Q35" s="7">
        <f>COUNTIFS(Beans!B:B, A35, Beans!A:A, "&gt;=2024-11-1", Beans!A:A,"&lt;2024-12-1" )</f>
        <v>0</v>
      </c>
      <c r="R35" s="15">
        <f>COUNTIFS(Beans!B:B, A35, Beans!A:A, "&gt;=2024-12-1", Beans!A:A,"&lt;2025-1-1" )</f>
        <v>0</v>
      </c>
    </row>
    <row r="36">
      <c r="A36" s="6" t="s">
        <v>111</v>
      </c>
      <c r="B36" s="6" t="s">
        <v>21</v>
      </c>
      <c r="C36" s="5" t="s">
        <v>146</v>
      </c>
      <c r="D36" s="11"/>
      <c r="E36" s="11">
        <f t="shared" si="2"/>
        <v>0</v>
      </c>
      <c r="F36" s="12" t="str">
        <f>IF(E35+E36 = 0, "n/a", E36/(E35+E36))</f>
        <v>n/a</v>
      </c>
      <c r="G36" s="11">
        <f>COUNTIFS(Beans!B:B, A36, Beans!A:A, "&gt;=2024-1-1", Beans!A:A,"&lt;2024-2-1" )</f>
        <v>0</v>
      </c>
      <c r="H36" s="7">
        <f>COUNTIFS(Beans!B:B, A36, Beans!A:A, "&gt;=2024-2-1", Beans!A:A,"&lt;2024-3-1" )</f>
        <v>0</v>
      </c>
      <c r="I36" s="11">
        <f>COUNTIFS(Beans!B:B, A36, Beans!A:A, "&gt;=2024-3-1", Beans!A:A,"&lt;2024-4-1" )</f>
        <v>0</v>
      </c>
      <c r="J36" s="11">
        <f>COUNTIFS(Beans!B:B, A36, Beans!A:A, "&gt;=2024-4-1", Beans!A:A,"&lt;2024-5-1" )</f>
        <v>0</v>
      </c>
      <c r="K36" s="7">
        <f>COUNTIFS(Beans!B:B, A36, Beans!A:A, "&gt;=2024-5-1", Beans!A:A,"&lt;2024-6-1" )</f>
        <v>0</v>
      </c>
      <c r="L36" s="11">
        <f>COUNTIFS(Beans!B:B, A36, Beans!A:A, "&gt;=2024-6-1", Beans!A:A,"&lt;2024-7-1" )</f>
        <v>0</v>
      </c>
      <c r="M36" s="11">
        <f>COUNTIFS(Beans!B:B, A36, Beans!A:A, "&gt;=2024-7-1", Beans!A:A,"&lt;2024-8-1" )</f>
        <v>0</v>
      </c>
      <c r="N36" s="7">
        <f>COUNTIFS(Beans!B:B, A36, Beans!A:A, "&gt;=2024-8-1", Beans!A:A,"&lt;2024-9-1" )</f>
        <v>0</v>
      </c>
      <c r="O36" s="11">
        <f>COUNTIFS(Beans!B:B, A36, Beans!A:A, "&gt;=2024-9-1", Beans!A:A,"&lt;2024-10-1" )</f>
        <v>0</v>
      </c>
      <c r="P36" s="11">
        <f>COUNTIFS(Beans!B:B, A36, Beans!A:A, "&gt;=2024-10-1", Beans!A:A,"&lt;2024-11-1" )</f>
        <v>0</v>
      </c>
      <c r="Q36" s="7">
        <f>COUNTIFS(Beans!B:B, A36, Beans!A:A, "&gt;=2024-11-1", Beans!A:A,"&lt;2024-12-1" )</f>
        <v>0</v>
      </c>
      <c r="R36" s="15">
        <f>COUNTIFS(Beans!B:B, A36, Beans!A:A, "&gt;=2024-12-1", Beans!A:A,"&lt;2025-1-1" )</f>
        <v>0</v>
      </c>
    </row>
    <row r="37">
      <c r="A37" s="7"/>
      <c r="B37" s="7"/>
      <c r="D37" s="7"/>
      <c r="E37" s="7">
        <f>SUM(E2:E36)</f>
        <v>365</v>
      </c>
      <c r="F37" s="7"/>
      <c r="G37" s="7">
        <f t="shared" ref="G37:R37" si="3">SUM(G2:G34)</f>
        <v>51</v>
      </c>
      <c r="H37" s="7">
        <f t="shared" si="3"/>
        <v>29</v>
      </c>
      <c r="I37" s="7">
        <f t="shared" si="3"/>
        <v>40</v>
      </c>
      <c r="J37" s="7">
        <f t="shared" si="3"/>
        <v>27</v>
      </c>
      <c r="K37" s="7">
        <f t="shared" si="3"/>
        <v>31</v>
      </c>
      <c r="L37" s="7">
        <f t="shared" si="3"/>
        <v>14</v>
      </c>
      <c r="M37" s="7">
        <f t="shared" si="3"/>
        <v>12</v>
      </c>
      <c r="N37" s="7">
        <f t="shared" si="3"/>
        <v>52</v>
      </c>
      <c r="O37" s="7">
        <f t="shared" si="3"/>
        <v>27</v>
      </c>
      <c r="P37" s="7">
        <f t="shared" si="3"/>
        <v>17</v>
      </c>
      <c r="Q37" s="7">
        <f t="shared" si="3"/>
        <v>44</v>
      </c>
      <c r="R37" s="7">
        <f t="shared" si="3"/>
        <v>21</v>
      </c>
    </row>
    <row r="39">
      <c r="A39" s="5" t="s">
        <v>16</v>
      </c>
      <c r="B39" s="35">
        <f t="shared" ref="B39:B40" si="4">E2+E4+E6+E8+E10+E12+E14+E16+E18+E20+E22+E24+E35</f>
        <v>83</v>
      </c>
    </row>
    <row r="40">
      <c r="A40" s="5" t="s">
        <v>21</v>
      </c>
      <c r="B40" s="35">
        <f t="shared" si="4"/>
        <v>282</v>
      </c>
    </row>
    <row r="41">
      <c r="A41" s="5" t="s">
        <v>27</v>
      </c>
      <c r="B41" s="35">
        <f>SUM(E30:E34)</f>
        <v>0</v>
      </c>
    </row>
    <row r="42">
      <c r="B42" s="35">
        <f>SUM(B39:B41)</f>
        <v>365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205</v>
      </c>
      <c r="B1" s="42" t="s">
        <v>317</v>
      </c>
    </row>
    <row r="3">
      <c r="A3" s="43"/>
      <c r="B3" s="44" t="str">
        <f>'2024 Bean Description'!C2</f>
        <v>1st-Curr</v>
      </c>
      <c r="C3" s="43"/>
      <c r="D3" s="43"/>
      <c r="E3" s="44" t="str">
        <f>'2024 Bean Description'!C4</f>
        <v>4th-Curr</v>
      </c>
      <c r="F3" s="43"/>
      <c r="G3" s="43"/>
      <c r="H3" s="44" t="str">
        <f>'2024 Bean Description'!C6</f>
        <v>1st-Curr</v>
      </c>
      <c r="I3" s="43"/>
      <c r="J3" s="43"/>
      <c r="K3" s="44" t="str">
        <f>'2024 Bean Description'!C8</f>
        <v>5th-Curr</v>
      </c>
      <c r="L3" s="43"/>
      <c r="M3" s="43"/>
      <c r="N3" s="44" t="str">
        <f>'2024 Bean Description'!C10</f>
        <v>1st-Curr</v>
      </c>
      <c r="O3" s="43"/>
    </row>
    <row r="4">
      <c r="A4" s="46"/>
      <c r="B4" s="47" t="str">
        <f>'2024 Bean Description'!A2</f>
        <v>Juicy Pear</v>
      </c>
      <c r="C4" s="47" t="str">
        <f>'2024 Bean Description'!A3</f>
        <v>Booger</v>
      </c>
      <c r="D4" s="46"/>
      <c r="E4" s="47" t="str">
        <f>'2024 Bean Description'!A4</f>
        <v>Strawberry Smoothie</v>
      </c>
      <c r="F4" s="47" t="str">
        <f>'2024 Bean Description'!A5</f>
        <v>Dead Fish (Rotten)</v>
      </c>
      <c r="G4" s="46"/>
      <c r="H4" s="47" t="str">
        <f>'2024 Bean Description'!A6</f>
        <v>Berry Blue</v>
      </c>
      <c r="I4" s="47" t="str">
        <f>'2024 Bean Description'!A7</f>
        <v>Toothpaste</v>
      </c>
      <c r="J4" s="46"/>
      <c r="K4" s="47" t="str">
        <f>'2024 Bean Description'!A8</f>
        <v>Birthday Cake</v>
      </c>
      <c r="L4" s="47" t="str">
        <f>'2024 Bean Description'!A9</f>
        <v>Dirty Dishwater</v>
      </c>
      <c r="M4" s="46"/>
      <c r="N4" s="47" t="str">
        <f>'2024 Bean Description'!A10</f>
        <v>Peach</v>
      </c>
      <c r="O4" s="47" t="str">
        <f>'2024 Bean Description'!A11</f>
        <v>Barf</v>
      </c>
    </row>
    <row r="5">
      <c r="A5" s="44" t="s">
        <v>174</v>
      </c>
      <c r="B5" s="48">
        <f>'2024 Bean Description'!G2</f>
        <v>0</v>
      </c>
      <c r="C5" s="48">
        <f>'2024 Bean Description'!G3</f>
        <v>9</v>
      </c>
      <c r="D5" s="43"/>
      <c r="E5" s="48">
        <f>'2024 Bean Description'!G4</f>
        <v>1</v>
      </c>
      <c r="F5" s="48">
        <f>'2024 Bean Description'!G5</f>
        <v>2</v>
      </c>
      <c r="G5" s="43"/>
      <c r="H5" s="48">
        <f>'2024 Bean Description'!G6</f>
        <v>0</v>
      </c>
      <c r="I5" s="48">
        <f>'2024 Bean Description'!G7</f>
        <v>0</v>
      </c>
      <c r="J5" s="43"/>
      <c r="K5" s="48">
        <f>'2024 Bean Description'!G8</f>
        <v>1</v>
      </c>
      <c r="L5" s="48">
        <f>'2024 Bean Description'!G9</f>
        <v>11</v>
      </c>
      <c r="M5" s="43"/>
      <c r="N5" s="48">
        <f>'2024 Bean Description'!G10</f>
        <v>1</v>
      </c>
      <c r="O5" s="48">
        <f>'2024 Bean Description'!G11</f>
        <v>2</v>
      </c>
    </row>
    <row r="6">
      <c r="A6" s="44" t="s">
        <v>175</v>
      </c>
      <c r="B6" s="43">
        <f>'2024 Bean Description'!H2</f>
        <v>1</v>
      </c>
      <c r="C6" s="43">
        <f>'2024 Bean Description'!H3</f>
        <v>1</v>
      </c>
      <c r="D6" s="43"/>
      <c r="E6" s="48">
        <f>'2024 Bean Description'!H4</f>
        <v>0</v>
      </c>
      <c r="F6" s="48">
        <f>'2024 Bean Description'!H5</f>
        <v>2</v>
      </c>
      <c r="G6" s="43"/>
      <c r="H6" s="43">
        <f>'2024 Bean Description'!H6</f>
        <v>0</v>
      </c>
      <c r="I6" s="43">
        <f>'2024 Bean Description'!H7</f>
        <v>0</v>
      </c>
      <c r="J6" s="43"/>
      <c r="K6" s="49">
        <f>'2024 Bean Description'!H8</f>
        <v>0</v>
      </c>
      <c r="L6" s="43">
        <f>'2024 Bean Description'!H9</f>
        <v>1</v>
      </c>
      <c r="M6" s="43"/>
      <c r="N6" s="43">
        <f>'2024 Bean Description'!H10</f>
        <v>2</v>
      </c>
      <c r="O6" s="43">
        <f>'2024 Bean Description'!H11</f>
        <v>2</v>
      </c>
    </row>
    <row r="7">
      <c r="A7" s="44" t="s">
        <v>176</v>
      </c>
      <c r="B7" s="48">
        <f>'2024 Bean Description'!I2</f>
        <v>0</v>
      </c>
      <c r="C7" s="48">
        <f>'2024 Bean Description'!I3</f>
        <v>6</v>
      </c>
      <c r="D7" s="43"/>
      <c r="E7" s="48">
        <f>'2024 Bean Description'!I4</f>
        <v>2</v>
      </c>
      <c r="F7" s="48">
        <f>'2024 Bean Description'!I5</f>
        <v>2</v>
      </c>
      <c r="G7" s="43"/>
      <c r="H7" s="48">
        <f>'2024 Bean Description'!I6</f>
        <v>0</v>
      </c>
      <c r="I7" s="48">
        <f>'2024 Bean Description'!I7</f>
        <v>1</v>
      </c>
      <c r="J7" s="43"/>
      <c r="K7" s="48">
        <f>'2024 Bean Description'!I8</f>
        <v>0</v>
      </c>
      <c r="L7" s="48">
        <f>'2024 Bean Description'!I9</f>
        <v>2</v>
      </c>
      <c r="M7" s="43"/>
      <c r="N7" s="48">
        <f>'2024 Bean Description'!I10</f>
        <v>1</v>
      </c>
      <c r="O7" s="48">
        <f>'2024 Bean Description'!I11</f>
        <v>4</v>
      </c>
    </row>
    <row r="8">
      <c r="A8" s="44" t="s">
        <v>177</v>
      </c>
      <c r="B8" s="50">
        <f>'2024 Bean Description'!J2</f>
        <v>0</v>
      </c>
      <c r="C8" s="50">
        <f>'2024 Bean Description'!J3</f>
        <v>2</v>
      </c>
      <c r="D8" s="43"/>
      <c r="E8" s="48">
        <f>'2024 Bean Description'!J4</f>
        <v>0</v>
      </c>
      <c r="F8" s="48">
        <f>'2024 Bean Description'!J5</f>
        <v>4</v>
      </c>
      <c r="G8" s="43"/>
      <c r="H8" s="43">
        <f>'2024 Bean Description'!J6</f>
        <v>0</v>
      </c>
      <c r="I8" s="50">
        <f>'2024 Bean Description'!J7</f>
        <v>0</v>
      </c>
      <c r="J8" s="43"/>
      <c r="K8" s="43">
        <f>'2024 Bean Description'!J8</f>
        <v>1</v>
      </c>
      <c r="L8" s="50">
        <f>'2024 Bean Description'!J9</f>
        <v>1</v>
      </c>
      <c r="M8" s="43"/>
      <c r="N8" s="50">
        <f>'2024 Bean Description'!J10</f>
        <v>0</v>
      </c>
      <c r="O8" s="50">
        <f>'2024 Bean Description'!J11</f>
        <v>4</v>
      </c>
    </row>
    <row r="9">
      <c r="A9" s="44" t="s">
        <v>178</v>
      </c>
      <c r="B9" s="50">
        <f>'2024 Bean Description'!K2</f>
        <v>1</v>
      </c>
      <c r="C9" s="50">
        <f>'2024 Bean Description'!K3</f>
        <v>5</v>
      </c>
      <c r="D9" s="43"/>
      <c r="E9" s="48">
        <f>'2024 Bean Description'!K4</f>
        <v>1</v>
      </c>
      <c r="F9" s="48">
        <f>'2024 Bean Description'!K5</f>
        <v>3</v>
      </c>
      <c r="G9" s="43"/>
      <c r="H9" s="43">
        <f>'2024 Bean Description'!K6</f>
        <v>0</v>
      </c>
      <c r="I9" s="50">
        <f>'2024 Bean Description'!K7</f>
        <v>0</v>
      </c>
      <c r="J9" s="43"/>
      <c r="K9" s="43">
        <f>'2024 Bean Description'!K8</f>
        <v>0</v>
      </c>
      <c r="L9" s="50">
        <f>'2024 Bean Description'!K9</f>
        <v>4</v>
      </c>
      <c r="M9" s="43"/>
      <c r="N9" s="50">
        <f>'2024 Bean Description'!K10</f>
        <v>1</v>
      </c>
      <c r="O9" s="50">
        <f>'2024 Bean Description'!K11</f>
        <v>2</v>
      </c>
    </row>
    <row r="10">
      <c r="A10" s="44" t="s">
        <v>179</v>
      </c>
      <c r="B10" s="50">
        <f>'2024 Bean Description'!L2</f>
        <v>0</v>
      </c>
      <c r="C10" s="50">
        <f>'2024 Bean Description'!L3</f>
        <v>1</v>
      </c>
      <c r="D10" s="43"/>
      <c r="E10" s="48">
        <f>'2024 Bean Description'!L4</f>
        <v>1</v>
      </c>
      <c r="F10" s="48">
        <f>'2024 Bean Description'!L5</f>
        <v>2</v>
      </c>
      <c r="G10" s="43"/>
      <c r="H10" s="43">
        <f>'2024 Bean Description'!L6</f>
        <v>0</v>
      </c>
      <c r="I10" s="50">
        <f>'2024 Bean Description'!L7</f>
        <v>0</v>
      </c>
      <c r="J10" s="43"/>
      <c r="K10" s="43">
        <f>'2024 Bean Description'!L8</f>
        <v>0</v>
      </c>
      <c r="L10" s="50">
        <f>'2024 Bean Description'!L9</f>
        <v>2</v>
      </c>
      <c r="M10" s="43"/>
      <c r="N10" s="50">
        <f>'2024 Bean Description'!L10</f>
        <v>0</v>
      </c>
      <c r="O10" s="50">
        <f>'2024 Bean Description'!L11</f>
        <v>0</v>
      </c>
    </row>
    <row r="11">
      <c r="A11" s="44" t="s">
        <v>180</v>
      </c>
      <c r="B11" s="50">
        <f>'2024 Bean Description'!M2</f>
        <v>0</v>
      </c>
      <c r="C11" s="50">
        <f>'2024 Bean Description'!M3</f>
        <v>2</v>
      </c>
      <c r="D11" s="43"/>
      <c r="E11" s="48">
        <f>'2024 Bean Description'!M4</f>
        <v>0</v>
      </c>
      <c r="F11" s="48">
        <f>'2024 Bean Description'!M5</f>
        <v>1</v>
      </c>
      <c r="G11" s="43"/>
      <c r="H11" s="43">
        <f>'2024 Bean Description'!M6</f>
        <v>1</v>
      </c>
      <c r="I11" s="50">
        <f>'2024 Bean Description'!M7</f>
        <v>0</v>
      </c>
      <c r="J11" s="43"/>
      <c r="K11" s="43">
        <f>'2024 Bean Description'!M8</f>
        <v>0</v>
      </c>
      <c r="L11" s="50">
        <f>'2024 Bean Description'!M9</f>
        <v>1</v>
      </c>
      <c r="M11" s="43"/>
      <c r="N11" s="50">
        <f>'2024 Bean Description'!M10</f>
        <v>0</v>
      </c>
      <c r="O11" s="50">
        <f>'2024 Bean Description'!M11</f>
        <v>0</v>
      </c>
    </row>
    <row r="12">
      <c r="A12" s="44" t="s">
        <v>181</v>
      </c>
      <c r="B12" s="50">
        <f>'2024 Bean Description'!N2</f>
        <v>0</v>
      </c>
      <c r="C12" s="50">
        <f>'2024 Bean Description'!N3</f>
        <v>2</v>
      </c>
      <c r="D12" s="43"/>
      <c r="E12" s="48">
        <f>'2024 Bean Description'!N4</f>
        <v>1</v>
      </c>
      <c r="F12" s="48">
        <f>'2024 Bean Description'!N5</f>
        <v>5</v>
      </c>
      <c r="G12" s="43"/>
      <c r="H12" s="43">
        <f>'2024 Bean Description'!N6</f>
        <v>0</v>
      </c>
      <c r="I12" s="50">
        <f>'2024 Bean Description'!N7</f>
        <v>0</v>
      </c>
      <c r="J12" s="43"/>
      <c r="K12" s="43">
        <f>'2024 Bean Description'!N8</f>
        <v>1</v>
      </c>
      <c r="L12" s="50">
        <f>'2024 Bean Description'!N9</f>
        <v>4</v>
      </c>
      <c r="M12" s="43"/>
      <c r="N12" s="50">
        <f>'2024 Bean Description'!N10</f>
        <v>2</v>
      </c>
      <c r="O12" s="50">
        <f>'2024 Bean Description'!N11</f>
        <v>7</v>
      </c>
    </row>
    <row r="13">
      <c r="A13" s="44" t="s">
        <v>182</v>
      </c>
      <c r="B13" s="50">
        <f>'2024 Bean Description'!O2</f>
        <v>1</v>
      </c>
      <c r="C13" s="50">
        <f>'2024 Bean Description'!O3</f>
        <v>1</v>
      </c>
      <c r="D13" s="43"/>
      <c r="E13" s="48">
        <f>'2024 Bean Description'!O4</f>
        <v>0</v>
      </c>
      <c r="F13" s="48">
        <f>'2024 Bean Description'!O5</f>
        <v>0</v>
      </c>
      <c r="G13" s="43"/>
      <c r="H13" s="43">
        <f>'2024 Bean Description'!O6</f>
        <v>0</v>
      </c>
      <c r="I13" s="50">
        <f>'2024 Bean Description'!O7</f>
        <v>0</v>
      </c>
      <c r="J13" s="43"/>
      <c r="K13" s="43">
        <f>'2024 Bean Description'!O8</f>
        <v>0</v>
      </c>
      <c r="L13" s="50">
        <f>'2024 Bean Description'!O9</f>
        <v>2</v>
      </c>
      <c r="M13" s="43"/>
      <c r="N13" s="50">
        <f>'2024 Bean Description'!O10</f>
        <v>3</v>
      </c>
      <c r="O13" s="50">
        <f>'2024 Bean Description'!O11</f>
        <v>4</v>
      </c>
    </row>
    <row r="14">
      <c r="A14" s="44" t="s">
        <v>183</v>
      </c>
      <c r="B14" s="50">
        <f>'2024 Bean Description'!P2</f>
        <v>0</v>
      </c>
      <c r="C14" s="50">
        <f>'2024 Bean Description'!P3</f>
        <v>0</v>
      </c>
      <c r="D14" s="43"/>
      <c r="E14" s="48">
        <f>'2024 Bean Description'!P4</f>
        <v>0</v>
      </c>
      <c r="F14" s="48">
        <f>'2024 Bean Description'!P5</f>
        <v>2</v>
      </c>
      <c r="G14" s="43"/>
      <c r="H14" s="43">
        <f>'2024 Bean Description'!P6</f>
        <v>0</v>
      </c>
      <c r="I14" s="50">
        <f>'2024 Bean Description'!P7</f>
        <v>0</v>
      </c>
      <c r="J14" s="43"/>
      <c r="K14" s="43">
        <f>'2024 Bean Description'!P8</f>
        <v>0</v>
      </c>
      <c r="L14" s="50">
        <f>'2024 Bean Description'!P9</f>
        <v>0</v>
      </c>
      <c r="M14" s="43"/>
      <c r="N14" s="50">
        <f>'2024 Bean Description'!P10</f>
        <v>0</v>
      </c>
      <c r="O14" s="50">
        <f>'2024 Bean Description'!P11</f>
        <v>3</v>
      </c>
    </row>
    <row r="15">
      <c r="A15" s="44" t="s">
        <v>184</v>
      </c>
      <c r="B15" s="50">
        <f>'2024 Bean Description'!Q2</f>
        <v>1</v>
      </c>
      <c r="C15" s="50">
        <f>'2024 Bean Description'!Q3</f>
        <v>0</v>
      </c>
      <c r="D15" s="43"/>
      <c r="E15" s="48">
        <f>'2024 Bean Description'!Q4</f>
        <v>0</v>
      </c>
      <c r="F15" s="48">
        <f>'2024 Bean Description'!Q5</f>
        <v>5</v>
      </c>
      <c r="G15" s="43"/>
      <c r="H15" s="43">
        <f>'2024 Bean Description'!Q6</f>
        <v>1</v>
      </c>
      <c r="I15" s="50">
        <f>'2024 Bean Description'!Q7</f>
        <v>1</v>
      </c>
      <c r="J15" s="43"/>
      <c r="K15" s="43">
        <f>'2024 Bean Description'!Q8</f>
        <v>0</v>
      </c>
      <c r="L15" s="50">
        <f>'2024 Bean Description'!Q9</f>
        <v>0</v>
      </c>
      <c r="M15" s="43"/>
      <c r="N15" s="50">
        <f>'2024 Bean Description'!Q10</f>
        <v>0</v>
      </c>
      <c r="O15" s="50">
        <f>'2024 Bean Description'!Q11</f>
        <v>7</v>
      </c>
    </row>
    <row r="16">
      <c r="A16" s="44" t="s">
        <v>185</v>
      </c>
      <c r="B16" s="50">
        <f>'2024 Bean Description'!R2</f>
        <v>0</v>
      </c>
      <c r="C16" s="50">
        <f>'2024 Bean Description'!R3</f>
        <v>2</v>
      </c>
      <c r="D16" s="43"/>
      <c r="E16" s="48">
        <f>'2024 Bean Description'!R4</f>
        <v>0</v>
      </c>
      <c r="F16" s="48">
        <f>'2024 Bean Description'!R5</f>
        <v>1</v>
      </c>
      <c r="G16" s="43"/>
      <c r="H16" s="43">
        <f>'2024 Bean Description'!R6</f>
        <v>0</v>
      </c>
      <c r="I16" s="50">
        <f>'2024 Bean Description'!R7</f>
        <v>0</v>
      </c>
      <c r="J16" s="43"/>
      <c r="K16" s="43">
        <f>'2024 Bean Description'!R8</f>
        <v>0</v>
      </c>
      <c r="L16" s="50">
        <f>'2024 Bean Description'!R9</f>
        <v>0</v>
      </c>
      <c r="M16" s="43"/>
      <c r="N16" s="50">
        <f>'2024 Bean Description'!R10</f>
        <v>1</v>
      </c>
      <c r="O16" s="50">
        <f>'2024 Bean Description'!R11</f>
        <v>4</v>
      </c>
    </row>
    <row r="17">
      <c r="A17" s="43"/>
      <c r="B17" s="50"/>
      <c r="C17" s="50"/>
      <c r="D17" s="43"/>
      <c r="E17" s="50"/>
      <c r="F17" s="50"/>
      <c r="G17" s="43"/>
      <c r="H17" s="43"/>
      <c r="I17" s="50"/>
      <c r="J17" s="43"/>
      <c r="K17" s="43"/>
      <c r="L17" s="50"/>
      <c r="M17" s="43"/>
      <c r="N17" s="50"/>
      <c r="O17" s="50"/>
    </row>
    <row r="18">
      <c r="A18" s="43"/>
      <c r="B18" s="44" t="str">
        <f>'2024 Bean Description'!C12</f>
        <v>3rd-Curr</v>
      </c>
      <c r="C18" s="46"/>
      <c r="D18" s="46"/>
      <c r="E18" s="44" t="str">
        <f>'2024 Bean Description'!C14</f>
        <v>6th-Curr</v>
      </c>
      <c r="F18" s="46"/>
      <c r="G18" s="46"/>
      <c r="H18" s="44" t="str">
        <f>'2024 Bean Description'!C16</f>
        <v>5th-Curr</v>
      </c>
      <c r="I18" s="46"/>
      <c r="J18" s="46"/>
      <c r="K18" s="44" t="str">
        <f>'2024 Bean Description'!C18</f>
        <v>6th-Curr</v>
      </c>
      <c r="L18" s="46"/>
      <c r="M18" s="46"/>
      <c r="N18" s="44" t="str">
        <f>'2024 Bean Description'!C20</f>
        <v>1st-Curr</v>
      </c>
      <c r="O18" s="43"/>
    </row>
    <row r="19">
      <c r="A19" s="46"/>
      <c r="B19" s="47" t="s">
        <v>44</v>
      </c>
      <c r="C19" s="47" t="s">
        <v>58</v>
      </c>
      <c r="D19" s="46"/>
      <c r="E19" s="47" t="s">
        <v>95</v>
      </c>
      <c r="F19" s="100" t="s">
        <v>69</v>
      </c>
      <c r="G19" s="46"/>
      <c r="H19" s="47" t="s">
        <v>29</v>
      </c>
      <c r="I19" s="47" t="s">
        <v>63</v>
      </c>
      <c r="J19" s="46"/>
      <c r="K19" s="47" t="s">
        <v>334</v>
      </c>
      <c r="L19" s="47" t="s">
        <v>51</v>
      </c>
      <c r="M19" s="46"/>
      <c r="N19" s="47" t="s">
        <v>67</v>
      </c>
      <c r="O19" s="47" t="s">
        <v>72</v>
      </c>
    </row>
    <row r="20">
      <c r="A20" s="44" t="s">
        <v>174</v>
      </c>
      <c r="B20" s="48">
        <f>'2024 Bean Description'!G12</f>
        <v>2</v>
      </c>
      <c r="C20" s="48">
        <f>'2024 Bean Description'!G13</f>
        <v>9</v>
      </c>
      <c r="D20" s="43"/>
      <c r="E20" s="48">
        <f>'2024 Bean Description'!G14</f>
        <v>1</v>
      </c>
      <c r="F20" s="48">
        <f>'2024 Bean Description'!G15</f>
        <v>2</v>
      </c>
      <c r="G20" s="43"/>
      <c r="H20" s="43">
        <f>'2024 Bean Description'!G16</f>
        <v>1</v>
      </c>
      <c r="I20" s="43">
        <f>'2024 Bean Description'!G17</f>
        <v>1</v>
      </c>
      <c r="J20" s="43"/>
      <c r="K20" s="48">
        <f>'2024 Bean Description'!G18</f>
        <v>2</v>
      </c>
      <c r="L20" s="48">
        <f>'2024 Bean Description'!G19</f>
        <v>2</v>
      </c>
      <c r="M20" s="43"/>
      <c r="N20" s="48">
        <f>'2024 Bean Description'!G20</f>
        <v>2</v>
      </c>
      <c r="O20" s="48">
        <f>'2024 Bean Description'!G21</f>
        <v>2</v>
      </c>
    </row>
    <row r="21">
      <c r="A21" s="44" t="s">
        <v>175</v>
      </c>
      <c r="B21" s="43">
        <f>'2024 Bean Description'!H12</f>
        <v>0</v>
      </c>
      <c r="C21" s="43">
        <f>'2024 Bean Description'!H13</f>
        <v>3</v>
      </c>
      <c r="D21" s="43"/>
      <c r="E21" s="43">
        <f>'2024 Bean Description'!H14</f>
        <v>1</v>
      </c>
      <c r="F21" s="43">
        <f>'2024 Bean Description'!H15</f>
        <v>6</v>
      </c>
      <c r="G21" s="43"/>
      <c r="H21" s="43">
        <f>'2024 Bean Description'!H16</f>
        <v>3</v>
      </c>
      <c r="I21" s="43">
        <f>'2024 Bean Description'!H17</f>
        <v>2</v>
      </c>
      <c r="J21" s="43"/>
      <c r="K21" s="43">
        <f>'2024 Bean Description'!H18</f>
        <v>0</v>
      </c>
      <c r="L21" s="43">
        <f>'2024 Bean Description'!H19</f>
        <v>1</v>
      </c>
      <c r="M21" s="43"/>
      <c r="N21" s="43">
        <f>'2024 Bean Description'!H20</f>
        <v>2</v>
      </c>
      <c r="O21" s="43">
        <f>'2024 Bean Description'!H21</f>
        <v>2</v>
      </c>
    </row>
    <row r="22">
      <c r="A22" s="44" t="s">
        <v>176</v>
      </c>
      <c r="B22" s="48">
        <f>'2024 Bean Description'!I12</f>
        <v>2</v>
      </c>
      <c r="C22" s="48">
        <f>'2024 Bean Description'!I13</f>
        <v>3</v>
      </c>
      <c r="D22" s="43"/>
      <c r="E22" s="43">
        <f>'2024 Bean Description'!I14</f>
        <v>1</v>
      </c>
      <c r="F22" s="43">
        <f>'2024 Bean Description'!I15</f>
        <v>1</v>
      </c>
      <c r="G22" s="43"/>
      <c r="H22" s="48">
        <f>'2024 Bean Description'!I16</f>
        <v>2</v>
      </c>
      <c r="I22" s="48">
        <f>'2024 Bean Description'!I17</f>
        <v>3</v>
      </c>
      <c r="J22" s="43"/>
      <c r="K22" s="43">
        <f>'2024 Bean Description'!I18</f>
        <v>1</v>
      </c>
      <c r="L22" s="43">
        <f>'2024 Bean Description'!I19</f>
        <v>4</v>
      </c>
      <c r="M22" s="43"/>
      <c r="N22" s="48">
        <f>'2024 Bean Description'!I20</f>
        <v>1</v>
      </c>
      <c r="O22" s="48">
        <f>'2024 Bean Description'!I21</f>
        <v>4</v>
      </c>
    </row>
    <row r="23">
      <c r="A23" s="44" t="s">
        <v>177</v>
      </c>
      <c r="B23" s="43">
        <f>'2024 Bean Description'!J12</f>
        <v>0</v>
      </c>
      <c r="C23" s="50">
        <f>'2024 Bean Description'!J13</f>
        <v>1</v>
      </c>
      <c r="D23" s="43"/>
      <c r="E23" s="43">
        <f>'2024 Bean Description'!J14</f>
        <v>0</v>
      </c>
      <c r="F23" s="43">
        <f>'2024 Bean Description'!J15</f>
        <v>5</v>
      </c>
      <c r="G23" s="43"/>
      <c r="H23" s="43">
        <f>'2024 Bean Description'!J16</f>
        <v>2</v>
      </c>
      <c r="I23" s="50">
        <f>'2024 Bean Description'!J17</f>
        <v>1</v>
      </c>
      <c r="J23" s="43"/>
      <c r="K23" s="43">
        <f>'2024 Bean Description'!J18</f>
        <v>1</v>
      </c>
      <c r="L23" s="49">
        <f>'2024 Bean Description'!J19</f>
        <v>1</v>
      </c>
      <c r="M23" s="43"/>
      <c r="N23" s="43">
        <f>'2024 Bean Description'!J20</f>
        <v>1</v>
      </c>
      <c r="O23" s="50">
        <f>'2024 Bean Description'!J21</f>
        <v>3</v>
      </c>
    </row>
    <row r="24">
      <c r="A24" s="44" t="s">
        <v>178</v>
      </c>
      <c r="B24" s="43">
        <f>'2024 Bean Description'!K12</f>
        <v>0</v>
      </c>
      <c r="C24" s="50">
        <f>'2024 Bean Description'!K13</f>
        <v>2</v>
      </c>
      <c r="D24" s="43"/>
      <c r="E24" s="43">
        <f>'2024 Bean Description'!K14</f>
        <v>2</v>
      </c>
      <c r="F24" s="43">
        <f>'2024 Bean Description'!K15</f>
        <v>3</v>
      </c>
      <c r="G24" s="43"/>
      <c r="H24" s="43">
        <f>'2024 Bean Description'!K16</f>
        <v>1</v>
      </c>
      <c r="I24" s="50">
        <f>'2024 Bean Description'!K17</f>
        <v>1</v>
      </c>
      <c r="J24" s="43"/>
      <c r="K24" s="43">
        <f>'2024 Bean Description'!K18</f>
        <v>0</v>
      </c>
      <c r="L24" s="49">
        <f>'2024 Bean Description'!K19</f>
        <v>3</v>
      </c>
      <c r="M24" s="43"/>
      <c r="N24" s="43">
        <f>'2024 Bean Description'!K20</f>
        <v>1</v>
      </c>
      <c r="O24" s="50">
        <f>'2024 Bean Description'!K21</f>
        <v>1</v>
      </c>
    </row>
    <row r="25">
      <c r="A25" s="44" t="s">
        <v>179</v>
      </c>
      <c r="B25" s="43">
        <f>'2024 Bean Description'!L12</f>
        <v>2</v>
      </c>
      <c r="C25" s="50">
        <f>'2024 Bean Description'!L13</f>
        <v>1</v>
      </c>
      <c r="D25" s="43"/>
      <c r="E25" s="43">
        <f>'2024 Bean Description'!L14</f>
        <v>1</v>
      </c>
      <c r="F25" s="43">
        <f>'2024 Bean Description'!L15</f>
        <v>2</v>
      </c>
      <c r="G25" s="43"/>
      <c r="H25" s="43">
        <f>'2024 Bean Description'!L16</f>
        <v>0</v>
      </c>
      <c r="I25" s="50">
        <f>'2024 Bean Description'!L17</f>
        <v>0</v>
      </c>
      <c r="J25" s="43"/>
      <c r="K25" s="43">
        <f>'2024 Bean Description'!L18</f>
        <v>0</v>
      </c>
      <c r="L25" s="49">
        <f>'2024 Bean Description'!L19</f>
        <v>0</v>
      </c>
      <c r="M25" s="43"/>
      <c r="N25" s="43">
        <f>'2024 Bean Description'!L20</f>
        <v>1</v>
      </c>
      <c r="O25" s="50">
        <f>'2024 Bean Description'!L21</f>
        <v>1</v>
      </c>
    </row>
    <row r="26">
      <c r="A26" s="44" t="s">
        <v>180</v>
      </c>
      <c r="B26" s="43">
        <f>'2024 Bean Description'!M12</f>
        <v>0</v>
      </c>
      <c r="C26" s="50">
        <f>'2024 Bean Description'!M13</f>
        <v>0</v>
      </c>
      <c r="D26" s="43"/>
      <c r="E26" s="43">
        <f>'2024 Bean Description'!M14</f>
        <v>0</v>
      </c>
      <c r="F26" s="43">
        <f>'2024 Bean Description'!M15</f>
        <v>1</v>
      </c>
      <c r="G26" s="43"/>
      <c r="H26" s="43">
        <f>'2024 Bean Description'!M16</f>
        <v>0</v>
      </c>
      <c r="I26" s="50">
        <f>'2024 Bean Description'!M17</f>
        <v>2</v>
      </c>
      <c r="J26" s="43"/>
      <c r="K26" s="43">
        <f>'2024 Bean Description'!M18</f>
        <v>0</v>
      </c>
      <c r="L26" s="49">
        <f>'2024 Bean Description'!M19</f>
        <v>1</v>
      </c>
      <c r="M26" s="43"/>
      <c r="N26" s="43">
        <f>'2024 Bean Description'!M20</f>
        <v>0</v>
      </c>
      <c r="O26" s="50">
        <f>'2024 Bean Description'!M21</f>
        <v>3</v>
      </c>
    </row>
    <row r="27">
      <c r="A27" s="44" t="s">
        <v>181</v>
      </c>
      <c r="B27" s="43">
        <f>'2024 Bean Description'!N12</f>
        <v>2</v>
      </c>
      <c r="C27" s="50">
        <f>'2024 Bean Description'!N13</f>
        <v>6</v>
      </c>
      <c r="D27" s="43"/>
      <c r="E27" s="43">
        <f>'2024 Bean Description'!N14</f>
        <v>0</v>
      </c>
      <c r="F27" s="43">
        <f>'2024 Bean Description'!N15</f>
        <v>4</v>
      </c>
      <c r="G27" s="43"/>
      <c r="H27" s="43">
        <f>'2024 Bean Description'!N16</f>
        <v>0</v>
      </c>
      <c r="I27" s="50">
        <f>'2024 Bean Description'!N17</f>
        <v>5</v>
      </c>
      <c r="J27" s="43"/>
      <c r="K27" s="43">
        <f>'2024 Bean Description'!N18</f>
        <v>1</v>
      </c>
      <c r="L27" s="49">
        <f>'2024 Bean Description'!N19</f>
        <v>5</v>
      </c>
      <c r="M27" s="43"/>
      <c r="N27" s="43">
        <f>'2024 Bean Description'!N20</f>
        <v>0</v>
      </c>
      <c r="O27" s="50">
        <f>'2024 Bean Description'!N21</f>
        <v>7</v>
      </c>
    </row>
    <row r="28">
      <c r="A28" s="44" t="s">
        <v>182</v>
      </c>
      <c r="B28" s="43">
        <f>'2024 Bean Description'!O12</f>
        <v>2</v>
      </c>
      <c r="C28" s="50">
        <f>'2024 Bean Description'!O13</f>
        <v>4</v>
      </c>
      <c r="D28" s="43"/>
      <c r="E28" s="43">
        <f>'2024 Bean Description'!O14</f>
        <v>1</v>
      </c>
      <c r="F28" s="43">
        <f>'2024 Bean Description'!O15</f>
        <v>1</v>
      </c>
      <c r="G28" s="43"/>
      <c r="H28" s="43">
        <f>'2024 Bean Description'!O16</f>
        <v>0</v>
      </c>
      <c r="I28" s="50">
        <f>'2024 Bean Description'!O17</f>
        <v>2</v>
      </c>
      <c r="J28" s="43"/>
      <c r="K28" s="43">
        <f>'2024 Bean Description'!O18</f>
        <v>2</v>
      </c>
      <c r="L28" s="49">
        <f>'2024 Bean Description'!O19</f>
        <v>1</v>
      </c>
      <c r="M28" s="43"/>
      <c r="N28" s="43">
        <f>'2024 Bean Description'!O20</f>
        <v>0</v>
      </c>
      <c r="O28" s="50">
        <f>'2024 Bean Description'!O21</f>
        <v>3</v>
      </c>
    </row>
    <row r="29">
      <c r="A29" s="44" t="s">
        <v>183</v>
      </c>
      <c r="B29" s="43">
        <f>'2024 Bean Description'!P12</f>
        <v>0</v>
      </c>
      <c r="C29" s="50">
        <f>'2024 Bean Description'!P13</f>
        <v>2</v>
      </c>
      <c r="D29" s="43"/>
      <c r="E29" s="43">
        <f>'2024 Bean Description'!P14</f>
        <v>1</v>
      </c>
      <c r="F29" s="43">
        <f>'2024 Bean Description'!P15</f>
        <v>2</v>
      </c>
      <c r="G29" s="43"/>
      <c r="H29" s="43">
        <f>'2024 Bean Description'!P16</f>
        <v>1</v>
      </c>
      <c r="I29" s="50">
        <f>'2024 Bean Description'!P17</f>
        <v>1</v>
      </c>
      <c r="J29" s="43"/>
      <c r="K29" s="43">
        <f>'2024 Bean Description'!P18</f>
        <v>1</v>
      </c>
      <c r="L29" s="49">
        <f>'2024 Bean Description'!P19</f>
        <v>0</v>
      </c>
      <c r="M29" s="43"/>
      <c r="N29" s="43">
        <f>'2024 Bean Description'!P20</f>
        <v>0</v>
      </c>
      <c r="O29" s="50">
        <f>'2024 Bean Description'!P21</f>
        <v>4</v>
      </c>
    </row>
    <row r="30">
      <c r="A30" s="44" t="s">
        <v>184</v>
      </c>
      <c r="B30" s="43">
        <f>'2024 Bean Description'!Q12</f>
        <v>4</v>
      </c>
      <c r="C30" s="50">
        <f>'2024 Bean Description'!Q13</f>
        <v>4</v>
      </c>
      <c r="D30" s="43"/>
      <c r="E30" s="43">
        <f>'2024 Bean Description'!Q14</f>
        <v>0</v>
      </c>
      <c r="F30" s="43">
        <f>'2024 Bean Description'!Q15</f>
        <v>4</v>
      </c>
      <c r="G30" s="43"/>
      <c r="H30" s="43">
        <f>'2024 Bean Description'!Q16</f>
        <v>0</v>
      </c>
      <c r="I30" s="50">
        <f>'2024 Bean Description'!Q17</f>
        <v>4</v>
      </c>
      <c r="J30" s="43"/>
      <c r="K30" s="43">
        <f>'2024 Bean Description'!Q18</f>
        <v>2</v>
      </c>
      <c r="L30" s="49">
        <f>'2024 Bean Description'!Q19</f>
        <v>5</v>
      </c>
      <c r="M30" s="43"/>
      <c r="N30" s="43">
        <f>'2024 Bean Description'!Q20</f>
        <v>3</v>
      </c>
      <c r="O30" s="50">
        <f>'2024 Bean Description'!Q21</f>
        <v>3</v>
      </c>
    </row>
    <row r="31">
      <c r="A31" s="44" t="s">
        <v>185</v>
      </c>
      <c r="B31" s="43">
        <f>'2024 Bean Description'!R12</f>
        <v>0</v>
      </c>
      <c r="C31" s="50">
        <f>'2024 Bean Description'!R13</f>
        <v>0</v>
      </c>
      <c r="D31" s="43"/>
      <c r="E31" s="43">
        <f>'2024 Bean Description'!R14</f>
        <v>1</v>
      </c>
      <c r="F31" s="43">
        <f>'2024 Bean Description'!R15</f>
        <v>2</v>
      </c>
      <c r="G31" s="43"/>
      <c r="H31" s="43">
        <f>'2024 Bean Description'!R16</f>
        <v>0</v>
      </c>
      <c r="I31" s="50">
        <f>'2024 Bean Description'!R17</f>
        <v>3</v>
      </c>
      <c r="J31" s="43"/>
      <c r="K31" s="43">
        <f>'2024 Bean Description'!R18</f>
        <v>1</v>
      </c>
      <c r="L31" s="49">
        <f>'2024 Bean Description'!R19</f>
        <v>3</v>
      </c>
      <c r="M31" s="43"/>
      <c r="N31" s="43">
        <f>'2024 Bean Description'!R20</f>
        <v>2</v>
      </c>
      <c r="O31" s="50">
        <f>'2024 Bean Description'!R21</f>
        <v>1</v>
      </c>
    </row>
    <row r="32">
      <c r="A32" s="43"/>
      <c r="B32" s="43"/>
      <c r="C32" s="50"/>
      <c r="D32" s="43"/>
      <c r="E32" s="43"/>
      <c r="F32" s="43"/>
      <c r="G32" s="52"/>
      <c r="H32" s="52"/>
      <c r="I32" s="42"/>
      <c r="J32" s="52"/>
      <c r="K32" s="52"/>
      <c r="L32" s="52"/>
      <c r="M32" s="52"/>
      <c r="N32" s="52"/>
      <c r="O32" s="42"/>
    </row>
    <row r="33">
      <c r="A33" s="43"/>
      <c r="B33" s="44" t="str">
        <f>'2024 Bean Description'!C22</f>
        <v>2nd-5th</v>
      </c>
      <c r="C33" s="46"/>
      <c r="D33" s="46"/>
      <c r="E33" s="44" t="str">
        <f>'2024 Bean Description'!C24</f>
        <v>4th-5th</v>
      </c>
      <c r="F33" s="43"/>
      <c r="G33" s="52"/>
      <c r="H33" s="52"/>
      <c r="I33" s="52"/>
      <c r="J33" s="52"/>
      <c r="L33" s="52"/>
      <c r="M33" s="52"/>
      <c r="N33" s="52"/>
      <c r="O33" s="52"/>
    </row>
    <row r="34">
      <c r="A34" s="46"/>
      <c r="B34" s="47" t="s">
        <v>118</v>
      </c>
      <c r="C34" s="47" t="s">
        <v>122</v>
      </c>
      <c r="D34" s="46"/>
      <c r="E34" s="47" t="s">
        <v>124</v>
      </c>
      <c r="F34" s="47" t="s">
        <v>127</v>
      </c>
      <c r="G34" s="53"/>
      <c r="H34" s="101" t="s">
        <v>349</v>
      </c>
      <c r="I34" s="101" t="s">
        <v>350</v>
      </c>
      <c r="J34" s="53"/>
      <c r="L34" s="102"/>
      <c r="M34" s="53"/>
      <c r="N34" s="102"/>
      <c r="O34" s="102"/>
    </row>
    <row r="35">
      <c r="A35" s="44" t="s">
        <v>174</v>
      </c>
      <c r="B35" s="54">
        <f>'2024 Bean Description'!G22</f>
        <v>0</v>
      </c>
      <c r="C35" s="54">
        <f>'2024 Bean Description'!G23</f>
        <v>0</v>
      </c>
      <c r="D35" s="43"/>
      <c r="E35" s="54">
        <f>'2024 Bean Description'!G24</f>
        <v>0</v>
      </c>
      <c r="F35" s="54">
        <f>'2024 Bean Description'!G25</f>
        <v>0</v>
      </c>
      <c r="G35" s="53"/>
      <c r="H35" s="54">
        <f>'2024 Bean Description'!G35</f>
        <v>0</v>
      </c>
      <c r="I35" s="54">
        <f>'2024 Bean Description'!G36</f>
        <v>0</v>
      </c>
      <c r="J35" s="53"/>
      <c r="L35" s="102"/>
      <c r="M35" s="53"/>
      <c r="N35" s="102"/>
      <c r="O35" s="102"/>
    </row>
    <row r="36">
      <c r="A36" s="44" t="s">
        <v>175</v>
      </c>
      <c r="B36" s="49">
        <f>'2024 Bean Description'!H22</f>
        <v>0</v>
      </c>
      <c r="C36" s="43">
        <f>'2024 Bean Description'!H23</f>
        <v>0</v>
      </c>
      <c r="D36" s="43"/>
      <c r="E36" s="43">
        <f>'2024 Bean Description'!H24</f>
        <v>0</v>
      </c>
      <c r="F36" s="43">
        <f>'2024 Bean Description'!H25</f>
        <v>0</v>
      </c>
      <c r="G36" s="52"/>
      <c r="H36" s="43">
        <f>'2024 Bean Description'!H35</f>
        <v>0</v>
      </c>
      <c r="I36" s="43">
        <f>'2024 Bean Description'!H36</f>
        <v>0</v>
      </c>
      <c r="J36" s="52"/>
      <c r="L36" s="52"/>
      <c r="M36" s="52"/>
      <c r="N36" s="52"/>
      <c r="O36" s="52"/>
    </row>
    <row r="37">
      <c r="A37" s="44" t="s">
        <v>176</v>
      </c>
      <c r="B37" s="48">
        <f>'2024 Bean Description'!I22</f>
        <v>0</v>
      </c>
      <c r="C37" s="48">
        <f>'2024 Bean Description'!I23</f>
        <v>0</v>
      </c>
      <c r="D37" s="43"/>
      <c r="E37" s="48">
        <f>'2024 Bean Description'!I24</f>
        <v>0</v>
      </c>
      <c r="F37" s="48">
        <f>'2024 Bean Description'!I25</f>
        <v>0</v>
      </c>
      <c r="G37" s="52"/>
      <c r="H37" s="48">
        <f>'2024 Bean Description'!I35</f>
        <v>0</v>
      </c>
      <c r="I37" s="48">
        <f>'2024 Bean Description'!I36</f>
        <v>0</v>
      </c>
      <c r="J37" s="52"/>
      <c r="L37" s="52"/>
      <c r="M37" s="52"/>
      <c r="N37" s="52"/>
      <c r="O37" s="52"/>
    </row>
    <row r="38">
      <c r="A38" s="44" t="s">
        <v>177</v>
      </c>
      <c r="B38" s="43">
        <f>'2024 Bean Description'!J22</f>
        <v>0</v>
      </c>
      <c r="C38" s="50">
        <f>'2024 Bean Description'!J23</f>
        <v>0</v>
      </c>
      <c r="D38" s="43"/>
      <c r="E38" s="50">
        <f>'2024 Bean Description'!J24</f>
        <v>0</v>
      </c>
      <c r="F38" s="43">
        <f>'2024 Bean Description'!J25</f>
        <v>0</v>
      </c>
      <c r="G38" s="52"/>
      <c r="H38" s="49">
        <f>'2024 Bean Description'!J35</f>
        <v>0</v>
      </c>
      <c r="I38" s="49">
        <f>'2024 Bean Description'!J36</f>
        <v>0</v>
      </c>
      <c r="J38" s="52"/>
      <c r="L38" s="52"/>
      <c r="M38" s="52"/>
      <c r="N38" s="52"/>
      <c r="O38" s="52"/>
    </row>
    <row r="39">
      <c r="A39" s="44" t="s">
        <v>178</v>
      </c>
      <c r="B39" s="57">
        <f>'2024 Bean Description'!K22</f>
        <v>0</v>
      </c>
      <c r="C39" s="57">
        <f>'2024 Bean Description'!K23</f>
        <v>0</v>
      </c>
      <c r="D39" s="57"/>
      <c r="E39" s="57">
        <f>'2024 Bean Description'!K24</f>
        <v>0</v>
      </c>
      <c r="F39" s="58">
        <f>'2024 Bean Description'!K25</f>
        <v>0</v>
      </c>
      <c r="G39" s="57"/>
      <c r="H39" s="49">
        <f>'2024 Bean Description'!K35</f>
        <v>0</v>
      </c>
      <c r="I39" s="57">
        <f>'2024 Bean Description'!K36</f>
        <v>0</v>
      </c>
      <c r="J39" s="52"/>
      <c r="L39" s="52"/>
      <c r="M39" s="52"/>
      <c r="N39" s="52"/>
      <c r="O39" s="52"/>
    </row>
    <row r="40">
      <c r="A40" s="44" t="s">
        <v>179</v>
      </c>
      <c r="B40" s="57">
        <f>'2024 Bean Description'!L22</f>
        <v>0</v>
      </c>
      <c r="C40" s="57">
        <f>'2024 Bean Description'!L23</f>
        <v>0</v>
      </c>
      <c r="D40" s="57"/>
      <c r="E40" s="57">
        <f>'2024 Bean Description'!L24</f>
        <v>0</v>
      </c>
      <c r="F40" s="58">
        <f>'2024 Bean Description'!L25</f>
        <v>0</v>
      </c>
      <c r="G40" s="57"/>
      <c r="H40" s="49">
        <f>'2024 Bean Description'!L35</f>
        <v>0</v>
      </c>
      <c r="I40" s="59">
        <f>'2024 Bean Description'!L36</f>
        <v>0</v>
      </c>
      <c r="J40" s="52"/>
      <c r="L40" s="52"/>
      <c r="M40" s="52"/>
      <c r="N40" s="52"/>
      <c r="O40" s="52"/>
    </row>
    <row r="41">
      <c r="A41" s="44" t="s">
        <v>180</v>
      </c>
      <c r="B41" s="57">
        <f>'2024 Bean Description'!M22</f>
        <v>0</v>
      </c>
      <c r="C41" s="57">
        <f>'2024 Bean Description'!M23</f>
        <v>0</v>
      </c>
      <c r="D41" s="57"/>
      <c r="E41" s="57">
        <f>'2024 Bean Description'!M24</f>
        <v>0</v>
      </c>
      <c r="F41" s="58">
        <f>'2024 Bean Description'!M25</f>
        <v>0</v>
      </c>
      <c r="G41" s="57"/>
      <c r="H41" s="49">
        <f>'2024 Bean Description'!M35</f>
        <v>0</v>
      </c>
      <c r="I41" s="59">
        <f>'2024 Bean Description'!M36</f>
        <v>0</v>
      </c>
      <c r="J41" s="52"/>
      <c r="L41" s="52"/>
      <c r="M41" s="52"/>
      <c r="N41" s="52"/>
      <c r="O41" s="52"/>
    </row>
    <row r="42">
      <c r="A42" s="44" t="s">
        <v>181</v>
      </c>
      <c r="B42" s="57">
        <f>'2024 Bean Description'!N22</f>
        <v>0</v>
      </c>
      <c r="C42" s="57">
        <f>'2024 Bean Description'!N23</f>
        <v>0</v>
      </c>
      <c r="D42" s="57"/>
      <c r="E42" s="57">
        <f>'2024 Bean Description'!N24</f>
        <v>0</v>
      </c>
      <c r="F42" s="58">
        <f>'2024 Bean Description'!N25</f>
        <v>0</v>
      </c>
      <c r="G42" s="57"/>
      <c r="H42" s="49">
        <f>'2024 Bean Description'!N35</f>
        <v>0</v>
      </c>
      <c r="I42" s="59">
        <f>'2024 Bean Description'!N36</f>
        <v>0</v>
      </c>
      <c r="J42" s="52"/>
      <c r="L42" s="52"/>
      <c r="M42" s="52"/>
      <c r="N42" s="52"/>
      <c r="O42" s="52"/>
    </row>
    <row r="43">
      <c r="A43" s="44" t="s">
        <v>182</v>
      </c>
      <c r="B43" s="57">
        <f>'2024 Bean Description'!O22</f>
        <v>0</v>
      </c>
      <c r="C43" s="57">
        <f>'2024 Bean Description'!O23</f>
        <v>0</v>
      </c>
      <c r="D43" s="57"/>
      <c r="E43" s="57">
        <f>'2024 Bean Description'!O24</f>
        <v>0</v>
      </c>
      <c r="F43" s="58">
        <f>'2024 Bean Description'!O25</f>
        <v>0</v>
      </c>
      <c r="G43" s="57"/>
      <c r="H43" s="49">
        <f>'2024 Bean Description'!O35</f>
        <v>0</v>
      </c>
      <c r="I43" s="59">
        <f>'2024 Bean Description'!O36</f>
        <v>0</v>
      </c>
      <c r="J43" s="52"/>
      <c r="L43" s="52"/>
      <c r="M43" s="52"/>
      <c r="N43" s="52"/>
      <c r="O43" s="52"/>
    </row>
    <row r="44">
      <c r="A44" s="60" t="s">
        <v>183</v>
      </c>
      <c r="B44" s="61">
        <f>'2024 Bean Description'!P22</f>
        <v>0</v>
      </c>
      <c r="C44" s="61">
        <f>'2024 Bean Description'!P23</f>
        <v>0</v>
      </c>
      <c r="D44" s="62"/>
      <c r="E44" s="61">
        <f>'2024 Bean Description'!P24</f>
        <v>0</v>
      </c>
      <c r="F44" s="61">
        <f>'2024 Bean Description'!P25</f>
        <v>0</v>
      </c>
      <c r="G44" s="62"/>
      <c r="H44" s="61">
        <f>'2024 Bean Description'!P35</f>
        <v>0</v>
      </c>
      <c r="I44" s="61">
        <f>'2024 Bean Description'!P36</f>
        <v>0</v>
      </c>
      <c r="J44" s="62"/>
      <c r="K44" s="62"/>
      <c r="L44" s="62"/>
      <c r="M44" s="62"/>
      <c r="N44" s="103"/>
      <c r="O44" s="104"/>
      <c r="P44" s="63"/>
      <c r="Q44" s="64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</row>
    <row r="45">
      <c r="A45" s="60" t="s">
        <v>184</v>
      </c>
      <c r="B45" s="61">
        <f>'2024 Bean Description'!Q22</f>
        <v>0</v>
      </c>
      <c r="C45" s="61">
        <f>'2024 Bean Description'!Q23</f>
        <v>0</v>
      </c>
      <c r="D45" s="62"/>
      <c r="E45" s="61">
        <f>'2024 Bean Description'!Q24</f>
        <v>0</v>
      </c>
      <c r="F45" s="61">
        <f>'2024 Bean Description'!Q25</f>
        <v>0</v>
      </c>
      <c r="G45" s="62"/>
      <c r="H45" s="61">
        <f>'2024 Bean Description'!Q35</f>
        <v>0</v>
      </c>
      <c r="I45" s="61">
        <f>'2024 Bean Description'!Q36</f>
        <v>0</v>
      </c>
      <c r="J45" s="62"/>
      <c r="K45" s="62"/>
      <c r="L45" s="62"/>
      <c r="M45" s="62"/>
      <c r="N45" s="103"/>
      <c r="O45" s="104"/>
      <c r="P45" s="63"/>
      <c r="Q45" s="64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</row>
    <row r="46">
      <c r="A46" s="60" t="s">
        <v>185</v>
      </c>
      <c r="B46" s="61">
        <f>'2024 Bean Description'!R22</f>
        <v>0</v>
      </c>
      <c r="C46" s="61">
        <f>'2024 Bean Description'!R23</f>
        <v>0</v>
      </c>
      <c r="D46" s="62"/>
      <c r="E46" s="61">
        <f>'2024 Bean Description'!R24</f>
        <v>0</v>
      </c>
      <c r="F46" s="61">
        <f>'2024 Bean Description'!R25</f>
        <v>0</v>
      </c>
      <c r="G46" s="62"/>
      <c r="H46" s="61">
        <f>'2024 Bean Description'!R35</f>
        <v>0</v>
      </c>
      <c r="I46" s="61">
        <f>'2024 Bean Description'!R36</f>
        <v>0</v>
      </c>
      <c r="J46" s="62"/>
      <c r="K46" s="62"/>
      <c r="L46" s="62"/>
      <c r="M46" s="62"/>
      <c r="N46" s="103"/>
      <c r="O46" s="104"/>
      <c r="P46" s="63"/>
      <c r="Q46" s="64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</row>
    <row r="47">
      <c r="G47" s="52"/>
      <c r="I47" s="52"/>
      <c r="J47" s="52"/>
      <c r="L47" s="52"/>
      <c r="M47" s="52"/>
      <c r="N47" s="52"/>
      <c r="O47" s="52"/>
    </row>
    <row r="48">
      <c r="A48" s="43"/>
      <c r="B48" s="47" t="s">
        <v>137</v>
      </c>
      <c r="C48" s="47" t="s">
        <v>139</v>
      </c>
      <c r="D48" s="47" t="s">
        <v>140</v>
      </c>
      <c r="E48" s="47" t="s">
        <v>141</v>
      </c>
      <c r="F48" s="47" t="s">
        <v>145</v>
      </c>
      <c r="G48" s="52"/>
      <c r="I48" s="52"/>
      <c r="J48" s="52"/>
      <c r="L48" s="52"/>
      <c r="M48" s="52"/>
      <c r="N48" s="52"/>
      <c r="O48" s="52"/>
    </row>
    <row r="49">
      <c r="A49" s="44" t="s">
        <v>174</v>
      </c>
      <c r="B49" s="43">
        <f>'2024 Bean Description'!G2</f>
        <v>0</v>
      </c>
      <c r="C49" s="43">
        <f>'2024 Bean Description'!G31</f>
        <v>0</v>
      </c>
      <c r="D49" s="43">
        <f>'2024 Bean Description'!G32</f>
        <v>0</v>
      </c>
      <c r="E49" s="43">
        <f>'2024 Bean Description'!G33</f>
        <v>0</v>
      </c>
      <c r="F49" s="48">
        <f>'2024 Bean Description'!G34</f>
        <v>0</v>
      </c>
      <c r="G49" s="52"/>
      <c r="I49" s="65" t="s">
        <v>209</v>
      </c>
      <c r="J49" s="65" t="s">
        <v>210</v>
      </c>
      <c r="L49" s="52"/>
      <c r="M49" s="52"/>
      <c r="N49" s="52"/>
      <c r="O49" s="52"/>
    </row>
    <row r="50">
      <c r="A50" s="44" t="s">
        <v>175</v>
      </c>
      <c r="B50" s="43">
        <f>'2024 Bean Description'!H30</f>
        <v>0</v>
      </c>
      <c r="C50" s="43">
        <f>'2024 Bean Description'!H31</f>
        <v>0</v>
      </c>
      <c r="D50" s="43">
        <f>'2024 Bean Description'!H32</f>
        <v>0</v>
      </c>
      <c r="E50" s="43">
        <f>'2024 Bean Description'!H33</f>
        <v>0</v>
      </c>
      <c r="F50" s="43">
        <f>'2024 Bean Description'!H34</f>
        <v>0</v>
      </c>
      <c r="G50" s="52"/>
      <c r="I50" s="62"/>
      <c r="J50" s="66" t="s">
        <v>211</v>
      </c>
    </row>
    <row r="51">
      <c r="A51" s="44" t="s">
        <v>176</v>
      </c>
      <c r="B51" s="43">
        <f>'2024 Bean Description'!I30</f>
        <v>0</v>
      </c>
      <c r="C51" s="43">
        <f>'2024 Bean Description'!I31</f>
        <v>0</v>
      </c>
      <c r="D51" s="43">
        <f>'2024 Bean Description'!I32</f>
        <v>0</v>
      </c>
      <c r="E51" s="43">
        <f>'2024 Bean Description'!I33</f>
        <v>0</v>
      </c>
      <c r="F51" s="48">
        <f>'2024 Bean Description'!I34</f>
        <v>0</v>
      </c>
    </row>
    <row r="52">
      <c r="A52" s="44" t="s">
        <v>177</v>
      </c>
      <c r="B52" s="49">
        <f>'2024 Bean Description'!J30</f>
        <v>0</v>
      </c>
      <c r="C52" s="49">
        <f>'2024 Bean Description'!J31</f>
        <v>0</v>
      </c>
      <c r="D52" s="49">
        <f>'2024 Bean Description'!J32</f>
        <v>0</v>
      </c>
      <c r="E52" s="49">
        <f>'2024 Bean Description'!J33</f>
        <v>0</v>
      </c>
      <c r="F52" s="49">
        <f>'2024 Bean Description'!J34</f>
        <v>0</v>
      </c>
    </row>
    <row r="53">
      <c r="A53" s="44" t="s">
        <v>178</v>
      </c>
      <c r="B53" s="49">
        <f>'2024 Bean Description'!K30</f>
        <v>0</v>
      </c>
      <c r="C53" s="49">
        <f>'2024 Bean Description'!K31</f>
        <v>0</v>
      </c>
      <c r="D53" s="49">
        <f>'2024 Bean Description'!K32</f>
        <v>0</v>
      </c>
      <c r="E53" s="49">
        <f>'2024 Bean Description'!K33</f>
        <v>0</v>
      </c>
      <c r="F53" s="49">
        <f>'2024 Bean Description'!K34</f>
        <v>0</v>
      </c>
    </row>
    <row r="54">
      <c r="A54" s="44" t="s">
        <v>179</v>
      </c>
      <c r="B54" s="49">
        <f>'2024 Bean Description'!L30</f>
        <v>0</v>
      </c>
      <c r="C54" s="49">
        <f>'2024 Bean Description'!L31</f>
        <v>0</v>
      </c>
      <c r="D54" s="49">
        <f>'2024 Bean Description'!L32</f>
        <v>0</v>
      </c>
      <c r="E54" s="49">
        <f>'2024 Bean Description'!L33</f>
        <v>0</v>
      </c>
      <c r="F54" s="49">
        <f>'2024 Bean Description'!L34</f>
        <v>0</v>
      </c>
    </row>
    <row r="55">
      <c r="A55" s="44" t="s">
        <v>180</v>
      </c>
      <c r="B55" s="49">
        <f>'2024 Bean Description'!M30</f>
        <v>0</v>
      </c>
      <c r="C55" s="49">
        <f>'2024 Bean Description'!M31</f>
        <v>0</v>
      </c>
      <c r="D55" s="49">
        <f>'2024 Bean Description'!M32</f>
        <v>0</v>
      </c>
      <c r="E55" s="49">
        <f>'2024 Bean Description'!M33</f>
        <v>0</v>
      </c>
      <c r="F55" s="49">
        <f>'2024 Bean Description'!M34</f>
        <v>0</v>
      </c>
    </row>
    <row r="56">
      <c r="A56" s="44" t="s">
        <v>181</v>
      </c>
      <c r="B56" s="49">
        <f>'2024 Bean Description'!N30</f>
        <v>0</v>
      </c>
      <c r="C56" s="49">
        <f>'2024 Bean Description'!N31</f>
        <v>0</v>
      </c>
      <c r="D56" s="49">
        <f>'2024 Bean Description'!N32</f>
        <v>0</v>
      </c>
      <c r="E56" s="49">
        <f>'2024 Bean Description'!N33</f>
        <v>0</v>
      </c>
      <c r="F56" s="49">
        <f>'2024 Bean Description'!N34</f>
        <v>0</v>
      </c>
    </row>
    <row r="57">
      <c r="A57" s="44" t="s">
        <v>182</v>
      </c>
      <c r="B57" s="49">
        <f>'2024 Bean Description'!O30</f>
        <v>0</v>
      </c>
      <c r="C57" s="49">
        <f>'2024 Bean Description'!O31</f>
        <v>0</v>
      </c>
      <c r="D57" s="49">
        <f>'2024 Bean Description'!O32</f>
        <v>0</v>
      </c>
      <c r="E57" s="49">
        <f>'2024 Bean Description'!O33</f>
        <v>0</v>
      </c>
      <c r="F57" s="49">
        <f>'2024 Bean Description'!O34</f>
        <v>0</v>
      </c>
    </row>
    <row r="58">
      <c r="A58" s="44" t="s">
        <v>183</v>
      </c>
      <c r="B58" s="49">
        <f>'2024 Bean Description'!P30</f>
        <v>0</v>
      </c>
      <c r="C58" s="49">
        <f>'2024 Bean Description'!P31</f>
        <v>0</v>
      </c>
      <c r="D58" s="49">
        <f>'2024 Bean Description'!P32</f>
        <v>0</v>
      </c>
      <c r="E58" s="49">
        <f>'2024 Bean Description'!P33</f>
        <v>0</v>
      </c>
      <c r="F58" s="49">
        <f>'2024 Bean Description'!P34</f>
        <v>0</v>
      </c>
    </row>
    <row r="59">
      <c r="A59" s="44" t="s">
        <v>184</v>
      </c>
      <c r="B59" s="49">
        <f>'2024 Bean Description'!Q30</f>
        <v>0</v>
      </c>
      <c r="C59" s="49">
        <f>'2024 Bean Description'!Q31</f>
        <v>0</v>
      </c>
      <c r="D59" s="49">
        <f>'2024 Bean Description'!Q32</f>
        <v>0</v>
      </c>
      <c r="E59" s="49">
        <f>'2024 Bean Description'!Q33</f>
        <v>0</v>
      </c>
      <c r="F59" s="49">
        <f>'2024 Bean Description'!Q34</f>
        <v>0</v>
      </c>
    </row>
    <row r="60">
      <c r="A60" s="44" t="s">
        <v>185</v>
      </c>
      <c r="B60" s="49">
        <f>'2024 Bean Description'!R2</f>
        <v>0</v>
      </c>
      <c r="C60" s="49">
        <f>'2024 Bean Description'!R31</f>
        <v>0</v>
      </c>
      <c r="D60" s="49">
        <f>'2024 Bean Description'!R32</f>
        <v>0</v>
      </c>
      <c r="E60" s="49">
        <f>'2024 Bean Description'!R33</f>
        <v>0</v>
      </c>
      <c r="F60" s="49">
        <f>'2024 Bean Description'!R34</f>
        <v>0</v>
      </c>
    </row>
    <row r="63">
      <c r="A63" s="67"/>
      <c r="B63" s="68" t="s">
        <v>16</v>
      </c>
      <c r="C63" s="68" t="s">
        <v>21</v>
      </c>
      <c r="D63" s="68" t="s">
        <v>27</v>
      </c>
      <c r="E63" s="69" t="s">
        <v>25</v>
      </c>
    </row>
    <row r="64">
      <c r="A64" s="68" t="s">
        <v>174</v>
      </c>
      <c r="B64" s="70">
        <f t="shared" ref="B64:C64" si="1">B5+E5+H5+K5+N5+B20+E20+H20+K20+N20+B35+E35+H35</f>
        <v>11</v>
      </c>
      <c r="C64" s="70">
        <f t="shared" si="1"/>
        <v>40</v>
      </c>
      <c r="D64" s="70">
        <f t="shared" ref="D64:D75" si="3">SUM(B49:F49)</f>
        <v>0</v>
      </c>
      <c r="E64" s="71">
        <f t="shared" ref="E64:E75" si="4">SUM(B64:D64)</f>
        <v>51</v>
      </c>
      <c r="F64" s="72">
        <f t="shared" ref="F64:F75" si="5">E64/((31/7)*5)</f>
        <v>2.303225806</v>
      </c>
      <c r="G64" s="5" t="s">
        <v>213</v>
      </c>
      <c r="I64" s="15" t="str">
        <f t="shared" ref="I64:I76" si="6">CONCATENATE(A64, " BEANS ", "Good: ", B64, " Bad: ", C64, " Spicy: ", D64)</f>
        <v>January BEANS Good: 11 Bad: 40 Spicy: 0</v>
      </c>
    </row>
    <row r="65">
      <c r="A65" s="68" t="s">
        <v>175</v>
      </c>
      <c r="B65" s="70">
        <f t="shared" ref="B65:C65" si="2">B6+E6+H6+K6+N6+B21+E21+H21+K21+N21+B36+E36+H36</f>
        <v>9</v>
      </c>
      <c r="C65" s="70">
        <f t="shared" si="2"/>
        <v>20</v>
      </c>
      <c r="D65" s="70">
        <f t="shared" si="3"/>
        <v>0</v>
      </c>
      <c r="E65" s="71">
        <f t="shared" si="4"/>
        <v>29</v>
      </c>
      <c r="F65" s="72">
        <f t="shared" si="5"/>
        <v>1.309677419</v>
      </c>
      <c r="G65" s="5" t="s">
        <v>213</v>
      </c>
      <c r="I65" s="15" t="str">
        <f t="shared" si="6"/>
        <v>February BEANS Good: 9 Bad: 20 Spicy: 0</v>
      </c>
    </row>
    <row r="66">
      <c r="A66" s="68" t="s">
        <v>176</v>
      </c>
      <c r="B66" s="70">
        <f t="shared" ref="B66:C66" si="7">B7+E7+H7+K7+N7+B22+E22+H22+K22+N22+B37+E37+H37</f>
        <v>10</v>
      </c>
      <c r="C66" s="70">
        <f t="shared" si="7"/>
        <v>30</v>
      </c>
      <c r="D66" s="70">
        <f t="shared" si="3"/>
        <v>0</v>
      </c>
      <c r="E66" s="71">
        <f t="shared" si="4"/>
        <v>40</v>
      </c>
      <c r="F66" s="72">
        <f t="shared" si="5"/>
        <v>1.806451613</v>
      </c>
      <c r="G66" s="5" t="s">
        <v>213</v>
      </c>
      <c r="I66" s="15" t="str">
        <f t="shared" si="6"/>
        <v>March BEANS Good: 10 Bad: 30 Spicy: 0</v>
      </c>
    </row>
    <row r="67">
      <c r="A67" s="73" t="s">
        <v>177</v>
      </c>
      <c r="B67" s="70">
        <f t="shared" ref="B67:C67" si="8">B8+E8+H8+K8+N8+B23+E23+H23+K23+N23+B38+E38+H38</f>
        <v>5</v>
      </c>
      <c r="C67" s="70">
        <f t="shared" si="8"/>
        <v>22</v>
      </c>
      <c r="D67" s="70">
        <f t="shared" si="3"/>
        <v>0</v>
      </c>
      <c r="E67" s="71">
        <f t="shared" si="4"/>
        <v>27</v>
      </c>
      <c r="F67" s="72">
        <f t="shared" si="5"/>
        <v>1.219354839</v>
      </c>
      <c r="G67" s="5" t="s">
        <v>213</v>
      </c>
      <c r="I67" s="15" t="str">
        <f t="shared" si="6"/>
        <v>April BEANS Good: 5 Bad: 22 Spicy: 0</v>
      </c>
    </row>
    <row r="68">
      <c r="A68" s="73" t="s">
        <v>178</v>
      </c>
      <c r="B68" s="70">
        <f t="shared" ref="B68:C68" si="9">B9+E9+H9+K9+N9+B24+E24+H24+K24+N24+B39+E39+H39</f>
        <v>7</v>
      </c>
      <c r="C68" s="70">
        <f t="shared" si="9"/>
        <v>24</v>
      </c>
      <c r="D68" s="70">
        <f t="shared" si="3"/>
        <v>0</v>
      </c>
      <c r="E68" s="71">
        <f t="shared" si="4"/>
        <v>31</v>
      </c>
      <c r="F68" s="72">
        <f t="shared" si="5"/>
        <v>1.4</v>
      </c>
      <c r="G68" s="5" t="s">
        <v>213</v>
      </c>
      <c r="I68" s="15" t="str">
        <f t="shared" si="6"/>
        <v>May BEANS Good: 7 Bad: 24 Spicy: 0</v>
      </c>
    </row>
    <row r="69">
      <c r="A69" s="73" t="s">
        <v>179</v>
      </c>
      <c r="B69" s="70">
        <f t="shared" ref="B69:C69" si="10">B10+E10+H10+K10+N10+B25+E25+H25+K25+N25+B40+E40+H40</f>
        <v>5</v>
      </c>
      <c r="C69" s="70">
        <f t="shared" si="10"/>
        <v>9</v>
      </c>
      <c r="D69" s="70">
        <f t="shared" si="3"/>
        <v>0</v>
      </c>
      <c r="E69" s="71">
        <f t="shared" si="4"/>
        <v>14</v>
      </c>
      <c r="F69" s="72">
        <f t="shared" si="5"/>
        <v>0.6322580645</v>
      </c>
      <c r="G69" s="5" t="s">
        <v>213</v>
      </c>
      <c r="I69" s="15" t="str">
        <f t="shared" si="6"/>
        <v>June BEANS Good: 5 Bad: 9 Spicy: 0</v>
      </c>
    </row>
    <row r="70">
      <c r="A70" s="73" t="s">
        <v>180</v>
      </c>
      <c r="B70" s="70">
        <f t="shared" ref="B70:C70" si="11">B11+E11+H11+K11+N11+B26+E26+H26+K26+N26+B41+E41+H41</f>
        <v>1</v>
      </c>
      <c r="C70" s="70">
        <f t="shared" si="11"/>
        <v>11</v>
      </c>
      <c r="D70" s="70">
        <f t="shared" si="3"/>
        <v>0</v>
      </c>
      <c r="E70" s="71">
        <f t="shared" si="4"/>
        <v>12</v>
      </c>
      <c r="F70" s="72">
        <f t="shared" si="5"/>
        <v>0.5419354839</v>
      </c>
      <c r="G70" s="5" t="s">
        <v>213</v>
      </c>
      <c r="I70" s="15" t="str">
        <f t="shared" si="6"/>
        <v>July BEANS Good: 1 Bad: 11 Spicy: 0</v>
      </c>
    </row>
    <row r="71">
      <c r="A71" s="73" t="s">
        <v>181</v>
      </c>
      <c r="B71" s="70">
        <f t="shared" ref="B71:C71" si="12">B12+E12+H12+K12+N12+B27+E27+H27+K27+N27+B42+E42+H42</f>
        <v>7</v>
      </c>
      <c r="C71" s="70">
        <f t="shared" si="12"/>
        <v>45</v>
      </c>
      <c r="D71" s="70">
        <f t="shared" si="3"/>
        <v>0</v>
      </c>
      <c r="E71" s="71">
        <f t="shared" si="4"/>
        <v>52</v>
      </c>
      <c r="F71" s="72">
        <f t="shared" si="5"/>
        <v>2.348387097</v>
      </c>
      <c r="G71" s="5" t="s">
        <v>213</v>
      </c>
      <c r="I71" s="15" t="str">
        <f t="shared" si="6"/>
        <v>August BEANS Good: 7 Bad: 45 Spicy: 0</v>
      </c>
    </row>
    <row r="72">
      <c r="A72" s="73" t="s">
        <v>182</v>
      </c>
      <c r="B72" s="70">
        <f t="shared" ref="B72:C72" si="13">B13+E13+H13+K13+N13+B28+E28+H28+K28+N28+B43+E43+H43</f>
        <v>9</v>
      </c>
      <c r="C72" s="70">
        <f t="shared" si="13"/>
        <v>18</v>
      </c>
      <c r="D72" s="70">
        <f t="shared" si="3"/>
        <v>0</v>
      </c>
      <c r="E72" s="71">
        <f t="shared" si="4"/>
        <v>27</v>
      </c>
      <c r="F72" s="72">
        <f t="shared" si="5"/>
        <v>1.219354839</v>
      </c>
      <c r="G72" s="5" t="s">
        <v>213</v>
      </c>
      <c r="I72" s="15" t="str">
        <f t="shared" si="6"/>
        <v>September BEANS Good: 9 Bad: 18 Spicy: 0</v>
      </c>
    </row>
    <row r="73">
      <c r="A73" s="73" t="s">
        <v>183</v>
      </c>
      <c r="B73" s="70">
        <f t="shared" ref="B73:C73" si="14">B14+E14+H14+K14+N14+B29+E29+H29+K29+N29+B44+E44+H44</f>
        <v>3</v>
      </c>
      <c r="C73" s="70">
        <f t="shared" si="14"/>
        <v>14</v>
      </c>
      <c r="D73" s="70">
        <f t="shared" si="3"/>
        <v>0</v>
      </c>
      <c r="E73" s="71">
        <f t="shared" si="4"/>
        <v>17</v>
      </c>
      <c r="F73" s="72">
        <f t="shared" si="5"/>
        <v>0.7677419355</v>
      </c>
      <c r="G73" s="5" t="s">
        <v>213</v>
      </c>
      <c r="I73" s="15" t="str">
        <f t="shared" si="6"/>
        <v>October BEANS Good: 3 Bad: 14 Spicy: 0</v>
      </c>
    </row>
    <row r="74">
      <c r="A74" s="73" t="s">
        <v>184</v>
      </c>
      <c r="B74" s="70">
        <f t="shared" ref="B74:C74" si="15">B15+E15+H15+K15+N15+B30+E30+H30+K30+N30+B45+E45+H45</f>
        <v>11</v>
      </c>
      <c r="C74" s="70">
        <f t="shared" si="15"/>
        <v>33</v>
      </c>
      <c r="D74" s="70">
        <f t="shared" si="3"/>
        <v>0</v>
      </c>
      <c r="E74" s="71">
        <f t="shared" si="4"/>
        <v>44</v>
      </c>
      <c r="F74" s="72">
        <f t="shared" si="5"/>
        <v>1.987096774</v>
      </c>
      <c r="G74" s="5" t="s">
        <v>213</v>
      </c>
      <c r="I74" s="15" t="str">
        <f t="shared" si="6"/>
        <v>November BEANS Good: 11 Bad: 33 Spicy: 0</v>
      </c>
    </row>
    <row r="75">
      <c r="A75" s="73" t="s">
        <v>185</v>
      </c>
      <c r="B75" s="70">
        <f t="shared" ref="B75:C75" si="16">B16+E16+H16+K16+N16+B31+E31+H31+K31+N31+B46+E46+H46</f>
        <v>5</v>
      </c>
      <c r="C75" s="70">
        <f t="shared" si="16"/>
        <v>16</v>
      </c>
      <c r="D75" s="70">
        <f t="shared" si="3"/>
        <v>0</v>
      </c>
      <c r="E75" s="71">
        <f t="shared" si="4"/>
        <v>21</v>
      </c>
      <c r="F75" s="72">
        <f t="shared" si="5"/>
        <v>0.9483870968</v>
      </c>
      <c r="G75" s="5" t="s">
        <v>213</v>
      </c>
      <c r="I75" s="15" t="str">
        <f t="shared" si="6"/>
        <v>December BEANS Good: 5 Bad: 16 Spicy: 0</v>
      </c>
    </row>
    <row r="76">
      <c r="A76" s="5" t="s">
        <v>25</v>
      </c>
      <c r="B76" s="74">
        <f t="shared" ref="B76:E76" si="17">SUM(B64:B75)</f>
        <v>83</v>
      </c>
      <c r="C76" s="74">
        <f t="shared" si="17"/>
        <v>282</v>
      </c>
      <c r="D76" s="74">
        <f t="shared" si="17"/>
        <v>0</v>
      </c>
      <c r="E76" s="74">
        <f t="shared" si="17"/>
        <v>365</v>
      </c>
      <c r="F76" s="75">
        <f>(E76 / (DATE(YEAR(TODAY()),MONTH(TODAY()),DAY(TODAY()))-DATE(YEAR(TODAY()),1,0)))</f>
        <v>1.367041199</v>
      </c>
      <c r="G76" s="5" t="s">
        <v>221</v>
      </c>
      <c r="I76" s="15" t="str">
        <f t="shared" si="6"/>
        <v>Total BEANS Good: 83 Bad: 282 Spicy: 0</v>
      </c>
      <c r="L76" s="5" t="s">
        <v>366</v>
      </c>
    </row>
    <row r="77">
      <c r="B77" s="25">
        <f>if(E76-D76 = 0, 0.3, B76/(E76-D76))</f>
        <v>0.2273972603</v>
      </c>
      <c r="C77" s="25">
        <f>if(E76-D76 = 0, 0.7, C76/(E76-D76))</f>
        <v>0.7726027397</v>
      </c>
      <c r="D77" s="25"/>
      <c r="E77" s="72"/>
      <c r="F77" s="72">
        <f>E76 / (((DATE(YEAR(TODAY()),MONTH(TODAY()),DAY(TODAY()))-DATE(YEAR(TODAY()),1,0))/7)*5)</f>
        <v>1.913857678</v>
      </c>
      <c r="G77" s="5" t="s">
        <v>213</v>
      </c>
    </row>
    <row r="78">
      <c r="A78" s="7"/>
      <c r="B78" s="6"/>
      <c r="C78" s="6"/>
      <c r="D78" s="6"/>
      <c r="E78" s="5"/>
    </row>
    <row r="79">
      <c r="A79" s="76" t="s">
        <v>367</v>
      </c>
      <c r="B79" s="77">
        <f>ROUNDDOWN((B76/E76)*E79,0)</f>
        <v>113</v>
      </c>
      <c r="C79" s="77">
        <f>ROUNDDOWN((C76/E76)*E79,0)</f>
        <v>384</v>
      </c>
      <c r="D79" s="77">
        <f>ROUNDDOWN((D76/E76)*E79,0)</f>
        <v>0</v>
      </c>
      <c r="E79" s="78">
        <f>ROUNDDOWN((E76 / (DATE(YEAR(TODAY()),MONTH(TODAY()),DAY(TODAY()))-DATE(YEAR(TODAY()),1,0))) * 365,0)</f>
        <v>498</v>
      </c>
      <c r="G79" s="15" t="str">
        <f>CONCATENATE(A79, " BEANS ", "Good: ", B79, " Bad: ", C79, " Spicy: ", D79)</f>
        <v>Estimated 2024 BEANS Good: 113 Bad: 384 Spicy: 0</v>
      </c>
    </row>
    <row r="80">
      <c r="A80" s="7"/>
      <c r="B80" s="6"/>
      <c r="C80" s="6"/>
      <c r="D80" s="6"/>
    </row>
    <row r="81">
      <c r="A81" s="7"/>
      <c r="B81" s="6"/>
      <c r="C81" s="6"/>
      <c r="D81" s="6"/>
    </row>
    <row r="82">
      <c r="A82" s="7"/>
      <c r="B82" s="6"/>
      <c r="C82" s="6"/>
      <c r="D82" s="6"/>
    </row>
    <row r="83">
      <c r="A83" s="6"/>
      <c r="B83" s="6"/>
      <c r="C83" s="6"/>
      <c r="D83" s="10"/>
    </row>
    <row r="84">
      <c r="A84" s="6"/>
      <c r="B84" s="6"/>
      <c r="C84" s="7"/>
      <c r="D84" s="79"/>
    </row>
    <row r="85">
      <c r="A85" s="6"/>
      <c r="B85" s="6"/>
      <c r="C85" s="7"/>
      <c r="D85" s="10"/>
    </row>
    <row r="86">
      <c r="A86" s="6"/>
      <c r="B86" s="6"/>
      <c r="C86" s="7"/>
      <c r="D86" s="10"/>
    </row>
    <row r="87">
      <c r="A87" s="6"/>
      <c r="B87" s="6"/>
      <c r="C87" s="7"/>
      <c r="D87" s="10"/>
    </row>
    <row r="88">
      <c r="A88" s="6"/>
      <c r="B88" s="6"/>
      <c r="C88" s="7"/>
      <c r="D88" s="10"/>
    </row>
    <row r="89">
      <c r="A89" s="6"/>
      <c r="B89" s="6"/>
      <c r="C89" s="7"/>
      <c r="D89" s="10"/>
    </row>
    <row r="90">
      <c r="A90" s="6"/>
      <c r="B90" s="6"/>
      <c r="C90" s="7"/>
      <c r="D90" s="10"/>
    </row>
    <row r="91">
      <c r="A91" s="6"/>
      <c r="B91" s="6"/>
      <c r="C91" s="7"/>
      <c r="D91" s="10"/>
    </row>
    <row r="92">
      <c r="A92" s="6"/>
      <c r="B92" s="6"/>
      <c r="C92" s="7"/>
      <c r="D92" s="10"/>
    </row>
    <row r="93">
      <c r="A93" s="6"/>
      <c r="B93" s="6"/>
      <c r="C93" s="7"/>
      <c r="D93" s="10"/>
    </row>
    <row r="94">
      <c r="A94" s="6"/>
      <c r="B94" s="6"/>
      <c r="C94" s="7"/>
      <c r="D94" s="10"/>
    </row>
    <row r="95">
      <c r="A95" s="6"/>
      <c r="B95" s="6"/>
      <c r="C95" s="7"/>
      <c r="D95" s="10"/>
    </row>
    <row r="96">
      <c r="A96" s="6"/>
      <c r="B96" s="6"/>
      <c r="C96" s="7"/>
      <c r="D96" s="10"/>
    </row>
    <row r="97">
      <c r="A97" s="6"/>
      <c r="B97" s="6"/>
      <c r="C97" s="7"/>
      <c r="D97" s="10"/>
    </row>
    <row r="98">
      <c r="A98" s="6"/>
      <c r="B98" s="6"/>
      <c r="C98" s="7"/>
      <c r="D98" s="10"/>
    </row>
    <row r="99">
      <c r="A99" s="6"/>
      <c r="B99" s="6"/>
      <c r="C99" s="7"/>
      <c r="D99" s="79"/>
    </row>
    <row r="100">
      <c r="A100" s="6"/>
      <c r="B100" s="6"/>
      <c r="C100" s="7"/>
      <c r="D100" s="79"/>
    </row>
    <row r="101">
      <c r="A101" s="6"/>
      <c r="B101" s="6"/>
      <c r="C101" s="7"/>
      <c r="D101" s="10"/>
    </row>
    <row r="102">
      <c r="A102" s="6"/>
      <c r="B102" s="6"/>
      <c r="C102" s="7"/>
      <c r="D102" s="10"/>
    </row>
    <row r="103">
      <c r="A103" s="6"/>
      <c r="B103" s="6"/>
      <c r="C103" s="7"/>
      <c r="D103" s="10"/>
    </row>
    <row r="104">
      <c r="A104" s="6"/>
      <c r="B104" s="6"/>
      <c r="C104" s="7"/>
      <c r="D104" s="79"/>
    </row>
    <row r="105">
      <c r="A105" s="6"/>
      <c r="B105" s="6"/>
      <c r="C105" s="7"/>
      <c r="D105" s="10"/>
    </row>
    <row r="106">
      <c r="A106" s="6"/>
      <c r="B106" s="6"/>
      <c r="C106" s="7"/>
      <c r="D106" s="10"/>
    </row>
    <row r="107">
      <c r="A107" s="6"/>
      <c r="B107" s="6"/>
      <c r="C107" s="7"/>
      <c r="D107" s="10"/>
    </row>
    <row r="108">
      <c r="A108" s="6"/>
      <c r="B108" s="6"/>
      <c r="C108" s="7"/>
      <c r="D108" s="10"/>
    </row>
    <row r="109">
      <c r="A109" s="6"/>
      <c r="B109" s="6"/>
      <c r="C109" s="7"/>
      <c r="D109" s="10"/>
    </row>
    <row r="110">
      <c r="A110" s="6"/>
      <c r="B110" s="6"/>
      <c r="C110" s="7"/>
      <c r="D110" s="10"/>
    </row>
    <row r="111">
      <c r="A111" s="6"/>
      <c r="B111" s="6"/>
      <c r="C111" s="7"/>
      <c r="D111" s="79"/>
    </row>
    <row r="112">
      <c r="A112" s="6"/>
      <c r="B112" s="6"/>
      <c r="C112" s="7"/>
      <c r="D112" s="10"/>
    </row>
    <row r="113">
      <c r="A113" s="6"/>
      <c r="B113" s="6"/>
      <c r="C113" s="7"/>
      <c r="D113" s="10"/>
    </row>
    <row r="114">
      <c r="A114" s="6"/>
      <c r="B114" s="6"/>
      <c r="C114" s="7"/>
      <c r="D114" s="10"/>
    </row>
    <row r="115">
      <c r="A115" s="6"/>
      <c r="B115" s="6"/>
      <c r="C115" s="7"/>
      <c r="D115" s="10"/>
    </row>
    <row r="116">
      <c r="A116" s="6"/>
      <c r="B116" s="6"/>
      <c r="C116" s="7"/>
      <c r="D116" s="10"/>
    </row>
    <row r="117">
      <c r="A117" s="6"/>
      <c r="B117" s="6"/>
      <c r="C117" s="7"/>
      <c r="D117" s="10"/>
    </row>
    <row r="118">
      <c r="A118" s="6"/>
      <c r="B118" s="6"/>
      <c r="C118" s="7"/>
      <c r="D118" s="10"/>
    </row>
    <row r="119">
      <c r="A119" s="6"/>
      <c r="B119" s="6"/>
      <c r="C119" s="7"/>
      <c r="D119" s="10"/>
    </row>
    <row r="120">
      <c r="A120" s="6"/>
      <c r="B120" s="6"/>
      <c r="C120" s="7"/>
      <c r="D120" s="10"/>
    </row>
    <row r="121">
      <c r="A121" s="6"/>
      <c r="B121" s="6"/>
      <c r="C121" s="7"/>
      <c r="D121" s="10"/>
    </row>
    <row r="122">
      <c r="A122" s="6"/>
      <c r="B122" s="6"/>
      <c r="C122" s="7"/>
      <c r="D122" s="10"/>
    </row>
    <row r="123">
      <c r="A123" s="6"/>
      <c r="B123" s="6"/>
      <c r="C123" s="7"/>
      <c r="D123" s="10"/>
    </row>
    <row r="124">
      <c r="A124" s="6"/>
      <c r="B124" s="6"/>
      <c r="C124" s="7"/>
      <c r="D124" s="10"/>
    </row>
    <row r="125">
      <c r="A125" s="6"/>
      <c r="B125" s="6"/>
      <c r="C125" s="7"/>
      <c r="D125" s="10"/>
    </row>
    <row r="126">
      <c r="A126" s="6"/>
      <c r="B126" s="6"/>
      <c r="C126" s="7"/>
      <c r="D126" s="10"/>
    </row>
    <row r="127">
      <c r="A127" s="6"/>
      <c r="B127" s="7"/>
      <c r="C127" s="7"/>
      <c r="D127" s="10"/>
    </row>
    <row r="128">
      <c r="A128" s="6"/>
      <c r="B128" s="7"/>
      <c r="C128" s="7"/>
      <c r="D128" s="10"/>
    </row>
    <row r="129">
      <c r="A129" s="6"/>
      <c r="B129" s="7"/>
      <c r="C129" s="7"/>
      <c r="D129" s="10"/>
    </row>
    <row r="130">
      <c r="A130" s="6"/>
      <c r="B130" s="7"/>
      <c r="C130" s="7"/>
      <c r="D130" s="10"/>
    </row>
    <row r="131">
      <c r="A131" s="6"/>
      <c r="B131" s="7"/>
      <c r="C131" s="7"/>
      <c r="D131" s="10"/>
    </row>
    <row r="132">
      <c r="A132" s="6"/>
      <c r="B132" s="7"/>
      <c r="C132" s="7"/>
      <c r="D132" s="10"/>
    </row>
    <row r="133">
      <c r="A133" s="6"/>
      <c r="B133" s="7"/>
      <c r="C133" s="7"/>
      <c r="D133" s="10"/>
    </row>
    <row r="134">
      <c r="A134" s="6"/>
      <c r="B134" s="7"/>
      <c r="C134" s="7"/>
      <c r="D134" s="10"/>
    </row>
    <row r="135">
      <c r="A135" s="6"/>
      <c r="B135" s="7"/>
      <c r="C135" s="7"/>
      <c r="D135" s="10"/>
    </row>
    <row r="136">
      <c r="A136" s="6"/>
      <c r="B136" s="7"/>
      <c r="C136" s="7"/>
      <c r="D136" s="10"/>
    </row>
    <row r="137">
      <c r="A137" s="6"/>
      <c r="B137" s="7"/>
      <c r="C137" s="7"/>
      <c r="D137" s="10"/>
    </row>
    <row r="138">
      <c r="A138" s="6"/>
      <c r="B138" s="7"/>
      <c r="C138" s="7"/>
      <c r="D138" s="6"/>
    </row>
    <row r="139">
      <c r="A139" s="6"/>
      <c r="B139" s="7"/>
      <c r="C139" s="7"/>
      <c r="D139" s="6"/>
    </row>
  </sheetData>
  <mergeCells count="1">
    <mergeCell ref="B1:C1"/>
  </mergeCell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9.25"/>
    <col customWidth="1" min="5" max="5" width="7.38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 t="shared" ref="E2:E32" si="1">SUM(G2:R2)</f>
        <v>8</v>
      </c>
      <c r="F2" s="12">
        <f>E2/(E2+E3)</f>
        <v>0.1230769231</v>
      </c>
      <c r="G2" s="11">
        <f>COUNTIFS(Beans!B:B, A2, Beans!A:A, "&gt;=2023-1-1", Beans!A:A,"&lt;2023-2-1" )</f>
        <v>0</v>
      </c>
      <c r="H2" s="7">
        <f>COUNTIFS(Beans!B:B, A2, Beans!A:A, "&gt;=2023-2-1", Beans!A:A,"&lt;2023-3-1" )</f>
        <v>0</v>
      </c>
      <c r="I2" s="11">
        <f>COUNTIFS(Beans!B:B, A2, Beans!A:A, "&gt;=2023-3-1", Beans!A:A,"&lt;2023-4-1" )</f>
        <v>1</v>
      </c>
      <c r="J2" s="11">
        <f>COUNTIFS(Beans!B:B, A2, Beans!A:A, "&gt;=2023-4-1", Beans!A:A,"&lt;2023-5-1" )</f>
        <v>0</v>
      </c>
      <c r="K2" s="7">
        <f>COUNTIFS(Beans!B:B, A2, Beans!A:A, "&gt;=2023-5-1", Beans!A:A,"&lt;2023-6-1" )</f>
        <v>2</v>
      </c>
      <c r="L2" s="11">
        <f>COUNTIFS(Beans!B:B, A2, Beans!A:A, "&gt;=2023-6-1", Beans!A:A,"&lt;2023-7-1" )</f>
        <v>1</v>
      </c>
      <c r="M2" s="11">
        <f>COUNTIFS(Beans!B:B, A2, Beans!A:A, "&gt;=2023-7-1", Beans!A:A,"&lt;2023-8-1" )</f>
        <v>0</v>
      </c>
      <c r="N2" s="7">
        <f>COUNTIFS(Beans!B:B, A2, Beans!A:A, "&gt;=2023-8-1", Beans!A:A,"&lt;2023-9-1" )</f>
        <v>1</v>
      </c>
      <c r="O2" s="11">
        <f>COUNTIFS(Beans!B:B, A2, Beans!A:A, "&gt;=2023-9-1", Beans!A:A,"&lt;2023-10-1" )</f>
        <v>0</v>
      </c>
      <c r="P2" s="11">
        <f>COUNTIFS(Beans!B:B, A2, Beans!A:A, "&gt;=2023-10-1", Beans!A:A,"&lt;2023-11-1" )</f>
        <v>1</v>
      </c>
      <c r="Q2" s="7">
        <f>COUNTIFS(Beans!B:B, A2, Beans!A:A, "&gt;=2023-11-1", Beans!A:A,"&lt;2023-12-1" )</f>
        <v>2</v>
      </c>
      <c r="R2" s="15">
        <f>COUNTIFS(Beans!B:B, A2, Beans!A:A, "&gt;=2023-12-1", Beans!A:A,"&lt;2024-1-1" )</f>
        <v>0</v>
      </c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 t="shared" si="1"/>
        <v>57</v>
      </c>
      <c r="F3" s="12">
        <f>E3/(E2+E3)</f>
        <v>0.8769230769</v>
      </c>
      <c r="G3" s="11">
        <f>COUNTIFS(Beans!B:B, A3, Beans!A:A, "&gt;=2023-1-1", Beans!A:A,"&lt;2023-2-1" )</f>
        <v>8</v>
      </c>
      <c r="H3" s="7">
        <f>COUNTIFS(Beans!B:B, A3, Beans!A:A, "&gt;=2023-2-1", Beans!A:A,"&lt;2023-3-1" )</f>
        <v>0</v>
      </c>
      <c r="I3" s="11">
        <f>COUNTIFS(Beans!B:B, A3, Beans!A:A, "&gt;=2023-3-1", Beans!A:A,"&lt;2023-4-1" )</f>
        <v>6</v>
      </c>
      <c r="J3" s="11">
        <f>COUNTIFS(Beans!B:B, A3, Beans!A:A, "&gt;=2023-4-1", Beans!A:A,"&lt;2023-5-1" )</f>
        <v>6</v>
      </c>
      <c r="K3" s="7">
        <f>COUNTIFS(Beans!B:B, A3, Beans!A:A, "&gt;=2023-5-1", Beans!A:A,"&lt;2023-6-1" )</f>
        <v>4</v>
      </c>
      <c r="L3" s="11">
        <f>COUNTIFS(Beans!B:B, A3, Beans!A:A, "&gt;=2023-6-1", Beans!A:A,"&lt;2023-7-1" )</f>
        <v>8</v>
      </c>
      <c r="M3" s="11">
        <f>COUNTIFS(Beans!B:B, A3, Beans!A:A, "&gt;=2023-7-1", Beans!A:A,"&lt;2023-8-1" )</f>
        <v>3</v>
      </c>
      <c r="N3" s="7">
        <f>COUNTIFS(Beans!B:B, A3, Beans!A:A, "&gt;=2023-8-1", Beans!A:A,"&lt;2023-9-1" )</f>
        <v>2</v>
      </c>
      <c r="O3" s="11">
        <f>COUNTIFS(Beans!B:B, A3, Beans!A:A, "&gt;=2023-9-1", Beans!A:A,"&lt;2023-10-1" )</f>
        <v>2</v>
      </c>
      <c r="P3" s="11">
        <f>COUNTIFS(Beans!B:B, A3, Beans!A:A, "&gt;=2023-10-1", Beans!A:A,"&lt;2023-11-1" )</f>
        <v>4</v>
      </c>
      <c r="Q3" s="7">
        <f>COUNTIFS(Beans!B:B, A3, Beans!A:A, "&gt;=2023-11-1", Beans!A:A,"&lt;2023-12-1" )</f>
        <v>4</v>
      </c>
      <c r="R3" s="15">
        <f>COUNTIFS(Beans!B:B, A3, Beans!A:A, "&gt;=2023-12-1", Beans!A:A,"&lt;2024-1-1" )</f>
        <v>10</v>
      </c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 t="shared" si="1"/>
        <v>20</v>
      </c>
      <c r="F4" s="12">
        <f>E4/(E4+E5)</f>
        <v>0.303030303</v>
      </c>
      <c r="G4" s="11">
        <f>COUNTIFS(Beans!B:B, A4, Beans!A:A, "&gt;=2023-1-1", Beans!A:A,"&lt;2023-2-1" )</f>
        <v>2</v>
      </c>
      <c r="H4" s="7">
        <f>COUNTIFS(Beans!B:B, A4, Beans!A:A, "&gt;=2023-2-1", Beans!A:A,"&lt;2023-3-1" )</f>
        <v>0</v>
      </c>
      <c r="I4" s="11">
        <f>COUNTIFS(Beans!B:B, A4, Beans!A:A, "&gt;=2023-3-1", Beans!A:A,"&lt;2023-4-1" )</f>
        <v>2</v>
      </c>
      <c r="J4" s="11">
        <f>COUNTIFS(Beans!B:B, A4, Beans!A:A, "&gt;=2023-4-1", Beans!A:A,"&lt;2023-5-1" )</f>
        <v>2</v>
      </c>
      <c r="K4" s="7">
        <f>COUNTIFS(Beans!B:B, A4, Beans!A:A, "&gt;=2023-5-1", Beans!A:A,"&lt;2023-6-1" )</f>
        <v>0</v>
      </c>
      <c r="L4" s="11">
        <f>COUNTIFS(Beans!B:B, A4, Beans!A:A, "&gt;=2023-6-1", Beans!A:A,"&lt;2023-7-1" )</f>
        <v>2</v>
      </c>
      <c r="M4" s="11">
        <f>COUNTIFS(Beans!B:B, A4, Beans!A:A, "&gt;=2023-7-1", Beans!A:A,"&lt;2023-8-1" )</f>
        <v>1</v>
      </c>
      <c r="N4" s="7">
        <f>COUNTIFS(Beans!B:B, A4, Beans!A:A, "&gt;=2023-8-1", Beans!A:A,"&lt;2023-9-1" )</f>
        <v>4</v>
      </c>
      <c r="O4" s="11">
        <f>COUNTIFS(Beans!B:B, A4, Beans!A:A, "&gt;=2023-9-1", Beans!A:A,"&lt;2023-10-1" )</f>
        <v>0</v>
      </c>
      <c r="P4" s="11">
        <f>COUNTIFS(Beans!B:B, A4, Beans!A:A, "&gt;=2023-10-1", Beans!A:A,"&lt;2023-11-1" )</f>
        <v>2</v>
      </c>
      <c r="Q4" s="7">
        <f>COUNTIFS(Beans!B:B, A4, Beans!A:A, "&gt;=2023-11-1", Beans!A:A,"&lt;2023-12-1" )</f>
        <v>4</v>
      </c>
      <c r="R4" s="15">
        <f>COUNTIFS(Beans!B:B, A4, Beans!A:A, "&gt;=2023-12-1", Beans!A:A,"&lt;2024-1-1" )</f>
        <v>1</v>
      </c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 t="shared" si="1"/>
        <v>46</v>
      </c>
      <c r="F5" s="12">
        <f>E5/(E4+E5)</f>
        <v>0.696969697</v>
      </c>
      <c r="G5" s="11">
        <f>COUNTIFS(Beans!B:B, A5, Beans!A:A, "&gt;=2023-1-1", Beans!A:A,"&lt;2023-2-1" )</f>
        <v>1</v>
      </c>
      <c r="H5" s="7">
        <f>COUNTIFS(Beans!B:B, A5, Beans!A:A, "&gt;=2023-2-1", Beans!A:A,"&lt;2023-3-1" )</f>
        <v>0</v>
      </c>
      <c r="I5" s="11">
        <f>COUNTIFS(Beans!B:B, A5, Beans!A:A, "&gt;=2023-3-1", Beans!A:A,"&lt;2023-4-1" )</f>
        <v>9</v>
      </c>
      <c r="J5" s="11">
        <f>COUNTIFS(Beans!B:B, A5, Beans!A:A, "&gt;=2023-4-1", Beans!A:A,"&lt;2023-5-1" )</f>
        <v>1</v>
      </c>
      <c r="K5" s="7">
        <f>COUNTIFS(Beans!B:B, A5, Beans!A:A, "&gt;=2023-5-1", Beans!A:A,"&lt;2023-6-1" )</f>
        <v>9</v>
      </c>
      <c r="L5" s="11">
        <f>COUNTIFS(Beans!B:B, A5, Beans!A:A, "&gt;=2023-6-1", Beans!A:A,"&lt;2023-7-1" )</f>
        <v>10</v>
      </c>
      <c r="M5" s="11">
        <f>COUNTIFS(Beans!B:B, A5, Beans!A:A, "&gt;=2023-7-1", Beans!A:A,"&lt;2023-8-1" )</f>
        <v>1</v>
      </c>
      <c r="N5" s="7">
        <f>COUNTIFS(Beans!B:B, A5, Beans!A:A, "&gt;=2023-8-1", Beans!A:A,"&lt;2023-9-1" )</f>
        <v>1</v>
      </c>
      <c r="O5" s="11">
        <f>COUNTIFS(Beans!B:B, A5, Beans!A:A, "&gt;=2023-9-1", Beans!A:A,"&lt;2023-10-1" )</f>
        <v>1</v>
      </c>
      <c r="P5" s="11">
        <f>COUNTIFS(Beans!B:B, A5, Beans!A:A, "&gt;=2023-10-1", Beans!A:A,"&lt;2023-11-1" )</f>
        <v>2</v>
      </c>
      <c r="Q5" s="7">
        <f>COUNTIFS(Beans!B:B, A5, Beans!A:A, "&gt;=2023-11-1", Beans!A:A,"&lt;2023-12-1" )</f>
        <v>6</v>
      </c>
      <c r="R5" s="15">
        <f>COUNTIFS(Beans!B:B, A5, Beans!A:A, "&gt;=2023-12-1", Beans!A:A,"&lt;2024-1-1" )</f>
        <v>5</v>
      </c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 t="shared" si="1"/>
        <v>4</v>
      </c>
      <c r="F6" s="12">
        <f>E6/(E6+E7)</f>
        <v>0.1481481481</v>
      </c>
      <c r="G6" s="11">
        <f>COUNTIFS(Beans!B:B, A6, Beans!A:A, "&gt;=2023-1-1", Beans!A:A,"&lt;2023-2-1" )</f>
        <v>1</v>
      </c>
      <c r="H6" s="7">
        <f>COUNTIFS(Beans!B:B, A6, Beans!A:A, "&gt;=2023-2-1", Beans!A:A,"&lt;2023-3-1" )</f>
        <v>0</v>
      </c>
      <c r="I6" s="11">
        <f>COUNTIFS(Beans!B:B, A6, Beans!A:A, "&gt;=2023-3-1", Beans!A:A,"&lt;2023-4-1" )</f>
        <v>1</v>
      </c>
      <c r="J6" s="11">
        <f>COUNTIFS(Beans!B:B, A6, Beans!A:A, "&gt;=2023-4-1", Beans!A:A,"&lt;2023-5-1" )</f>
        <v>1</v>
      </c>
      <c r="K6" s="7">
        <f>COUNTIFS(Beans!B:B, A6, Beans!A:A, "&gt;=2023-5-1", Beans!A:A,"&lt;2023-6-1" )</f>
        <v>0</v>
      </c>
      <c r="L6" s="11">
        <f>COUNTIFS(Beans!B:B, A6, Beans!A:A, "&gt;=2023-6-1", Beans!A:A,"&lt;2023-7-1" )</f>
        <v>1</v>
      </c>
      <c r="M6" s="11">
        <f>COUNTIFS(Beans!B:B, A6, Beans!A:A, "&gt;=2023-7-1", Beans!A:A,"&lt;2023-8-1" )</f>
        <v>0</v>
      </c>
      <c r="N6" s="7">
        <f>COUNTIFS(Beans!B:B, A6, Beans!A:A, "&gt;=2023-8-1", Beans!A:A,"&lt;2023-9-1" )</f>
        <v>0</v>
      </c>
      <c r="O6" s="11">
        <f>COUNTIFS(Beans!B:B, A6, Beans!A:A, "&gt;=2023-9-1", Beans!A:A,"&lt;2023-10-1" )</f>
        <v>0</v>
      </c>
      <c r="P6" s="11">
        <f>COUNTIFS(Beans!B:B, A6, Beans!A:A, "&gt;=2023-10-1", Beans!A:A,"&lt;2023-11-1" )</f>
        <v>0</v>
      </c>
      <c r="Q6" s="7">
        <f>COUNTIFS(Beans!B:B, A6, Beans!A:A, "&gt;=2023-11-1", Beans!A:A,"&lt;2023-12-1" )</f>
        <v>0</v>
      </c>
      <c r="R6" s="15">
        <f>COUNTIFS(Beans!B:B, A6, Beans!A:A, "&gt;=2023-12-1", Beans!A:A,"&lt;2024-1-1" )</f>
        <v>0</v>
      </c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 t="shared" si="1"/>
        <v>23</v>
      </c>
      <c r="F7" s="12">
        <f>E7/(E6+E7)</f>
        <v>0.8518518519</v>
      </c>
      <c r="G7" s="11">
        <f>COUNTIFS(Beans!B:B, A7, Beans!A:A, "&gt;=2023-1-1", Beans!A:A,"&lt;2023-2-1" )</f>
        <v>1</v>
      </c>
      <c r="H7" s="7">
        <f>COUNTIFS(Beans!B:B, A7, Beans!A:A, "&gt;=2023-2-1", Beans!A:A,"&lt;2023-3-1" )</f>
        <v>0</v>
      </c>
      <c r="I7" s="11">
        <f>COUNTIFS(Beans!B:B, A7, Beans!A:A, "&gt;=2023-3-1", Beans!A:A,"&lt;2023-4-1" )</f>
        <v>4</v>
      </c>
      <c r="J7" s="11">
        <f>COUNTIFS(Beans!B:B, A7, Beans!A:A, "&gt;=2023-4-1", Beans!A:A,"&lt;2023-5-1" )</f>
        <v>4</v>
      </c>
      <c r="K7" s="7">
        <f>COUNTIFS(Beans!B:B, A7, Beans!A:A, "&gt;=2023-5-1", Beans!A:A,"&lt;2023-6-1" )</f>
        <v>5</v>
      </c>
      <c r="L7" s="11">
        <f>COUNTIFS(Beans!B:B, A7, Beans!A:A, "&gt;=2023-6-1", Beans!A:A,"&lt;2023-7-1" )</f>
        <v>6</v>
      </c>
      <c r="M7" s="11">
        <f>COUNTIFS(Beans!B:B, A7, Beans!A:A, "&gt;=2023-7-1", Beans!A:A,"&lt;2023-8-1" )</f>
        <v>1</v>
      </c>
      <c r="N7" s="7">
        <f>COUNTIFS(Beans!B:B, A7, Beans!A:A, "&gt;=2023-8-1", Beans!A:A,"&lt;2023-9-1" )</f>
        <v>0</v>
      </c>
      <c r="O7" s="11">
        <f>COUNTIFS(Beans!B:B, A7, Beans!A:A, "&gt;=2023-9-1", Beans!A:A,"&lt;2023-10-1" )</f>
        <v>0</v>
      </c>
      <c r="P7" s="11">
        <f>COUNTIFS(Beans!B:B, A7, Beans!A:A, "&gt;=2023-10-1", Beans!A:A,"&lt;2023-11-1" )</f>
        <v>0</v>
      </c>
      <c r="Q7" s="7">
        <f>COUNTIFS(Beans!B:B, A7, Beans!A:A, "&gt;=2023-11-1", Beans!A:A,"&lt;2023-12-1" )</f>
        <v>2</v>
      </c>
      <c r="R7" s="15">
        <f>COUNTIFS(Beans!B:B, A7, Beans!A:A, "&gt;=2023-12-1", Beans!A:A,"&lt;2024-1-1" )</f>
        <v>0</v>
      </c>
    </row>
    <row r="8" ht="30.0" customHeight="1">
      <c r="A8" s="9" t="s">
        <v>53</v>
      </c>
      <c r="B8" s="6" t="s">
        <v>16</v>
      </c>
      <c r="C8" s="10" t="s">
        <v>102</v>
      </c>
      <c r="D8" s="11" t="str">
        <f>D9</f>
        <v/>
      </c>
      <c r="E8" s="11">
        <f t="shared" si="1"/>
        <v>10</v>
      </c>
      <c r="F8" s="12">
        <f>E8/(E8+E9)</f>
        <v>0.1851851852</v>
      </c>
      <c r="G8" s="11">
        <f>COUNTIFS(Beans!B:B, A8, Beans!A:A, "&gt;=2023-1-1", Beans!A:A,"&lt;2023-2-1" )</f>
        <v>2</v>
      </c>
      <c r="H8" s="7">
        <f>COUNTIFS(Beans!B:B, A8, Beans!A:A, "&gt;=2023-2-1", Beans!A:A,"&lt;2023-3-1" )</f>
        <v>0</v>
      </c>
      <c r="I8" s="11">
        <f>COUNTIFS(Beans!B:B, A8, Beans!A:A, "&gt;=2023-3-1", Beans!A:A,"&lt;2023-4-1" )</f>
        <v>0</v>
      </c>
      <c r="J8" s="11">
        <f>COUNTIFS(Beans!B:B, A8, Beans!A:A, "&gt;=2023-4-1", Beans!A:A,"&lt;2023-5-1" )</f>
        <v>1</v>
      </c>
      <c r="K8" s="7">
        <f>COUNTIFS(Beans!B:B, A8, Beans!A:A, "&gt;=2023-5-1", Beans!A:A,"&lt;2023-6-1" )</f>
        <v>1</v>
      </c>
      <c r="L8" s="11">
        <f>COUNTIFS(Beans!B:B, A8, Beans!A:A, "&gt;=2023-6-1", Beans!A:A,"&lt;2023-7-1" )</f>
        <v>0</v>
      </c>
      <c r="M8" s="11">
        <f>COUNTIFS(Beans!B:B, A8, Beans!A:A, "&gt;=2023-7-1", Beans!A:A,"&lt;2023-8-1" )</f>
        <v>0</v>
      </c>
      <c r="N8" s="7">
        <f>COUNTIFS(Beans!B:B, A8, Beans!A:A, "&gt;=2023-8-1", Beans!A:A,"&lt;2023-9-1" )</f>
        <v>1</v>
      </c>
      <c r="O8" s="11">
        <f>COUNTIFS(Beans!B:B, A8, Beans!A:A, "&gt;=2023-9-1", Beans!A:A,"&lt;2023-10-1" )</f>
        <v>0</v>
      </c>
      <c r="P8" s="11">
        <f>COUNTIFS(Beans!B:B, A8, Beans!A:A, "&gt;=2023-10-1", Beans!A:A,"&lt;2023-11-1" )</f>
        <v>1</v>
      </c>
      <c r="Q8" s="7">
        <f>COUNTIFS(Beans!B:B, A8, Beans!A:A, "&gt;=2023-11-1", Beans!A:A,"&lt;2023-12-1" )</f>
        <v>3</v>
      </c>
      <c r="R8" s="15">
        <f>COUNTIFS(Beans!B:B, A8, Beans!A:A, "&gt;=2023-12-1", Beans!A:A,"&lt;2024-1-1" )</f>
        <v>1</v>
      </c>
    </row>
    <row r="9" ht="30.0" customHeight="1">
      <c r="A9" s="9" t="s">
        <v>14</v>
      </c>
      <c r="B9" s="6" t="s">
        <v>21</v>
      </c>
      <c r="C9" s="10" t="s">
        <v>102</v>
      </c>
      <c r="D9" s="11"/>
      <c r="E9" s="11">
        <f t="shared" si="1"/>
        <v>44</v>
      </c>
      <c r="F9" s="12">
        <f>E9/(E8+E9)</f>
        <v>0.8148148148</v>
      </c>
      <c r="G9" s="11">
        <f>COUNTIFS(Beans!B:B, A9, Beans!A:A, "&gt;=2023-1-1", Beans!A:A,"&lt;2023-2-1" )</f>
        <v>13</v>
      </c>
      <c r="H9" s="7">
        <f>COUNTIFS(Beans!B:B, A9, Beans!A:A, "&gt;=2023-2-1", Beans!A:A,"&lt;2023-3-1" )</f>
        <v>0</v>
      </c>
      <c r="I9" s="11">
        <f>COUNTIFS(Beans!B:B, A9, Beans!A:A, "&gt;=2023-3-1", Beans!A:A,"&lt;2023-4-1" )</f>
        <v>4</v>
      </c>
      <c r="J9" s="11">
        <f>COUNTIFS(Beans!B:B, A9, Beans!A:A, "&gt;=2023-4-1", Beans!A:A,"&lt;2023-5-1" )</f>
        <v>4</v>
      </c>
      <c r="K9" s="7">
        <f>COUNTIFS(Beans!B:B, A9, Beans!A:A, "&gt;=2023-5-1", Beans!A:A,"&lt;2023-6-1" )</f>
        <v>3</v>
      </c>
      <c r="L9" s="11">
        <f>COUNTIFS(Beans!B:B, A9, Beans!A:A, "&gt;=2023-6-1", Beans!A:A,"&lt;2023-7-1" )</f>
        <v>1</v>
      </c>
      <c r="M9" s="11">
        <f>COUNTIFS(Beans!B:B, A9, Beans!A:A, "&gt;=2023-7-1", Beans!A:A,"&lt;2023-8-1" )</f>
        <v>4</v>
      </c>
      <c r="N9" s="7">
        <f>COUNTIFS(Beans!B:B, A9, Beans!A:A, "&gt;=2023-8-1", Beans!A:A,"&lt;2023-9-1" )</f>
        <v>0</v>
      </c>
      <c r="O9" s="11">
        <f>COUNTIFS(Beans!B:B, A9, Beans!A:A, "&gt;=2023-9-1", Beans!A:A,"&lt;2023-10-1" )</f>
        <v>2</v>
      </c>
      <c r="P9" s="11">
        <f>COUNTIFS(Beans!B:B, A9, Beans!A:A, "&gt;=2023-10-1", Beans!A:A,"&lt;2023-11-1" )</f>
        <v>4</v>
      </c>
      <c r="Q9" s="7">
        <f>COUNTIFS(Beans!B:B, A9, Beans!A:A, "&gt;=2023-11-1", Beans!A:A,"&lt;2023-12-1" )</f>
        <v>6</v>
      </c>
      <c r="R9" s="15">
        <f>COUNTIFS(Beans!B:B, A9, Beans!A:A, "&gt;=2023-12-1", Beans!A:A,"&lt;2024-1-1" )</f>
        <v>3</v>
      </c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 t="shared" si="1"/>
        <v>14</v>
      </c>
      <c r="F10" s="12">
        <f>E10/(E10+E11)</f>
        <v>0.2333333333</v>
      </c>
      <c r="G10" s="11">
        <f>COUNTIFS(Beans!B:B, A10, Beans!A:A, "&gt;=2023-1-1", Beans!A:A,"&lt;2023-2-1" )</f>
        <v>1</v>
      </c>
      <c r="H10" s="7">
        <f>COUNTIFS(Beans!B:B, A10, Beans!A:A, "&gt;=2023-2-1", Beans!A:A,"&lt;2023-3-1" )</f>
        <v>0</v>
      </c>
      <c r="I10" s="11">
        <f>COUNTIFS(Beans!B:B, A10, Beans!A:A, "&gt;=2023-3-1", Beans!A:A,"&lt;2023-4-1" )</f>
        <v>3</v>
      </c>
      <c r="J10" s="11">
        <f>COUNTIFS(Beans!B:B, A10, Beans!A:A, "&gt;=2023-4-1", Beans!A:A,"&lt;2023-5-1" )</f>
        <v>2</v>
      </c>
      <c r="K10" s="7">
        <f>COUNTIFS(Beans!B:B, A10, Beans!A:A, "&gt;=2023-5-1", Beans!A:A,"&lt;2023-6-1" )</f>
        <v>0</v>
      </c>
      <c r="L10" s="11">
        <f>COUNTIFS(Beans!B:B, A10, Beans!A:A, "&gt;=2023-6-1", Beans!A:A,"&lt;2023-7-1" )</f>
        <v>1</v>
      </c>
      <c r="M10" s="11">
        <f>COUNTIFS(Beans!B:B, A10, Beans!A:A, "&gt;=2023-7-1", Beans!A:A,"&lt;2023-8-1" )</f>
        <v>0</v>
      </c>
      <c r="N10" s="7">
        <f>COUNTIFS(Beans!B:B, A10, Beans!A:A, "&gt;=2023-8-1", Beans!A:A,"&lt;2023-9-1" )</f>
        <v>0</v>
      </c>
      <c r="O10" s="11">
        <f>COUNTIFS(Beans!B:B, A10, Beans!A:A, "&gt;=2023-9-1", Beans!A:A,"&lt;2023-10-1" )</f>
        <v>1</v>
      </c>
      <c r="P10" s="11">
        <f>COUNTIFS(Beans!B:B, A10, Beans!A:A, "&gt;=2023-10-1", Beans!A:A,"&lt;2023-11-1" )</f>
        <v>2</v>
      </c>
      <c r="Q10" s="7">
        <f>COUNTIFS(Beans!B:B, A10, Beans!A:A, "&gt;=2023-11-1", Beans!A:A,"&lt;2023-12-1" )</f>
        <v>2</v>
      </c>
      <c r="R10" s="15">
        <f>COUNTIFS(Beans!B:B, A10, Beans!A:A, "&gt;=2023-12-1", Beans!A:A,"&lt;2024-1-1" )</f>
        <v>2</v>
      </c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 t="shared" si="1"/>
        <v>46</v>
      </c>
      <c r="F11" s="12">
        <f>E11/(E10+E11)</f>
        <v>0.7666666667</v>
      </c>
      <c r="G11" s="11">
        <f>COUNTIFS(Beans!B:B, A11, Beans!A:A, "&gt;=2023-1-1", Beans!A:A,"&lt;2023-2-1" )</f>
        <v>1</v>
      </c>
      <c r="H11" s="7">
        <f>COUNTIFS(Beans!B:B, A11, Beans!A:A, "&gt;=2023-2-1", Beans!A:A,"&lt;2023-3-1" )</f>
        <v>0</v>
      </c>
      <c r="I11" s="11">
        <f>COUNTIFS(Beans!B:B, A11, Beans!A:A, "&gt;=2023-3-1", Beans!A:A,"&lt;2023-4-1" )</f>
        <v>4</v>
      </c>
      <c r="J11" s="11">
        <f>COUNTIFS(Beans!B:B, A11, Beans!A:A, "&gt;=2023-4-1", Beans!A:A,"&lt;2023-5-1" )</f>
        <v>2</v>
      </c>
      <c r="K11" s="7">
        <f>COUNTIFS(Beans!B:B, A11, Beans!A:A, "&gt;=2023-5-1", Beans!A:A,"&lt;2023-6-1" )</f>
        <v>2</v>
      </c>
      <c r="L11" s="11">
        <f>COUNTIFS(Beans!B:B, A11, Beans!A:A, "&gt;=2023-6-1", Beans!A:A,"&lt;2023-7-1" )</f>
        <v>2</v>
      </c>
      <c r="M11" s="11">
        <f>COUNTIFS(Beans!B:B, A11, Beans!A:A, "&gt;=2023-7-1", Beans!A:A,"&lt;2023-8-1" )</f>
        <v>7</v>
      </c>
      <c r="N11" s="7">
        <f>COUNTIFS(Beans!B:B, A11, Beans!A:A, "&gt;=2023-8-1", Beans!A:A,"&lt;2023-9-1" )</f>
        <v>8</v>
      </c>
      <c r="O11" s="11">
        <f>COUNTIFS(Beans!B:B, A11, Beans!A:A, "&gt;=2023-9-1", Beans!A:A,"&lt;2023-10-1" )</f>
        <v>4</v>
      </c>
      <c r="P11" s="11">
        <f>COUNTIFS(Beans!B:B, A11, Beans!A:A, "&gt;=2023-10-1", Beans!A:A,"&lt;2023-11-1" )</f>
        <v>6</v>
      </c>
      <c r="Q11" s="7">
        <f>COUNTIFS(Beans!B:B, A11, Beans!A:A, "&gt;=2023-11-1", Beans!A:A,"&lt;2023-12-1" )</f>
        <v>5</v>
      </c>
      <c r="R11" s="15">
        <f>COUNTIFS(Beans!B:B, A11, Beans!A:A, "&gt;=2023-12-1", Beans!A:A,"&lt;2024-1-1" )</f>
        <v>5</v>
      </c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 t="shared" si="1"/>
        <v>12</v>
      </c>
      <c r="F12" s="12">
        <f>E12/(E12+E13)</f>
        <v>0.2222222222</v>
      </c>
      <c r="G12" s="11">
        <f>COUNTIFS(Beans!B:B, A12, Beans!A:A, "&gt;=2023-1-1", Beans!A:A,"&lt;2023-2-1" )</f>
        <v>0</v>
      </c>
      <c r="H12" s="7">
        <f>COUNTIFS(Beans!B:B, A12, Beans!A:A, "&gt;=2023-2-1", Beans!A:A,"&lt;2023-3-1" )</f>
        <v>0</v>
      </c>
      <c r="I12" s="11">
        <f>COUNTIFS(Beans!B:B, A12, Beans!A:A, "&gt;=2023-3-1", Beans!A:A,"&lt;2023-4-1" )</f>
        <v>0</v>
      </c>
      <c r="J12" s="11">
        <f>COUNTIFS(Beans!B:B, A12, Beans!A:A, "&gt;=2023-4-1", Beans!A:A,"&lt;2023-5-1" )</f>
        <v>2</v>
      </c>
      <c r="K12" s="7">
        <f>COUNTIFS(Beans!B:B, A12, Beans!A:A, "&gt;=2023-5-1", Beans!A:A,"&lt;2023-6-1" )</f>
        <v>0</v>
      </c>
      <c r="L12" s="11">
        <f>COUNTIFS(Beans!B:B, A12, Beans!A:A, "&gt;=2023-6-1", Beans!A:A,"&lt;2023-7-1" )</f>
        <v>1</v>
      </c>
      <c r="M12" s="11">
        <f>COUNTIFS(Beans!B:B, A12, Beans!A:A, "&gt;=2023-7-1", Beans!A:A,"&lt;2023-8-1" )</f>
        <v>2</v>
      </c>
      <c r="N12" s="7">
        <f>COUNTIFS(Beans!B:B, A12, Beans!A:A, "&gt;=2023-8-1", Beans!A:A,"&lt;2023-9-1" )</f>
        <v>0</v>
      </c>
      <c r="O12" s="11">
        <f>COUNTIFS(Beans!B:B, A12, Beans!A:A, "&gt;=2023-9-1", Beans!A:A,"&lt;2023-10-1" )</f>
        <v>0</v>
      </c>
      <c r="P12" s="11">
        <f>COUNTIFS(Beans!B:B, A12, Beans!A:A, "&gt;=2023-10-1", Beans!A:A,"&lt;2023-11-1" )</f>
        <v>3</v>
      </c>
      <c r="Q12" s="7">
        <f>COUNTIFS(Beans!B:B, A12, Beans!A:A, "&gt;=2023-11-1", Beans!A:A,"&lt;2023-12-1" )</f>
        <v>2</v>
      </c>
      <c r="R12" s="15">
        <f>COUNTIFS(Beans!B:B, A12, Beans!A:A, "&gt;=2023-12-1", Beans!A:A,"&lt;2024-1-1" )</f>
        <v>2</v>
      </c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 t="shared" si="1"/>
        <v>42</v>
      </c>
      <c r="F13" s="12">
        <f>E13/(E12+E13)</f>
        <v>0.7777777778</v>
      </c>
      <c r="G13" s="11">
        <f>COUNTIFS(Beans!B:B, A13, Beans!A:A, "&gt;=2023-1-1", Beans!A:A,"&lt;2023-2-1" )</f>
        <v>1</v>
      </c>
      <c r="H13" s="7">
        <f>COUNTIFS(Beans!B:B, A13, Beans!A:A, "&gt;=2023-2-1", Beans!A:A,"&lt;2023-3-1" )</f>
        <v>0</v>
      </c>
      <c r="I13" s="11">
        <f>COUNTIFS(Beans!B:B, A13, Beans!A:A, "&gt;=2023-3-1", Beans!A:A,"&lt;2023-4-1" )</f>
        <v>5</v>
      </c>
      <c r="J13" s="11">
        <f>COUNTIFS(Beans!B:B, A13, Beans!A:A, "&gt;=2023-4-1", Beans!A:A,"&lt;2023-5-1" )</f>
        <v>2</v>
      </c>
      <c r="K13" s="7">
        <f>COUNTIFS(Beans!B:B, A13, Beans!A:A, "&gt;=2023-5-1", Beans!A:A,"&lt;2023-6-1" )</f>
        <v>1</v>
      </c>
      <c r="L13" s="11">
        <f>COUNTIFS(Beans!B:B, A13, Beans!A:A, "&gt;=2023-6-1", Beans!A:A,"&lt;2023-7-1" )</f>
        <v>6</v>
      </c>
      <c r="M13" s="11">
        <f>COUNTIFS(Beans!B:B, A13, Beans!A:A, "&gt;=2023-7-1", Beans!A:A,"&lt;2023-8-1" )</f>
        <v>2</v>
      </c>
      <c r="N13" s="7">
        <f>COUNTIFS(Beans!B:B, A13, Beans!A:A, "&gt;=2023-8-1", Beans!A:A,"&lt;2023-9-1" )</f>
        <v>7</v>
      </c>
      <c r="O13" s="11">
        <f>COUNTIFS(Beans!B:B, A13, Beans!A:A, "&gt;=2023-9-1", Beans!A:A,"&lt;2023-10-1" )</f>
        <v>3</v>
      </c>
      <c r="P13" s="11">
        <f>COUNTIFS(Beans!B:B, A13, Beans!A:A, "&gt;=2023-10-1", Beans!A:A,"&lt;2023-11-1" )</f>
        <v>5</v>
      </c>
      <c r="Q13" s="7">
        <f>COUNTIFS(Beans!B:B, A13, Beans!A:A, "&gt;=2023-11-1", Beans!A:A,"&lt;2023-12-1" )</f>
        <v>6</v>
      </c>
      <c r="R13" s="15">
        <f>COUNTIFS(Beans!B:B, A13, Beans!A:A, "&gt;=2023-12-1", Beans!A:A,"&lt;2024-1-1" )</f>
        <v>4</v>
      </c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 t="shared" si="1"/>
        <v>27</v>
      </c>
      <c r="F14" s="12">
        <f>E14/(E14+E15)</f>
        <v>0.4576271186</v>
      </c>
      <c r="G14" s="11">
        <f>COUNTIFS(Beans!B:B, A14, Beans!A:A, "&gt;=2023-1-1", Beans!A:A,"&lt;2023-2-1" )</f>
        <v>0</v>
      </c>
      <c r="H14" s="7">
        <f>COUNTIFS(Beans!B:B, A14, Beans!A:A, "&gt;=2023-2-1", Beans!A:A,"&lt;2023-3-1" )</f>
        <v>0</v>
      </c>
      <c r="I14" s="11">
        <f>COUNTIFS(Beans!B:B, A14, Beans!A:A, "&gt;=2023-3-1", Beans!A:A,"&lt;2023-4-1" )</f>
        <v>0</v>
      </c>
      <c r="J14" s="11">
        <f>COUNTIFS(Beans!B:B, A14, Beans!A:A, "&gt;=2023-4-1", Beans!A:A,"&lt;2023-5-1" )</f>
        <v>1</v>
      </c>
      <c r="K14" s="7">
        <f>COUNTIFS(Beans!B:B, A14, Beans!A:A, "&gt;=2023-5-1", Beans!A:A,"&lt;2023-6-1" )</f>
        <v>2</v>
      </c>
      <c r="L14" s="11">
        <f>COUNTIFS(Beans!B:B, A14, Beans!A:A, "&gt;=2023-6-1", Beans!A:A,"&lt;2023-7-1" )</f>
        <v>4</v>
      </c>
      <c r="M14" s="11">
        <f>COUNTIFS(Beans!B:B, A14, Beans!A:A, "&gt;=2023-7-1", Beans!A:A,"&lt;2023-8-1" )</f>
        <v>2</v>
      </c>
      <c r="N14" s="7">
        <f>COUNTIFS(Beans!B:B, A14, Beans!A:A, "&gt;=2023-8-1", Beans!A:A,"&lt;2023-9-1" )</f>
        <v>4</v>
      </c>
      <c r="O14" s="11">
        <f>COUNTIFS(Beans!B:B, A14, Beans!A:A, "&gt;=2023-9-1", Beans!A:A,"&lt;2023-10-1" )</f>
        <v>4</v>
      </c>
      <c r="P14" s="11">
        <f>COUNTIFS(Beans!B:B, A14, Beans!A:A, "&gt;=2023-10-1", Beans!A:A,"&lt;2023-11-1" )</f>
        <v>7</v>
      </c>
      <c r="Q14" s="7">
        <f>COUNTIFS(Beans!B:B, A14, Beans!A:A, "&gt;=2023-11-1", Beans!A:A,"&lt;2023-12-1" )</f>
        <v>1</v>
      </c>
      <c r="R14" s="15">
        <f>COUNTIFS(Beans!B:B, A14, Beans!A:A, "&gt;=2023-12-1", Beans!A:A,"&lt;2024-1-1" )</f>
        <v>2</v>
      </c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 t="shared" si="1"/>
        <v>32</v>
      </c>
      <c r="F15" s="12">
        <f>E15/(E14+E15)</f>
        <v>0.5423728814</v>
      </c>
      <c r="G15" s="11">
        <f>COUNTIFS(Beans!B:B, A15, Beans!A:A, "&gt;=2023-1-1", Beans!A:A,"&lt;2023-2-1" )</f>
        <v>2</v>
      </c>
      <c r="H15" s="7">
        <f>COUNTIFS(Beans!B:B, A15, Beans!A:A, "&gt;=2023-2-1", Beans!A:A,"&lt;2023-3-1" )</f>
        <v>0</v>
      </c>
      <c r="I15" s="11">
        <f>COUNTIFS(Beans!B:B, A15, Beans!A:A, "&gt;=2023-3-1", Beans!A:A,"&lt;2023-4-1" )</f>
        <v>0</v>
      </c>
      <c r="J15" s="11">
        <f>COUNTIFS(Beans!B:B, A15, Beans!A:A, "&gt;=2023-4-1", Beans!A:A,"&lt;2023-5-1" )</f>
        <v>2</v>
      </c>
      <c r="K15" s="7">
        <f>COUNTIFS(Beans!B:B, A15, Beans!A:A, "&gt;=2023-5-1", Beans!A:A,"&lt;2023-6-1" )</f>
        <v>1</v>
      </c>
      <c r="L15" s="11">
        <f>COUNTIFS(Beans!B:B, A15, Beans!A:A, "&gt;=2023-6-1", Beans!A:A,"&lt;2023-7-1" )</f>
        <v>9</v>
      </c>
      <c r="M15" s="11">
        <f>COUNTIFS(Beans!B:B, A15, Beans!A:A, "&gt;=2023-7-1", Beans!A:A,"&lt;2023-8-1" )</f>
        <v>1</v>
      </c>
      <c r="N15" s="7">
        <f>COUNTIFS(Beans!B:B, A15, Beans!A:A, "&gt;=2023-8-1", Beans!A:A,"&lt;2023-9-1" )</f>
        <v>0</v>
      </c>
      <c r="O15" s="11">
        <f>COUNTIFS(Beans!B:B, A15, Beans!A:A, "&gt;=2023-9-1", Beans!A:A,"&lt;2023-10-1" )</f>
        <v>3</v>
      </c>
      <c r="P15" s="11">
        <f>COUNTIFS(Beans!B:B, A15, Beans!A:A, "&gt;=2023-10-1", Beans!A:A,"&lt;2023-11-1" )</f>
        <v>3</v>
      </c>
      <c r="Q15" s="7">
        <f>COUNTIFS(Beans!B:B, A15, Beans!A:A, "&gt;=2023-11-1", Beans!A:A,"&lt;2023-12-1" )</f>
        <v>7</v>
      </c>
      <c r="R15" s="15">
        <f>COUNTIFS(Beans!B:B, A15, Beans!A:A, "&gt;=2023-12-1", Beans!A:A,"&lt;2024-1-1" )</f>
        <v>4</v>
      </c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 t="shared" si="1"/>
        <v>13</v>
      </c>
      <c r="F16" s="12">
        <f>E16/(E16+E17)</f>
        <v>0.3023255814</v>
      </c>
      <c r="G16" s="11">
        <f>COUNTIFS(Beans!B:B, A16, Beans!A:A, "&gt;=2023-1-1", Beans!A:A,"&lt;2023-2-1" )</f>
        <v>0</v>
      </c>
      <c r="H16" s="7">
        <f>COUNTIFS(Beans!B:B, A16, Beans!A:A, "&gt;=2023-2-1", Beans!A:A,"&lt;2023-3-1" )</f>
        <v>0</v>
      </c>
      <c r="I16" s="11">
        <f>COUNTIFS(Beans!B:B, A16, Beans!A:A, "&gt;=2023-3-1", Beans!A:A,"&lt;2023-4-1" )</f>
        <v>0</v>
      </c>
      <c r="J16" s="11">
        <f>COUNTIFS(Beans!B:B, A16, Beans!A:A, "&gt;=2023-4-1", Beans!A:A,"&lt;2023-5-1" )</f>
        <v>1</v>
      </c>
      <c r="K16" s="7">
        <f>COUNTIFS(Beans!B:B, A16, Beans!A:A, "&gt;=2023-5-1", Beans!A:A,"&lt;2023-6-1" )</f>
        <v>2</v>
      </c>
      <c r="L16" s="11">
        <f>COUNTIFS(Beans!B:B, A16, Beans!A:A, "&gt;=2023-6-1", Beans!A:A,"&lt;2023-7-1" )</f>
        <v>1</v>
      </c>
      <c r="M16" s="11">
        <f>COUNTIFS(Beans!B:B, A16, Beans!A:A, "&gt;=2023-7-1", Beans!A:A,"&lt;2023-8-1" )</f>
        <v>0</v>
      </c>
      <c r="N16" s="7">
        <f>COUNTIFS(Beans!B:B, A16, Beans!A:A, "&gt;=2023-8-1", Beans!A:A,"&lt;2023-9-1" )</f>
        <v>3</v>
      </c>
      <c r="O16" s="11">
        <f>COUNTIFS(Beans!B:B, A16, Beans!A:A, "&gt;=2023-9-1", Beans!A:A,"&lt;2023-10-1" )</f>
        <v>1</v>
      </c>
      <c r="P16" s="11">
        <f>COUNTIFS(Beans!B:B, A16, Beans!A:A, "&gt;=2023-10-1", Beans!A:A,"&lt;2023-11-1" )</f>
        <v>2</v>
      </c>
      <c r="Q16" s="7">
        <f>COUNTIFS(Beans!B:B, A16, Beans!A:A, "&gt;=2023-11-1", Beans!A:A,"&lt;2023-12-1" )</f>
        <v>1</v>
      </c>
      <c r="R16" s="15">
        <f>COUNTIFS(Beans!B:B, A16, Beans!A:A, "&gt;=2023-12-1", Beans!A:A,"&lt;2024-1-1" )</f>
        <v>2</v>
      </c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 t="shared" si="1"/>
        <v>30</v>
      </c>
      <c r="F17" s="12">
        <f>E17/(E16+E17)</f>
        <v>0.6976744186</v>
      </c>
      <c r="G17" s="11">
        <f>COUNTIFS(Beans!B:B, A17, Beans!A:A, "&gt;=2023-1-1", Beans!A:A,"&lt;2023-2-1" )</f>
        <v>0</v>
      </c>
      <c r="H17" s="7">
        <f>COUNTIFS(Beans!B:B, A17, Beans!A:A, "&gt;=2023-2-1", Beans!A:A,"&lt;2023-3-1" )</f>
        <v>0</v>
      </c>
      <c r="I17" s="11">
        <f>COUNTIFS(Beans!B:B, A17, Beans!A:A, "&gt;=2023-3-1", Beans!A:A,"&lt;2023-4-1" )</f>
        <v>1</v>
      </c>
      <c r="J17" s="11">
        <f>COUNTIFS(Beans!B:B, A17, Beans!A:A, "&gt;=2023-4-1", Beans!A:A,"&lt;2023-5-1" )</f>
        <v>1</v>
      </c>
      <c r="K17" s="7">
        <f>COUNTIFS(Beans!B:B, A17, Beans!A:A, "&gt;=2023-5-1", Beans!A:A,"&lt;2023-6-1" )</f>
        <v>2</v>
      </c>
      <c r="L17" s="11">
        <f>COUNTIFS(Beans!B:B, A17, Beans!A:A, "&gt;=2023-6-1", Beans!A:A,"&lt;2023-7-1" )</f>
        <v>4</v>
      </c>
      <c r="M17" s="11">
        <f>COUNTIFS(Beans!B:B, A17, Beans!A:A, "&gt;=2023-7-1", Beans!A:A,"&lt;2023-8-1" )</f>
        <v>4</v>
      </c>
      <c r="N17" s="7">
        <f>COUNTIFS(Beans!B:B, A17, Beans!A:A, "&gt;=2023-8-1", Beans!A:A,"&lt;2023-9-1" )</f>
        <v>2</v>
      </c>
      <c r="O17" s="11">
        <f>COUNTIFS(Beans!B:B, A17, Beans!A:A, "&gt;=2023-9-1", Beans!A:A,"&lt;2023-10-1" )</f>
        <v>1</v>
      </c>
      <c r="P17" s="11">
        <f>COUNTIFS(Beans!B:B, A17, Beans!A:A, "&gt;=2023-10-1", Beans!A:A,"&lt;2023-11-1" )</f>
        <v>4</v>
      </c>
      <c r="Q17" s="7">
        <f>COUNTIFS(Beans!B:B, A17, Beans!A:A, "&gt;=2023-11-1", Beans!A:A,"&lt;2023-12-1" )</f>
        <v>7</v>
      </c>
      <c r="R17" s="15">
        <f>COUNTIFS(Beans!B:B, A17, Beans!A:A, "&gt;=2023-12-1", Beans!A:A,"&lt;2024-1-1" )</f>
        <v>4</v>
      </c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 t="shared" si="1"/>
        <v>10</v>
      </c>
      <c r="F18" s="12">
        <f>E18/(E18+E19)</f>
        <v>0.2325581395</v>
      </c>
      <c r="G18" s="11">
        <f>COUNTIFS(Beans!B:B, A18, Beans!A:A, "&gt;=2023-1-1", Beans!A:A,"&lt;2023-2-1" )</f>
        <v>2</v>
      </c>
      <c r="H18" s="7">
        <f>COUNTIFS(Beans!B:B, A18, Beans!A:A, "&gt;=2023-2-1", Beans!A:A,"&lt;2023-3-1" )</f>
        <v>0</v>
      </c>
      <c r="I18" s="11">
        <f>COUNTIFS(Beans!B:B, A18, Beans!A:A, "&gt;=2023-3-1", Beans!A:A,"&lt;2023-4-1" )</f>
        <v>0</v>
      </c>
      <c r="J18" s="11">
        <f>COUNTIFS(Beans!B:B, A18, Beans!A:A, "&gt;=2023-4-1", Beans!A:A,"&lt;2023-5-1" )</f>
        <v>0</v>
      </c>
      <c r="K18" s="7">
        <f>COUNTIFS(Beans!B:B, A18, Beans!A:A, "&gt;=2023-5-1", Beans!A:A,"&lt;2023-6-1" )</f>
        <v>1</v>
      </c>
      <c r="L18" s="11">
        <f>COUNTIFS(Beans!B:B, A18, Beans!A:A, "&gt;=2023-6-1", Beans!A:A,"&lt;2023-7-1" )</f>
        <v>0</v>
      </c>
      <c r="M18" s="11">
        <f>COUNTIFS(Beans!B:B, A18, Beans!A:A, "&gt;=2023-7-1", Beans!A:A,"&lt;2023-8-1" )</f>
        <v>0</v>
      </c>
      <c r="N18" s="7">
        <f>COUNTIFS(Beans!B:B, A18, Beans!A:A, "&gt;=2023-8-1", Beans!A:A,"&lt;2023-9-1" )</f>
        <v>0</v>
      </c>
      <c r="O18" s="11">
        <f>COUNTIFS(Beans!B:B, A18, Beans!A:A, "&gt;=2023-9-1", Beans!A:A,"&lt;2023-10-1" )</f>
        <v>1</v>
      </c>
      <c r="P18" s="11">
        <f>COUNTIFS(Beans!B:B, A18, Beans!A:A, "&gt;=2023-10-1", Beans!A:A,"&lt;2023-11-1" )</f>
        <v>2</v>
      </c>
      <c r="Q18" s="7">
        <f>COUNTIFS(Beans!B:B, A18, Beans!A:A, "&gt;=2023-11-1", Beans!A:A,"&lt;2023-12-1" )</f>
        <v>3</v>
      </c>
      <c r="R18" s="15">
        <f>COUNTIFS(Beans!B:B, A18, Beans!A:A, "&gt;=2023-12-1", Beans!A:A,"&lt;2024-1-1" )</f>
        <v>1</v>
      </c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 t="shared" si="1"/>
        <v>33</v>
      </c>
      <c r="F19" s="12">
        <f>E19/(E18+E19)</f>
        <v>0.7674418605</v>
      </c>
      <c r="G19" s="11">
        <f>COUNTIFS(Beans!B:B, A19, Beans!A:A, "&gt;=2023-1-1", Beans!A:A,"&lt;2023-2-1" )</f>
        <v>3</v>
      </c>
      <c r="H19" s="7">
        <f>COUNTIFS(Beans!B:B, A19, Beans!A:A, "&gt;=2023-2-1", Beans!A:A,"&lt;2023-3-1" )</f>
        <v>0</v>
      </c>
      <c r="I19" s="11">
        <f>COUNTIFS(Beans!B:B, A19, Beans!A:A, "&gt;=2023-3-1", Beans!A:A,"&lt;2023-4-1" )</f>
        <v>0</v>
      </c>
      <c r="J19" s="11">
        <f>COUNTIFS(Beans!B:B, A19, Beans!A:A, "&gt;=2023-4-1", Beans!A:A,"&lt;2023-5-1" )</f>
        <v>2</v>
      </c>
      <c r="K19" s="7">
        <f>COUNTIFS(Beans!B:B, A19, Beans!A:A, "&gt;=2023-5-1", Beans!A:A,"&lt;2023-6-1" )</f>
        <v>0</v>
      </c>
      <c r="L19" s="11">
        <f>COUNTIFS(Beans!B:B, A19, Beans!A:A, "&gt;=2023-6-1", Beans!A:A,"&lt;2023-7-1" )</f>
        <v>1</v>
      </c>
      <c r="M19" s="11">
        <f>COUNTIFS(Beans!B:B, A19, Beans!A:A, "&gt;=2023-7-1", Beans!A:A,"&lt;2023-8-1" )</f>
        <v>2</v>
      </c>
      <c r="N19" s="7">
        <f>COUNTIFS(Beans!B:B, A19, Beans!A:A, "&gt;=2023-8-1", Beans!A:A,"&lt;2023-9-1" )</f>
        <v>8</v>
      </c>
      <c r="O19" s="11">
        <f>COUNTIFS(Beans!B:B, A19, Beans!A:A, "&gt;=2023-9-1", Beans!A:A,"&lt;2023-10-1" )</f>
        <v>3</v>
      </c>
      <c r="P19" s="11">
        <f>COUNTIFS(Beans!B:B, A19, Beans!A:A, "&gt;=2023-10-1", Beans!A:A,"&lt;2023-11-1" )</f>
        <v>3</v>
      </c>
      <c r="Q19" s="7">
        <f>COUNTIFS(Beans!B:B, A19, Beans!A:A, "&gt;=2023-11-1", Beans!A:A,"&lt;2023-12-1" )</f>
        <v>8</v>
      </c>
      <c r="R19" s="15">
        <f>COUNTIFS(Beans!B:B, A19, Beans!A:A, "&gt;=2023-12-1", Beans!A:A,"&lt;2024-1-1" )</f>
        <v>3</v>
      </c>
    </row>
    <row r="20" ht="47.25" customHeight="1">
      <c r="A20" s="9" t="s">
        <v>67</v>
      </c>
      <c r="B20" s="6" t="s">
        <v>16</v>
      </c>
      <c r="C20" s="10" t="s">
        <v>35</v>
      </c>
      <c r="D20" s="11" t="str">
        <f>D21</f>
        <v/>
      </c>
      <c r="E20" s="11">
        <f t="shared" si="1"/>
        <v>20</v>
      </c>
      <c r="F20" s="12">
        <f>E20/(E20+E21)</f>
        <v>0.4651162791</v>
      </c>
      <c r="G20" s="11">
        <f>COUNTIFS(Beans!B:B, A20, Beans!A:A, "&gt;=2023-1-1", Beans!A:A,"&lt;2023-2-1" )</f>
        <v>3</v>
      </c>
      <c r="H20" s="7">
        <f>COUNTIFS(Beans!B:B, A20, Beans!A:A, "&gt;=2023-2-1", Beans!A:A,"&lt;2023-3-1" )</f>
        <v>0</v>
      </c>
      <c r="I20" s="11">
        <f>COUNTIFS(Beans!B:B, A20, Beans!A:A, "&gt;=2023-3-1", Beans!A:A,"&lt;2023-4-1" )</f>
        <v>0</v>
      </c>
      <c r="J20" s="11">
        <f>COUNTIFS(Beans!B:B, A20, Beans!A:A, "&gt;=2023-4-1", Beans!A:A,"&lt;2023-5-1" )</f>
        <v>3</v>
      </c>
      <c r="K20" s="7">
        <f>COUNTIFS(Beans!B:B, A20, Beans!A:A, "&gt;=2023-5-1", Beans!A:A,"&lt;2023-6-1" )</f>
        <v>2</v>
      </c>
      <c r="L20" s="11">
        <f>COUNTIFS(Beans!B:B, A20, Beans!A:A, "&gt;=2023-6-1", Beans!A:A,"&lt;2023-7-1" )</f>
        <v>1</v>
      </c>
      <c r="M20" s="11">
        <f>COUNTIFS(Beans!B:B, A20, Beans!A:A, "&gt;=2023-7-1", Beans!A:A,"&lt;2023-8-1" )</f>
        <v>0</v>
      </c>
      <c r="N20" s="7">
        <f>COUNTIFS(Beans!B:B, A20, Beans!A:A, "&gt;=2023-8-1", Beans!A:A,"&lt;2023-9-1" )</f>
        <v>0</v>
      </c>
      <c r="O20" s="11">
        <f>COUNTIFS(Beans!B:B, A20, Beans!A:A, "&gt;=2023-9-1", Beans!A:A,"&lt;2023-10-1" )</f>
        <v>3</v>
      </c>
      <c r="P20" s="11">
        <f>COUNTIFS(Beans!B:B, A20, Beans!A:A, "&gt;=2023-10-1", Beans!A:A,"&lt;2023-11-1" )</f>
        <v>2</v>
      </c>
      <c r="Q20" s="7">
        <f>COUNTIFS(Beans!B:B, A20, Beans!A:A, "&gt;=2023-11-1", Beans!A:A,"&lt;2023-12-1" )</f>
        <v>3</v>
      </c>
      <c r="R20" s="15">
        <f>COUNTIFS(Beans!B:B, A20, Beans!A:A, "&gt;=2023-12-1", Beans!A:A,"&lt;2024-1-1" )</f>
        <v>3</v>
      </c>
    </row>
    <row r="21" ht="49.5" customHeight="1">
      <c r="A21" s="9" t="s">
        <v>72</v>
      </c>
      <c r="B21" s="6" t="s">
        <v>21</v>
      </c>
      <c r="C21" s="10" t="s">
        <v>35</v>
      </c>
      <c r="D21" s="11"/>
      <c r="E21" s="11">
        <f t="shared" si="1"/>
        <v>23</v>
      </c>
      <c r="F21" s="12">
        <f>E21/(E20+E21)</f>
        <v>0.5348837209</v>
      </c>
      <c r="G21" s="11">
        <f>COUNTIFS(Beans!B:B, A21, Beans!A:A, "&gt;=2023-1-1", Beans!A:A,"&lt;2023-2-1" )</f>
        <v>1</v>
      </c>
      <c r="H21" s="7">
        <f>COUNTIFS(Beans!B:B, A21, Beans!A:A, "&gt;=2023-2-1", Beans!A:A,"&lt;2023-3-1" )</f>
        <v>0</v>
      </c>
      <c r="I21" s="11">
        <f>COUNTIFS(Beans!B:B, A21, Beans!A:A, "&gt;=2023-3-1", Beans!A:A,"&lt;2023-4-1" )</f>
        <v>4</v>
      </c>
      <c r="J21" s="11">
        <f>COUNTIFS(Beans!B:B, A21, Beans!A:A, "&gt;=2023-4-1", Beans!A:A,"&lt;2023-5-1" )</f>
        <v>2</v>
      </c>
      <c r="K21" s="7">
        <f>COUNTIFS(Beans!B:B, A21, Beans!A:A, "&gt;=2023-5-1", Beans!A:A,"&lt;2023-6-1" )</f>
        <v>1</v>
      </c>
      <c r="L21" s="11">
        <f>COUNTIFS(Beans!B:B, A21, Beans!A:A, "&gt;=2023-6-1", Beans!A:A,"&lt;2023-7-1" )</f>
        <v>1</v>
      </c>
      <c r="M21" s="11">
        <f>COUNTIFS(Beans!B:B, A21, Beans!A:A, "&gt;=2023-7-1", Beans!A:A,"&lt;2023-8-1" )</f>
        <v>3</v>
      </c>
      <c r="N21" s="7">
        <f>COUNTIFS(Beans!B:B, A21, Beans!A:A, "&gt;=2023-8-1", Beans!A:A,"&lt;2023-9-1" )</f>
        <v>4</v>
      </c>
      <c r="O21" s="11">
        <f>COUNTIFS(Beans!B:B, A21, Beans!A:A, "&gt;=2023-9-1", Beans!A:A,"&lt;2023-10-1" )</f>
        <v>2</v>
      </c>
      <c r="P21" s="11">
        <f>COUNTIFS(Beans!B:B, A21, Beans!A:A, "&gt;=2023-10-1", Beans!A:A,"&lt;2023-11-1" )</f>
        <v>1</v>
      </c>
      <c r="Q21" s="7">
        <f>COUNTIFS(Beans!B:B, A21, Beans!A:A, "&gt;=2023-11-1", Beans!A:A,"&lt;2023-12-1" )</f>
        <v>2</v>
      </c>
      <c r="R21" s="15">
        <f>COUNTIFS(Beans!B:B, A21, Beans!A:A, "&gt;=2023-12-1", Beans!A:A,"&lt;2024-1-1" )</f>
        <v>2</v>
      </c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 t="shared" si="1"/>
        <v>1</v>
      </c>
      <c r="F22" s="12">
        <f>E22/(E22+E23)</f>
        <v>0.05882352941</v>
      </c>
      <c r="G22" s="11">
        <f>COUNTIFS(Beans!B:B, A22, Beans!A:A, "&gt;=2023-1-1", Beans!A:A,"&lt;2023-2-1" )</f>
        <v>0</v>
      </c>
      <c r="H22" s="7">
        <f>COUNTIFS(Beans!B:B, A22, Beans!A:A, "&gt;=2023-2-1", Beans!A:A,"&lt;2023-3-1" )</f>
        <v>0</v>
      </c>
      <c r="I22" s="11">
        <f>COUNTIFS(Beans!B:B, A22, Beans!A:A, "&gt;=2023-3-1", Beans!A:A,"&lt;2023-4-1" )</f>
        <v>1</v>
      </c>
      <c r="J22" s="11">
        <f>COUNTIFS(Beans!B:B, A22, Beans!A:A, "&gt;=2023-4-1", Beans!A:A,"&lt;2023-5-1" )</f>
        <v>0</v>
      </c>
      <c r="K22" s="7">
        <f>COUNTIFS(Beans!B:B, A22, Beans!A:A, "&gt;=2023-5-1", Beans!A:A,"&lt;2023-6-1" )</f>
        <v>0</v>
      </c>
      <c r="L22" s="11">
        <f>COUNTIFS(Beans!B:B, A22, Beans!A:A, "&gt;=2023-6-1", Beans!A:A,"&lt;2023-7-1" )</f>
        <v>0</v>
      </c>
      <c r="M22" s="11">
        <f>COUNTIFS(Beans!B:B, A22, Beans!A:A, "&gt;=2023-7-1", Beans!A:A,"&lt;2023-8-1" )</f>
        <v>0</v>
      </c>
      <c r="N22" s="7">
        <f>COUNTIFS(Beans!B:B, A22, Beans!A:A, "&gt;=2023-8-1", Beans!A:A,"&lt;2023-9-1" )</f>
        <v>0</v>
      </c>
      <c r="O22" s="11">
        <f>COUNTIFS(Beans!B:B, A22, Beans!A:A, "&gt;=2023-9-1", Beans!A:A,"&lt;2023-10-1" )</f>
        <v>0</v>
      </c>
      <c r="P22" s="11">
        <f>COUNTIFS(Beans!B:B, A22, Beans!A:A, "&gt;=2023-10-1", Beans!A:A,"&lt;2023-11-1" )</f>
        <v>0</v>
      </c>
      <c r="Q22" s="7">
        <f>COUNTIFS(Beans!B:B, A22, Beans!A:A, "&gt;=2023-11-1", Beans!A:A,"&lt;2023-12-1" )</f>
        <v>0</v>
      </c>
      <c r="R22" s="15">
        <f>COUNTIFS(Beans!B:B, A22, Beans!A:A, "&gt;=2023-12-1", Beans!A:A,"&lt;2024-1-1" )</f>
        <v>0</v>
      </c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 t="shared" si="1"/>
        <v>16</v>
      </c>
      <c r="F23" s="12">
        <f>E23/(E22+E23)</f>
        <v>0.9411764706</v>
      </c>
      <c r="G23" s="11">
        <f>COUNTIFS(Beans!B:B, A23, Beans!A:A, "&gt;=2023-1-1", Beans!A:A,"&lt;2023-2-1" )</f>
        <v>0</v>
      </c>
      <c r="H23" s="7">
        <f>COUNTIFS(Beans!B:B, A23, Beans!A:A, "&gt;=2023-2-1", Beans!A:A,"&lt;2023-3-1" )</f>
        <v>0</v>
      </c>
      <c r="I23" s="11">
        <f>COUNTIFS(Beans!B:B, A23, Beans!A:A, "&gt;=2023-3-1", Beans!A:A,"&lt;2023-4-1" )</f>
        <v>7</v>
      </c>
      <c r="J23" s="11">
        <f>COUNTIFS(Beans!B:B, A23, Beans!A:A, "&gt;=2023-4-1", Beans!A:A,"&lt;2023-5-1" )</f>
        <v>9</v>
      </c>
      <c r="K23" s="7">
        <f>COUNTIFS(Beans!B:B, A23, Beans!A:A, "&gt;=2023-5-1", Beans!A:A,"&lt;2023-6-1" )</f>
        <v>0</v>
      </c>
      <c r="L23" s="11">
        <f>COUNTIFS(Beans!B:B, A23, Beans!A:A, "&gt;=2023-6-1", Beans!A:A,"&lt;2023-7-1" )</f>
        <v>0</v>
      </c>
      <c r="M23" s="11">
        <f>COUNTIFS(Beans!B:B, A23, Beans!A:A, "&gt;=2023-7-1", Beans!A:A,"&lt;2023-8-1" )</f>
        <v>0</v>
      </c>
      <c r="N23" s="7">
        <f>COUNTIFS(Beans!B:B, A23, Beans!A:A, "&gt;=2023-8-1", Beans!A:A,"&lt;2023-9-1" )</f>
        <v>0</v>
      </c>
      <c r="O23" s="11">
        <f>COUNTIFS(Beans!B:B, A23, Beans!A:A, "&gt;=2023-9-1", Beans!A:A,"&lt;2023-10-1" )</f>
        <v>0</v>
      </c>
      <c r="P23" s="11">
        <f>COUNTIFS(Beans!B:B, A23, Beans!A:A, "&gt;=2023-10-1", Beans!A:A,"&lt;2023-11-1" )</f>
        <v>0</v>
      </c>
      <c r="Q23" s="7">
        <f>COUNTIFS(Beans!B:B, A23, Beans!A:A, "&gt;=2023-11-1", Beans!A:A,"&lt;2023-12-1" )</f>
        <v>0</v>
      </c>
      <c r="R23" s="15">
        <f>COUNTIFS(Beans!B:B, A23, Beans!A:A, "&gt;=2023-12-1", Beans!A:A,"&lt;2024-1-1" )</f>
        <v>0</v>
      </c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 t="shared" si="1"/>
        <v>6</v>
      </c>
      <c r="F24" s="12">
        <f>E24/(E24+E25)</f>
        <v>0.6666666667</v>
      </c>
      <c r="G24" s="11">
        <f>COUNTIFS(Beans!B:B, A24, Beans!A:A, "&gt;=2023-1-1", Beans!A:A,"&lt;2023-2-1" )</f>
        <v>0</v>
      </c>
      <c r="H24" s="7">
        <f>COUNTIFS(Beans!B:B, A24, Beans!A:A, "&gt;=2023-2-1", Beans!A:A,"&lt;2023-3-1" )</f>
        <v>0</v>
      </c>
      <c r="I24" s="11">
        <f>COUNTIFS(Beans!B:B, A24, Beans!A:A, "&gt;=2023-3-1", Beans!A:A,"&lt;2023-4-1" )</f>
        <v>3</v>
      </c>
      <c r="J24" s="11">
        <f>COUNTIFS(Beans!B:B, A24, Beans!A:A, "&gt;=2023-4-1", Beans!A:A,"&lt;2023-5-1" )</f>
        <v>3</v>
      </c>
      <c r="K24" s="7">
        <f>COUNTIFS(Beans!B:B, A24, Beans!A:A, "&gt;=2023-5-1", Beans!A:A,"&lt;2023-6-1" )</f>
        <v>0</v>
      </c>
      <c r="L24" s="11">
        <f>COUNTIFS(Beans!B:B, A24, Beans!A:A, "&gt;=2023-6-1", Beans!A:A,"&lt;2023-7-1" )</f>
        <v>0</v>
      </c>
      <c r="M24" s="11">
        <f>COUNTIFS(Beans!B:B, A24, Beans!A:A, "&gt;=2023-7-1", Beans!A:A,"&lt;2023-8-1" )</f>
        <v>0</v>
      </c>
      <c r="N24" s="7">
        <f>COUNTIFS(Beans!B:B, A24, Beans!A:A, "&gt;=2023-8-1", Beans!A:A,"&lt;2023-9-1" )</f>
        <v>0</v>
      </c>
      <c r="O24" s="11">
        <f>COUNTIFS(Beans!B:B, A24, Beans!A:A, "&gt;=2023-9-1", Beans!A:A,"&lt;2023-10-1" )</f>
        <v>0</v>
      </c>
      <c r="P24" s="11">
        <f>COUNTIFS(Beans!B:B, A24, Beans!A:A, "&gt;=2023-10-1", Beans!A:A,"&lt;2023-11-1" )</f>
        <v>0</v>
      </c>
      <c r="Q24" s="7">
        <f>COUNTIFS(Beans!B:B, A24, Beans!A:A, "&gt;=2023-11-1", Beans!A:A,"&lt;2023-12-1" )</f>
        <v>0</v>
      </c>
      <c r="R24" s="15">
        <f>COUNTIFS(Beans!B:B, A24, Beans!A:A, "&gt;=2023-12-1", Beans!A:A,"&lt;2024-1-1" )</f>
        <v>0</v>
      </c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 t="shared" si="1"/>
        <v>3</v>
      </c>
      <c r="F25" s="12">
        <f>E25/(E24+E25)</f>
        <v>0.3333333333</v>
      </c>
      <c r="G25" s="11">
        <f>COUNTIFS(Beans!B:B, A25, Beans!A:A, "&gt;=2023-1-1", Beans!A:A,"&lt;2023-2-1" )</f>
        <v>0</v>
      </c>
      <c r="H25" s="7">
        <f>COUNTIFS(Beans!B:B, A25, Beans!A:A, "&gt;=2023-2-1", Beans!A:A,"&lt;2023-3-1" )</f>
        <v>0</v>
      </c>
      <c r="I25" s="11">
        <f>COUNTIFS(Beans!B:B, A25, Beans!A:A, "&gt;=2023-3-1", Beans!A:A,"&lt;2023-4-1" )</f>
        <v>1</v>
      </c>
      <c r="J25" s="11">
        <f>COUNTIFS(Beans!B:B, A25, Beans!A:A, "&gt;=2023-4-1", Beans!A:A,"&lt;2023-5-1" )</f>
        <v>2</v>
      </c>
      <c r="K25" s="7">
        <f>COUNTIFS(Beans!B:B, A25, Beans!A:A, "&gt;=2023-5-1", Beans!A:A,"&lt;2023-6-1" )</f>
        <v>0</v>
      </c>
      <c r="L25" s="11">
        <f>COUNTIFS(Beans!B:B, A25, Beans!A:A, "&gt;=2023-6-1", Beans!A:A,"&lt;2023-7-1" )</f>
        <v>0</v>
      </c>
      <c r="M25" s="11">
        <f>COUNTIFS(Beans!B:B, A25, Beans!A:A, "&gt;=2023-7-1", Beans!A:A,"&lt;2023-8-1" )</f>
        <v>0</v>
      </c>
      <c r="N25" s="7">
        <f>COUNTIFS(Beans!B:B, A25, Beans!A:A, "&gt;=2023-8-1", Beans!A:A,"&lt;2023-9-1" )</f>
        <v>0</v>
      </c>
      <c r="O25" s="11">
        <f>COUNTIFS(Beans!B:B, A25, Beans!A:A, "&gt;=2023-9-1", Beans!A:A,"&lt;2023-10-1" )</f>
        <v>0</v>
      </c>
      <c r="P25" s="11">
        <f>COUNTIFS(Beans!B:B, A25, Beans!A:A, "&gt;=2023-10-1", Beans!A:A,"&lt;2023-11-1" )</f>
        <v>0</v>
      </c>
      <c r="Q25" s="7">
        <f>COUNTIFS(Beans!B:B, A25, Beans!A:A, "&gt;=2023-11-1", Beans!A:A,"&lt;2023-12-1" )</f>
        <v>0</v>
      </c>
      <c r="R25" s="15">
        <f>COUNTIFS(Beans!B:B, A25, Beans!A:A, "&gt;=2023-12-1", Beans!A:A,"&lt;2024-1-1" )</f>
        <v>0</v>
      </c>
    </row>
    <row r="26" ht="44.25" customHeight="1">
      <c r="A26" s="9" t="s">
        <v>137</v>
      </c>
      <c r="B26" s="6" t="s">
        <v>27</v>
      </c>
      <c r="C26" s="51" t="s">
        <v>138</v>
      </c>
      <c r="D26" s="6"/>
      <c r="E26" s="11">
        <f t="shared" si="1"/>
        <v>1</v>
      </c>
      <c r="F26" s="12">
        <f>E26/(E26+E27+E27+E28+E29+E30)</f>
        <v>0.03703703704</v>
      </c>
      <c r="G26" s="11">
        <f>COUNTIFS(Beans!B:B, A26, Beans!A:A, "&gt;=2023-1-1", Beans!A:A,"&lt;2023-2-1" )</f>
        <v>0</v>
      </c>
      <c r="H26" s="7">
        <f>COUNTIFS(Beans!B:B, A26, Beans!A:A, "&gt;=2023-2-1", Beans!A:A,"&lt;2023-3-1" )</f>
        <v>0</v>
      </c>
      <c r="I26" s="11">
        <f>COUNTIFS(Beans!B:B, A26, Beans!A:A, "&gt;=2023-3-1", Beans!A:A,"&lt;2023-4-1" )</f>
        <v>0</v>
      </c>
      <c r="J26" s="11">
        <f>COUNTIFS(Beans!B:B, A26, Beans!A:A, "&gt;=2023-4-1", Beans!A:A,"&lt;2023-5-1" )</f>
        <v>1</v>
      </c>
      <c r="K26" s="7">
        <f>COUNTIFS(Beans!B:B, A26, Beans!A:A, "&gt;=2023-5-1", Beans!A:A,"&lt;2023-6-1" )</f>
        <v>0</v>
      </c>
      <c r="L26" s="11">
        <f>COUNTIFS(Beans!B:B, A26, Beans!A:A, "&gt;=2023-6-1", Beans!A:A,"&lt;2023-7-1" )</f>
        <v>0</v>
      </c>
      <c r="M26" s="11">
        <f>COUNTIFS(Beans!B:B, A26, Beans!A:A, "&gt;=2023-7-1", Beans!A:A,"&lt;2023-8-1" )</f>
        <v>0</v>
      </c>
      <c r="N26" s="7">
        <f>COUNTIFS(Beans!B:B, A26, Beans!A:A, "&gt;=2023-8-1", Beans!A:A,"&lt;2023-9-1" )</f>
        <v>0</v>
      </c>
      <c r="O26" s="11">
        <f>COUNTIFS(Beans!B:B, A26, Beans!A:A, "&gt;=2023-9-1", Beans!A:A,"&lt;2023-10-1" )</f>
        <v>0</v>
      </c>
      <c r="P26" s="11">
        <f>COUNTIFS(Beans!B:B, A26, Beans!A:A, "&gt;=2023-10-1", Beans!A:A,"&lt;2023-11-1" )</f>
        <v>0</v>
      </c>
      <c r="Q26" s="7">
        <f>COUNTIFS(Beans!B:B, A26, Beans!A:A, "&gt;=2023-11-1", Beans!A:A,"&lt;2023-12-1" )</f>
        <v>0</v>
      </c>
      <c r="R26" s="15">
        <f>COUNTIFS(Beans!B:B, A26, Beans!A:A, "&gt;=2023-12-1", Beans!A:A,"&lt;2024-1-1" )</f>
        <v>0</v>
      </c>
    </row>
    <row r="27" ht="45.75" customHeight="1">
      <c r="A27" s="9" t="s">
        <v>139</v>
      </c>
      <c r="B27" s="6" t="s">
        <v>27</v>
      </c>
      <c r="C27" s="51" t="s">
        <v>138</v>
      </c>
      <c r="D27" s="7"/>
      <c r="E27" s="11">
        <f t="shared" si="1"/>
        <v>2</v>
      </c>
      <c r="F27" s="12">
        <f>E27/(E26+E27+E27+E28+E29+E30)</f>
        <v>0.07407407407</v>
      </c>
      <c r="G27" s="11">
        <f>COUNTIFS(Beans!B:B, A27, Beans!A:A, "&gt;=2023-1-1", Beans!A:A,"&lt;2023-2-1" )</f>
        <v>0</v>
      </c>
      <c r="H27" s="7">
        <f>COUNTIFS(Beans!B:B, A27, Beans!A:A, "&gt;=2023-2-1", Beans!A:A,"&lt;2023-3-1" )</f>
        <v>0</v>
      </c>
      <c r="I27" s="11">
        <f>COUNTIFS(Beans!B:B, A27, Beans!A:A, "&gt;=2023-3-1", Beans!A:A,"&lt;2023-4-1" )</f>
        <v>0</v>
      </c>
      <c r="J27" s="11">
        <f>COUNTIFS(Beans!B:B, A27, Beans!A:A, "&gt;=2023-4-1", Beans!A:A,"&lt;2023-5-1" )</f>
        <v>2</v>
      </c>
      <c r="K27" s="7">
        <f>COUNTIFS(Beans!B:B, A27, Beans!A:A, "&gt;=2023-5-1", Beans!A:A,"&lt;2023-6-1" )</f>
        <v>0</v>
      </c>
      <c r="L27" s="11">
        <f>COUNTIFS(Beans!B:B, A27, Beans!A:A, "&gt;=2023-6-1", Beans!A:A,"&lt;2023-7-1" )</f>
        <v>0</v>
      </c>
      <c r="M27" s="11">
        <f>COUNTIFS(Beans!B:B, A27, Beans!A:A, "&gt;=2023-7-1", Beans!A:A,"&lt;2023-8-1" )</f>
        <v>0</v>
      </c>
      <c r="N27" s="7">
        <f>COUNTIFS(Beans!B:B, A27, Beans!A:A, "&gt;=2023-8-1", Beans!A:A,"&lt;2023-9-1" )</f>
        <v>0</v>
      </c>
      <c r="O27" s="11">
        <f>COUNTIFS(Beans!B:B, A27, Beans!A:A, "&gt;=2023-9-1", Beans!A:A,"&lt;2023-10-1" )</f>
        <v>0</v>
      </c>
      <c r="P27" s="11">
        <f>COUNTIFS(Beans!B:B, A27, Beans!A:A, "&gt;=2023-10-1", Beans!A:A,"&lt;2023-11-1" )</f>
        <v>0</v>
      </c>
      <c r="Q27" s="7">
        <f>COUNTIFS(Beans!B:B, A27, Beans!A:A, "&gt;=2023-11-1", Beans!A:A,"&lt;2023-12-1" )</f>
        <v>0</v>
      </c>
      <c r="R27" s="15">
        <f>COUNTIFS(Beans!B:B, A27, Beans!A:A, "&gt;=2023-12-1", Beans!A:A,"&lt;2024-1-1" )</f>
        <v>0</v>
      </c>
    </row>
    <row r="28" ht="46.5" customHeight="1">
      <c r="A28" s="9" t="s">
        <v>140</v>
      </c>
      <c r="B28" s="6" t="s">
        <v>27</v>
      </c>
      <c r="C28" s="51" t="s">
        <v>138</v>
      </c>
      <c r="D28" s="7"/>
      <c r="E28" s="11">
        <f t="shared" si="1"/>
        <v>2</v>
      </c>
      <c r="F28" s="12">
        <f>E28/(E26+E27+E27+E28+E29+E30)</f>
        <v>0.07407407407</v>
      </c>
      <c r="G28" s="11">
        <f>COUNTIFS(Beans!B:B, A28, Beans!A:A, "&gt;=2023-1-1", Beans!A:A,"&lt;2023-2-1" )</f>
        <v>0</v>
      </c>
      <c r="H28" s="7">
        <f>COUNTIFS(Beans!B:B, A28, Beans!A:A, "&gt;=2023-2-1", Beans!A:A,"&lt;2023-3-1" )</f>
        <v>0</v>
      </c>
      <c r="I28" s="11">
        <f>COUNTIFS(Beans!B:B, A28, Beans!A:A, "&gt;=2023-3-1", Beans!A:A,"&lt;2023-4-1" )</f>
        <v>0</v>
      </c>
      <c r="J28" s="11">
        <f>COUNTIFS(Beans!B:B, A28, Beans!A:A, "&gt;=2023-4-1", Beans!A:A,"&lt;2023-5-1" )</f>
        <v>2</v>
      </c>
      <c r="K28" s="7">
        <f>COUNTIFS(Beans!B:B, A28, Beans!A:A, "&gt;=2023-5-1", Beans!A:A,"&lt;2023-6-1" )</f>
        <v>0</v>
      </c>
      <c r="L28" s="11">
        <f>COUNTIFS(Beans!B:B, A28, Beans!A:A, "&gt;=2023-6-1", Beans!A:A,"&lt;2023-7-1" )</f>
        <v>0</v>
      </c>
      <c r="M28" s="11">
        <f>COUNTIFS(Beans!B:B, A28, Beans!A:A, "&gt;=2023-7-1", Beans!A:A,"&lt;2023-8-1" )</f>
        <v>0</v>
      </c>
      <c r="N28" s="7">
        <f>COUNTIFS(Beans!B:B, A28, Beans!A:A, "&gt;=2023-8-1", Beans!A:A,"&lt;2023-9-1" )</f>
        <v>0</v>
      </c>
      <c r="O28" s="11">
        <f>COUNTIFS(Beans!B:B, A28, Beans!A:A, "&gt;=2023-9-1", Beans!A:A,"&lt;2023-10-1" )</f>
        <v>0</v>
      </c>
      <c r="P28" s="11">
        <f>COUNTIFS(Beans!B:B, A28, Beans!A:A, "&gt;=2023-10-1", Beans!A:A,"&lt;2023-11-1" )</f>
        <v>0</v>
      </c>
      <c r="Q28" s="7">
        <f>COUNTIFS(Beans!B:B, A28, Beans!A:A, "&gt;=2023-11-1", Beans!A:A,"&lt;2023-12-1" )</f>
        <v>0</v>
      </c>
      <c r="R28" s="15">
        <f>COUNTIFS(Beans!B:B, A28, Beans!A:A, "&gt;=2023-12-1", Beans!A:A,"&lt;2024-1-1" )</f>
        <v>0</v>
      </c>
    </row>
    <row r="29" ht="45.75" customHeight="1">
      <c r="A29" s="9" t="s">
        <v>141</v>
      </c>
      <c r="B29" s="6" t="s">
        <v>27</v>
      </c>
      <c r="C29" s="51" t="s">
        <v>138</v>
      </c>
      <c r="D29" s="7"/>
      <c r="E29" s="11">
        <f t="shared" si="1"/>
        <v>10</v>
      </c>
      <c r="F29" s="12">
        <f>E29/(E26+E27+E27+E28+E29+E30)</f>
        <v>0.3703703704</v>
      </c>
      <c r="G29" s="11">
        <f>COUNTIFS(Beans!B:B, A29, Beans!A:A, "&gt;=2023-1-1", Beans!A:A,"&lt;2023-2-1" )</f>
        <v>0</v>
      </c>
      <c r="H29" s="7">
        <f>COUNTIFS(Beans!B:B, A29, Beans!A:A, "&gt;=2023-2-1", Beans!A:A,"&lt;2023-3-1" )</f>
        <v>0</v>
      </c>
      <c r="I29" s="11">
        <f>COUNTIFS(Beans!B:B, A29, Beans!A:A, "&gt;=2023-3-1", Beans!A:A,"&lt;2023-4-1" )</f>
        <v>0</v>
      </c>
      <c r="J29" s="11">
        <f>COUNTIFS(Beans!B:B, A29, Beans!A:A, "&gt;=2023-4-1", Beans!A:A,"&lt;2023-5-1" )</f>
        <v>6</v>
      </c>
      <c r="K29" s="7">
        <f>COUNTIFS(Beans!B:B, A29, Beans!A:A, "&gt;=2023-5-1", Beans!A:A,"&lt;2023-6-1" )</f>
        <v>0</v>
      </c>
      <c r="L29" s="11">
        <f>COUNTIFS(Beans!B:B, A29, Beans!A:A, "&gt;=2023-6-1", Beans!A:A,"&lt;2023-7-1" )</f>
        <v>0</v>
      </c>
      <c r="M29" s="11">
        <f>COUNTIFS(Beans!B:B, A29, Beans!A:A, "&gt;=2023-7-1", Beans!A:A,"&lt;2023-8-1" )</f>
        <v>4</v>
      </c>
      <c r="N29" s="7">
        <f>COUNTIFS(Beans!B:B, A29, Beans!A:A, "&gt;=2023-8-1", Beans!A:A,"&lt;2023-9-1" )</f>
        <v>0</v>
      </c>
      <c r="O29" s="11">
        <f>COUNTIFS(Beans!B:B, A29, Beans!A:A, "&gt;=2023-9-1", Beans!A:A,"&lt;2023-10-1" )</f>
        <v>0</v>
      </c>
      <c r="P29" s="11">
        <f>COUNTIFS(Beans!B:B, A29, Beans!A:A, "&gt;=2023-10-1", Beans!A:A,"&lt;2023-11-1" )</f>
        <v>0</v>
      </c>
      <c r="Q29" s="7">
        <f>COUNTIFS(Beans!B:B, A29, Beans!A:A, "&gt;=2023-11-1", Beans!A:A,"&lt;2023-12-1" )</f>
        <v>0</v>
      </c>
      <c r="R29" s="15">
        <f>COUNTIFS(Beans!B:B, A29, Beans!A:A, "&gt;=2023-12-1", Beans!A:A,"&lt;2024-1-1" )</f>
        <v>0</v>
      </c>
    </row>
    <row r="30" ht="43.5" customHeight="1">
      <c r="A30" s="9" t="s">
        <v>145</v>
      </c>
      <c r="B30" s="6" t="s">
        <v>27</v>
      </c>
      <c r="C30" s="51" t="s">
        <v>138</v>
      </c>
      <c r="D30" s="7"/>
      <c r="E30" s="11">
        <f t="shared" si="1"/>
        <v>10</v>
      </c>
      <c r="F30" s="105">
        <f>E30/(E26+E27+E27+E28+E29+E30)</f>
        <v>0.3703703704</v>
      </c>
      <c r="G30" s="11">
        <f>COUNTIFS(Beans!B:B, A30, Beans!A:A, "&gt;=2023-1-1", Beans!A:A,"&lt;2023-2-1" )</f>
        <v>1</v>
      </c>
      <c r="H30" s="7">
        <f>COUNTIFS(Beans!B:B, A30, Beans!A:A, "&gt;=2023-2-1", Beans!A:A,"&lt;2023-3-1" )</f>
        <v>0</v>
      </c>
      <c r="I30" s="11">
        <f>COUNTIFS(Beans!B:B, A30, Beans!A:A, "&gt;=2023-3-1", Beans!A:A,"&lt;2023-4-1" )</f>
        <v>1</v>
      </c>
      <c r="J30" s="11">
        <f>COUNTIFS(Beans!B:B, A30, Beans!A:A, "&gt;=2023-4-1", Beans!A:A,"&lt;2023-5-1" )</f>
        <v>8</v>
      </c>
      <c r="K30" s="7">
        <f>COUNTIFS(Beans!B:B, A30, Beans!A:A, "&gt;=2023-5-1", Beans!A:A,"&lt;2023-6-1" )</f>
        <v>0</v>
      </c>
      <c r="L30" s="11">
        <f>COUNTIFS(Beans!B:B, A30, Beans!A:A, "&gt;=2023-6-1", Beans!A:A,"&lt;2023-7-1" )</f>
        <v>0</v>
      </c>
      <c r="M30" s="11">
        <f>COUNTIFS(Beans!B:B, A30, Beans!A:A, "&gt;=2023-7-1", Beans!A:A,"&lt;2023-8-1" )</f>
        <v>0</v>
      </c>
      <c r="N30" s="7">
        <f>COUNTIFS(Beans!B:B, A30, Beans!A:A, "&gt;=2023-8-1", Beans!A:A,"&lt;2023-9-1" )</f>
        <v>0</v>
      </c>
      <c r="O30" s="11">
        <f>COUNTIFS(Beans!B:B, A30, Beans!A:A, "&gt;=2023-9-1", Beans!A:A,"&lt;2023-10-1" )</f>
        <v>0</v>
      </c>
      <c r="P30" s="11">
        <f>COUNTIFS(Beans!B:B, A30, Beans!A:A, "&gt;=2023-10-1", Beans!A:A,"&lt;2023-11-1" )</f>
        <v>0</v>
      </c>
      <c r="Q30" s="7">
        <f>COUNTIFS(Beans!B:B, A30, Beans!A:A, "&gt;=2023-11-1", Beans!A:A,"&lt;2023-12-1" )</f>
        <v>0</v>
      </c>
      <c r="R30" s="15">
        <f>COUNTIFS(Beans!B:B, A30, Beans!A:A, "&gt;=2023-12-1", Beans!A:A,"&lt;2024-1-1" )</f>
        <v>0</v>
      </c>
    </row>
    <row r="31">
      <c r="A31" s="6" t="s">
        <v>99</v>
      </c>
      <c r="B31" s="6" t="s">
        <v>16</v>
      </c>
      <c r="C31" s="5" t="s">
        <v>146</v>
      </c>
      <c r="D31" s="11"/>
      <c r="E31" s="11">
        <f t="shared" si="1"/>
        <v>3</v>
      </c>
      <c r="F31" s="12">
        <f>E31/(E31+E32)</f>
        <v>0.75</v>
      </c>
      <c r="G31" s="11">
        <f>COUNTIFS(Beans!B:B, A31, Beans!A:A, "&gt;=2023-1-1", Beans!A:A,"&lt;2023-2-1" )</f>
        <v>0</v>
      </c>
      <c r="H31" s="7">
        <f>COUNTIFS(Beans!B:B, A31, Beans!A:A, "&gt;=2023-2-1", Beans!A:A,"&lt;2023-3-1" )</f>
        <v>0</v>
      </c>
      <c r="I31" s="11">
        <f>COUNTIFS(Beans!B:B, A31, Beans!A:A, "&gt;=2023-3-1", Beans!A:A,"&lt;2023-4-1" )</f>
        <v>0</v>
      </c>
      <c r="J31" s="11">
        <f>COUNTIFS(Beans!B:B, A31, Beans!A:A, "&gt;=2023-4-1", Beans!A:A,"&lt;2023-5-1" )</f>
        <v>1</v>
      </c>
      <c r="K31" s="7">
        <f>COUNTIFS(Beans!B:B, A31, Beans!A:A, "&gt;=2023-5-1", Beans!A:A,"&lt;2023-6-1" )</f>
        <v>0</v>
      </c>
      <c r="L31" s="11">
        <f>COUNTIFS(Beans!B:B, A31, Beans!A:A, "&gt;=2023-6-1", Beans!A:A,"&lt;2023-7-1" )</f>
        <v>0</v>
      </c>
      <c r="M31" s="11">
        <f>COUNTIFS(Beans!B:B, A31, Beans!A:A, "&gt;=2023-7-1", Beans!A:A,"&lt;2023-8-1" )</f>
        <v>0</v>
      </c>
      <c r="N31" s="7">
        <f>COUNTIFS(Beans!B:B, A31, Beans!A:A, "&gt;=2023-8-1", Beans!A:A,"&lt;2023-9-1" )</f>
        <v>0</v>
      </c>
      <c r="O31" s="11">
        <f>COUNTIFS(Beans!B:B, A31, Beans!A:A, "&gt;=2023-9-1", Beans!A:A,"&lt;2023-10-1" )</f>
        <v>1</v>
      </c>
      <c r="P31" s="11">
        <f>COUNTIFS(Beans!B:B, A31, Beans!A:A, "&gt;=2023-10-1", Beans!A:A,"&lt;2023-11-1" )</f>
        <v>1</v>
      </c>
      <c r="Q31" s="7">
        <f>COUNTIFS(Beans!B:B, A31, Beans!A:A, "&gt;=2023-11-1", Beans!A:A,"&lt;2023-12-1" )</f>
        <v>0</v>
      </c>
      <c r="R31" s="15">
        <f>COUNTIFS(Beans!B:B, A31, Beans!A:A, "&gt;=2023-12-1", Beans!A:A,"&lt;2024-1-1" )</f>
        <v>0</v>
      </c>
    </row>
    <row r="32">
      <c r="A32" s="6" t="s">
        <v>111</v>
      </c>
      <c r="B32" s="6" t="s">
        <v>21</v>
      </c>
      <c r="C32" s="5" t="s">
        <v>146</v>
      </c>
      <c r="D32" s="11"/>
      <c r="E32" s="11">
        <f t="shared" si="1"/>
        <v>1</v>
      </c>
      <c r="F32" s="12">
        <f>E32/(E31+E32)</f>
        <v>0.25</v>
      </c>
      <c r="G32" s="11">
        <f>COUNTIFS(Beans!B:B, A32, Beans!A:A, "&gt;=2023-1-1", Beans!A:A,"&lt;2023-2-1" )</f>
        <v>0</v>
      </c>
      <c r="H32" s="7">
        <f>COUNTIFS(Beans!B:B, A32, Beans!A:A, "&gt;=2023-2-1", Beans!A:A,"&lt;2023-3-1" )</f>
        <v>0</v>
      </c>
      <c r="I32" s="11">
        <f>COUNTIFS(Beans!B:B, A32, Beans!A:A, "&gt;=2023-3-1", Beans!A:A,"&lt;2023-4-1" )</f>
        <v>0</v>
      </c>
      <c r="J32" s="11">
        <f>COUNTIFS(Beans!B:B, A32, Beans!A:A, "&gt;=2023-4-1", Beans!A:A,"&lt;2023-5-1" )</f>
        <v>1</v>
      </c>
      <c r="K32" s="7">
        <f>COUNTIFS(Beans!B:B, A32, Beans!A:A, "&gt;=2023-5-1", Beans!A:A,"&lt;2023-6-1" )</f>
        <v>0</v>
      </c>
      <c r="L32" s="11">
        <f>COUNTIFS(Beans!B:B, A32, Beans!A:A, "&gt;=2023-6-1", Beans!A:A,"&lt;2023-7-1" )</f>
        <v>0</v>
      </c>
      <c r="M32" s="11">
        <f>COUNTIFS(Beans!B:B, A32, Beans!A:A, "&gt;=2023-7-1", Beans!A:A,"&lt;2023-8-1" )</f>
        <v>0</v>
      </c>
      <c r="N32" s="7">
        <f>COUNTIFS(Beans!B:B, A32, Beans!A:A, "&gt;=2023-8-1", Beans!A:A,"&lt;2023-9-1" )</f>
        <v>0</v>
      </c>
      <c r="O32" s="11">
        <f>COUNTIFS(Beans!B:B, A32, Beans!A:A, "&gt;=2023-9-1", Beans!A:A,"&lt;2023-10-1" )</f>
        <v>0</v>
      </c>
      <c r="P32" s="11">
        <f>COUNTIFS(Beans!B:B, A32, Beans!A:A, "&gt;=2023-10-1", Beans!A:A,"&lt;2023-11-1" )</f>
        <v>0</v>
      </c>
      <c r="Q32" s="7">
        <f>COUNTIFS(Beans!B:B, A32, Beans!A:A, "&gt;=2023-11-1", Beans!A:A,"&lt;2023-12-1" )</f>
        <v>0</v>
      </c>
      <c r="R32" s="15">
        <f>COUNTIFS(Beans!B:B, A32, Beans!A:A, "&gt;=2023-12-1", Beans!A:A,"&lt;2024-1-1" )</f>
        <v>0</v>
      </c>
    </row>
    <row r="33">
      <c r="A33" s="7"/>
      <c r="B33" s="7"/>
      <c r="D33" s="7"/>
      <c r="E33" s="7">
        <f>SUM(E2:E32)</f>
        <v>569</v>
      </c>
      <c r="F33" s="7"/>
      <c r="G33" s="7">
        <f t="shared" ref="G33:R33" si="2">SUM(G2:G30)</f>
        <v>43</v>
      </c>
      <c r="H33" s="7">
        <f t="shared" si="2"/>
        <v>0</v>
      </c>
      <c r="I33" s="7">
        <f t="shared" si="2"/>
        <v>57</v>
      </c>
      <c r="J33" s="7">
        <f t="shared" si="2"/>
        <v>72</v>
      </c>
      <c r="K33" s="7">
        <f t="shared" si="2"/>
        <v>38</v>
      </c>
      <c r="L33" s="7">
        <f t="shared" si="2"/>
        <v>60</v>
      </c>
      <c r="M33" s="7">
        <f t="shared" si="2"/>
        <v>37</v>
      </c>
      <c r="N33" s="7">
        <f t="shared" si="2"/>
        <v>45</v>
      </c>
      <c r="O33" s="7">
        <f t="shared" si="2"/>
        <v>31</v>
      </c>
      <c r="P33" s="7">
        <f t="shared" si="2"/>
        <v>54</v>
      </c>
      <c r="Q33" s="7">
        <f t="shared" si="2"/>
        <v>74</v>
      </c>
      <c r="R33" s="7">
        <f t="shared" si="2"/>
        <v>54</v>
      </c>
    </row>
    <row r="35">
      <c r="A35" s="5" t="s">
        <v>16</v>
      </c>
      <c r="B35" s="35">
        <f t="shared" ref="B35:B36" si="3">E2+E4+E6+E8+E10+E12+E14+E16+E18+E20+E22+E24+E31</f>
        <v>148</v>
      </c>
    </row>
    <row r="36">
      <c r="A36" s="5" t="s">
        <v>21</v>
      </c>
      <c r="B36" s="35">
        <f t="shared" si="3"/>
        <v>396</v>
      </c>
    </row>
    <row r="37">
      <c r="A37" s="5" t="s">
        <v>27</v>
      </c>
      <c r="B37" s="35">
        <f>SUM(E26:E30)</f>
        <v>25</v>
      </c>
    </row>
    <row r="38">
      <c r="B38" s="35">
        <f>SUM(B35:B37)</f>
        <v>569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205</v>
      </c>
      <c r="B1" s="42" t="s">
        <v>368</v>
      </c>
    </row>
    <row r="3">
      <c r="A3" s="43"/>
      <c r="B3" s="44" t="str">
        <f>'2023 Bean Description'!C2</f>
        <v>1st-Curr</v>
      </c>
      <c r="C3" s="43"/>
      <c r="D3" s="43"/>
      <c r="E3" s="44" t="str">
        <f>'2023 Bean Description'!C4</f>
        <v>4th-Curr</v>
      </c>
      <c r="F3" s="43"/>
      <c r="G3" s="43"/>
      <c r="H3" s="44" t="str">
        <f>'2023 Bean Description'!C6</f>
        <v>1st-Curr</v>
      </c>
      <c r="I3" s="43"/>
      <c r="J3" s="43"/>
      <c r="K3" s="44" t="str">
        <f>'2023 Bean Description'!C8</f>
        <v>5th-Curr</v>
      </c>
      <c r="L3" s="43"/>
      <c r="M3" s="43"/>
      <c r="N3" s="44" t="str">
        <f>'2023 Bean Description'!C10</f>
        <v>1st-Curr</v>
      </c>
      <c r="O3" s="43"/>
    </row>
    <row r="4">
      <c r="A4" s="46"/>
      <c r="B4" s="47" t="str">
        <f>'2023 Bean Description'!A2</f>
        <v>Juicy Pear</v>
      </c>
      <c r="C4" s="47" t="str">
        <f>'2023 Bean Description'!A3</f>
        <v>Booger</v>
      </c>
      <c r="D4" s="46"/>
      <c r="E4" s="47" t="str">
        <f>'2023 Bean Description'!A4</f>
        <v>Strawberry Smoothie</v>
      </c>
      <c r="F4" s="47" t="str">
        <f>'2023 Bean Description'!A5</f>
        <v>Dead Fish (Rotten)</v>
      </c>
      <c r="G4" s="46"/>
      <c r="H4" s="47" t="str">
        <f>'2023 Bean Description'!A6</f>
        <v>Berry Blue</v>
      </c>
      <c r="I4" s="47" t="str">
        <f>'2023 Bean Description'!A7</f>
        <v>Toothpaste</v>
      </c>
      <c r="J4" s="46"/>
      <c r="K4" s="47" t="str">
        <f>'2023 Bean Description'!A8</f>
        <v>Birthday Cake</v>
      </c>
      <c r="L4" s="47" t="str">
        <f>'2023 Bean Description'!A9</f>
        <v>Dirty Dishwater</v>
      </c>
      <c r="M4" s="46"/>
      <c r="N4" s="47" t="str">
        <f>'2023 Bean Description'!A10</f>
        <v>Peach</v>
      </c>
      <c r="O4" s="47" t="str">
        <f>'2023 Bean Description'!A11</f>
        <v>Barf</v>
      </c>
    </row>
    <row r="5">
      <c r="A5" s="44" t="s">
        <v>174</v>
      </c>
      <c r="B5" s="48">
        <f>'2023 Bean Description'!G2</f>
        <v>0</v>
      </c>
      <c r="C5" s="48">
        <f>'2023 Bean Description'!G3</f>
        <v>8</v>
      </c>
      <c r="D5" s="43"/>
      <c r="E5" s="48">
        <f>'2023 Bean Description'!G4</f>
        <v>2</v>
      </c>
      <c r="F5" s="48">
        <f>'2023 Bean Description'!G5</f>
        <v>1</v>
      </c>
      <c r="G5" s="43"/>
      <c r="H5" s="48">
        <f>'2023 Bean Description'!G6</f>
        <v>1</v>
      </c>
      <c r="I5" s="48">
        <f>'2023 Bean Description'!G7</f>
        <v>1</v>
      </c>
      <c r="J5" s="43"/>
      <c r="K5" s="48">
        <f>'2023 Bean Description'!G8</f>
        <v>2</v>
      </c>
      <c r="L5" s="48">
        <f>'2023 Bean Description'!G9</f>
        <v>13</v>
      </c>
      <c r="M5" s="43"/>
      <c r="N5" s="48">
        <f>'2023 Bean Description'!G10</f>
        <v>1</v>
      </c>
      <c r="O5" s="48">
        <f>'2023 Bean Description'!G11</f>
        <v>1</v>
      </c>
    </row>
    <row r="6">
      <c r="A6" s="44" t="s">
        <v>175</v>
      </c>
      <c r="B6" s="43">
        <f>'2023 Bean Description'!H2</f>
        <v>0</v>
      </c>
      <c r="C6" s="43">
        <f>'2023 Bean Description'!H3</f>
        <v>0</v>
      </c>
      <c r="D6" s="43"/>
      <c r="E6" s="48">
        <f>'2023 Bean Description'!H4</f>
        <v>0</v>
      </c>
      <c r="F6" s="48">
        <f>'2023 Bean Description'!H5</f>
        <v>0</v>
      </c>
      <c r="G6" s="43"/>
      <c r="H6" s="43">
        <f>'2023 Bean Description'!H6</f>
        <v>0</v>
      </c>
      <c r="I6" s="43">
        <f>'2023 Bean Description'!H7</f>
        <v>0</v>
      </c>
      <c r="J6" s="43"/>
      <c r="K6" s="49">
        <f>'2023 Bean Description'!H8</f>
        <v>0</v>
      </c>
      <c r="L6" s="43">
        <f>'2023 Bean Description'!H9</f>
        <v>0</v>
      </c>
      <c r="M6" s="43"/>
      <c r="N6" s="43">
        <f>'2023 Bean Description'!H10</f>
        <v>0</v>
      </c>
      <c r="O6" s="43">
        <f>'2023 Bean Description'!H11</f>
        <v>0</v>
      </c>
    </row>
    <row r="7">
      <c r="A7" s="44" t="s">
        <v>176</v>
      </c>
      <c r="B7" s="48">
        <f>'2023 Bean Description'!I2</f>
        <v>1</v>
      </c>
      <c r="C7" s="48">
        <f>'2023 Bean Description'!I3</f>
        <v>6</v>
      </c>
      <c r="D7" s="43"/>
      <c r="E7" s="48">
        <f>'2023 Bean Description'!I4</f>
        <v>2</v>
      </c>
      <c r="F7" s="48">
        <f>'2023 Bean Description'!I5</f>
        <v>9</v>
      </c>
      <c r="G7" s="43"/>
      <c r="H7" s="48">
        <f>'2023 Bean Description'!I6</f>
        <v>1</v>
      </c>
      <c r="I7" s="48">
        <f>'2023 Bean Description'!I7</f>
        <v>4</v>
      </c>
      <c r="J7" s="43"/>
      <c r="K7" s="48">
        <f>'2023 Bean Description'!I8</f>
        <v>0</v>
      </c>
      <c r="L7" s="48">
        <f>'2023 Bean Description'!I9</f>
        <v>4</v>
      </c>
      <c r="M7" s="43"/>
      <c r="N7" s="48">
        <f>'2023 Bean Description'!I10</f>
        <v>3</v>
      </c>
      <c r="O7" s="48">
        <f>'2023 Bean Description'!I11</f>
        <v>4</v>
      </c>
    </row>
    <row r="8">
      <c r="A8" s="44" t="s">
        <v>177</v>
      </c>
      <c r="B8" s="50">
        <f>'2023 Bean Description'!J2</f>
        <v>0</v>
      </c>
      <c r="C8" s="50">
        <f>'2023 Bean Description'!J3</f>
        <v>6</v>
      </c>
      <c r="D8" s="43"/>
      <c r="E8" s="48">
        <f>'2023 Bean Description'!J4</f>
        <v>2</v>
      </c>
      <c r="F8" s="48">
        <f>'2023 Bean Description'!J5</f>
        <v>1</v>
      </c>
      <c r="G8" s="43"/>
      <c r="H8" s="43">
        <f>'2023 Bean Description'!J6</f>
        <v>1</v>
      </c>
      <c r="I8" s="50">
        <f>'2023 Bean Description'!J7</f>
        <v>4</v>
      </c>
      <c r="J8" s="43"/>
      <c r="K8" s="43">
        <f>'2023 Bean Description'!J8</f>
        <v>1</v>
      </c>
      <c r="L8" s="50">
        <f>'2023 Bean Description'!J9</f>
        <v>4</v>
      </c>
      <c r="M8" s="43"/>
      <c r="N8" s="50">
        <f>'2023 Bean Description'!J10</f>
        <v>2</v>
      </c>
      <c r="O8" s="50">
        <f>'2023 Bean Description'!J11</f>
        <v>2</v>
      </c>
    </row>
    <row r="9">
      <c r="A9" s="44" t="s">
        <v>178</v>
      </c>
      <c r="B9" s="50">
        <f>'2023 Bean Description'!K2</f>
        <v>2</v>
      </c>
      <c r="C9" s="50">
        <f>'2023 Bean Description'!K3</f>
        <v>4</v>
      </c>
      <c r="D9" s="43"/>
      <c r="E9" s="48">
        <f>'2023 Bean Description'!K4</f>
        <v>0</v>
      </c>
      <c r="F9" s="48">
        <f>'2023 Bean Description'!K5</f>
        <v>9</v>
      </c>
      <c r="G9" s="43"/>
      <c r="H9" s="43">
        <f>'2023 Bean Description'!K6</f>
        <v>0</v>
      </c>
      <c r="I9" s="50">
        <f>'2023 Bean Description'!K7</f>
        <v>5</v>
      </c>
      <c r="J9" s="43"/>
      <c r="K9" s="43">
        <f>'2023 Bean Description'!K8</f>
        <v>1</v>
      </c>
      <c r="L9" s="50">
        <f>'2023 Bean Description'!K9</f>
        <v>3</v>
      </c>
      <c r="M9" s="43"/>
      <c r="N9" s="50">
        <f>'2023 Bean Description'!K10</f>
        <v>0</v>
      </c>
      <c r="O9" s="50">
        <f>'2023 Bean Description'!K11</f>
        <v>2</v>
      </c>
    </row>
    <row r="10">
      <c r="A10" s="44" t="s">
        <v>179</v>
      </c>
      <c r="B10" s="50">
        <f>'2023 Bean Description'!L2</f>
        <v>1</v>
      </c>
      <c r="C10" s="50">
        <f>'2023 Bean Description'!L3</f>
        <v>8</v>
      </c>
      <c r="D10" s="43"/>
      <c r="E10" s="48">
        <f>'2023 Bean Description'!L4</f>
        <v>2</v>
      </c>
      <c r="F10" s="48">
        <f>'2023 Bean Description'!L5</f>
        <v>10</v>
      </c>
      <c r="G10" s="43"/>
      <c r="H10" s="43">
        <f>'2023 Bean Description'!L6</f>
        <v>1</v>
      </c>
      <c r="I10" s="50">
        <f>'2023 Bean Description'!L7</f>
        <v>6</v>
      </c>
      <c r="J10" s="43"/>
      <c r="K10" s="43">
        <f>'2023 Bean Description'!L8</f>
        <v>0</v>
      </c>
      <c r="L10" s="50">
        <f>'2023 Bean Description'!L9</f>
        <v>1</v>
      </c>
      <c r="M10" s="43"/>
      <c r="N10" s="50">
        <f>'2023 Bean Description'!L10</f>
        <v>1</v>
      </c>
      <c r="O10" s="50">
        <f>'2023 Bean Description'!L11</f>
        <v>2</v>
      </c>
    </row>
    <row r="11">
      <c r="A11" s="44" t="s">
        <v>180</v>
      </c>
      <c r="B11" s="50">
        <f>'2023 Bean Description'!M2</f>
        <v>0</v>
      </c>
      <c r="C11" s="50">
        <f>'2023 Bean Description'!M3</f>
        <v>3</v>
      </c>
      <c r="D11" s="43"/>
      <c r="E11" s="48">
        <f>'2023 Bean Description'!M4</f>
        <v>1</v>
      </c>
      <c r="F11" s="48">
        <f>'2023 Bean Description'!M5</f>
        <v>1</v>
      </c>
      <c r="G11" s="43"/>
      <c r="H11" s="43">
        <f>'2023 Bean Description'!M6</f>
        <v>0</v>
      </c>
      <c r="I11" s="50">
        <f>'2023 Bean Description'!M7</f>
        <v>1</v>
      </c>
      <c r="J11" s="43"/>
      <c r="K11" s="43">
        <f>'2023 Bean Description'!M8</f>
        <v>0</v>
      </c>
      <c r="L11" s="50">
        <f>'2023 Bean Description'!M9</f>
        <v>4</v>
      </c>
      <c r="M11" s="43"/>
      <c r="N11" s="50">
        <f>'2023 Bean Description'!M10</f>
        <v>0</v>
      </c>
      <c r="O11" s="50">
        <f>'2023 Bean Description'!M11</f>
        <v>7</v>
      </c>
    </row>
    <row r="12">
      <c r="A12" s="44" t="s">
        <v>181</v>
      </c>
      <c r="B12" s="50">
        <f>'2023 Bean Description'!N2</f>
        <v>1</v>
      </c>
      <c r="C12" s="50">
        <f>'2023 Bean Description'!N3</f>
        <v>2</v>
      </c>
      <c r="D12" s="43"/>
      <c r="E12" s="48">
        <f>'2023 Bean Description'!N4</f>
        <v>4</v>
      </c>
      <c r="F12" s="48">
        <f>'2023 Bean Description'!N5</f>
        <v>1</v>
      </c>
      <c r="G12" s="43"/>
      <c r="H12" s="43">
        <f>'2023 Bean Description'!N6</f>
        <v>0</v>
      </c>
      <c r="I12" s="50">
        <f>'2023 Bean Description'!N7</f>
        <v>0</v>
      </c>
      <c r="J12" s="43"/>
      <c r="K12" s="43">
        <f>'2023 Bean Description'!N8</f>
        <v>1</v>
      </c>
      <c r="L12" s="50">
        <f>'2023 Bean Description'!N9</f>
        <v>0</v>
      </c>
      <c r="M12" s="43"/>
      <c r="N12" s="50">
        <f>'2023 Bean Description'!N10</f>
        <v>0</v>
      </c>
      <c r="O12" s="50">
        <f>'2023 Bean Description'!N11</f>
        <v>8</v>
      </c>
    </row>
    <row r="13">
      <c r="A13" s="44" t="s">
        <v>182</v>
      </c>
      <c r="B13" s="50">
        <f>'2023 Bean Description'!O2</f>
        <v>0</v>
      </c>
      <c r="C13" s="50">
        <f>'2023 Bean Description'!O3</f>
        <v>2</v>
      </c>
      <c r="D13" s="43"/>
      <c r="E13" s="48">
        <f>'2023 Bean Description'!O4</f>
        <v>0</v>
      </c>
      <c r="F13" s="48">
        <f>'2023 Bean Description'!O5</f>
        <v>1</v>
      </c>
      <c r="G13" s="43"/>
      <c r="H13" s="43">
        <f>'2023 Bean Description'!O6</f>
        <v>0</v>
      </c>
      <c r="I13" s="50">
        <f>'2023 Bean Description'!O7</f>
        <v>0</v>
      </c>
      <c r="J13" s="43"/>
      <c r="K13" s="43">
        <f>'2023 Bean Description'!O8</f>
        <v>0</v>
      </c>
      <c r="L13" s="50">
        <f>'2023 Bean Description'!O9</f>
        <v>2</v>
      </c>
      <c r="M13" s="43"/>
      <c r="N13" s="50">
        <f>'2023 Bean Description'!O10</f>
        <v>1</v>
      </c>
      <c r="O13" s="50">
        <f>'2023 Bean Description'!O11</f>
        <v>4</v>
      </c>
    </row>
    <row r="14">
      <c r="A14" s="44" t="s">
        <v>183</v>
      </c>
      <c r="B14" s="50">
        <f>'2023 Bean Description'!P2</f>
        <v>1</v>
      </c>
      <c r="C14" s="50">
        <f>'2023 Bean Description'!P3</f>
        <v>4</v>
      </c>
      <c r="D14" s="43"/>
      <c r="E14" s="48">
        <f>'2023 Bean Description'!P4</f>
        <v>2</v>
      </c>
      <c r="F14" s="48">
        <f>'2023 Bean Description'!P5</f>
        <v>2</v>
      </c>
      <c r="G14" s="43"/>
      <c r="H14" s="43">
        <f>'2023 Bean Description'!P6</f>
        <v>0</v>
      </c>
      <c r="I14" s="50">
        <f>'2023 Bean Description'!P7</f>
        <v>0</v>
      </c>
      <c r="J14" s="43"/>
      <c r="K14" s="43">
        <f>'2023 Bean Description'!P8</f>
        <v>1</v>
      </c>
      <c r="L14" s="50">
        <f>'2023 Bean Description'!P9</f>
        <v>4</v>
      </c>
      <c r="M14" s="43"/>
      <c r="N14" s="50">
        <f>'2023 Bean Description'!P10</f>
        <v>2</v>
      </c>
      <c r="O14" s="50">
        <f>'2023 Bean Description'!P11</f>
        <v>6</v>
      </c>
    </row>
    <row r="15">
      <c r="A15" s="44" t="s">
        <v>184</v>
      </c>
      <c r="B15" s="50">
        <f>'2023 Bean Description'!Q2</f>
        <v>2</v>
      </c>
      <c r="C15" s="50">
        <f>'2023 Bean Description'!Q3</f>
        <v>4</v>
      </c>
      <c r="D15" s="43"/>
      <c r="E15" s="48">
        <f>'2023 Bean Description'!Q4</f>
        <v>4</v>
      </c>
      <c r="F15" s="48">
        <f>'2023 Bean Description'!Q5</f>
        <v>6</v>
      </c>
      <c r="G15" s="43"/>
      <c r="H15" s="43">
        <f>'2023 Bean Description'!Q6</f>
        <v>0</v>
      </c>
      <c r="I15" s="50">
        <f>'2023 Bean Description'!Q7</f>
        <v>2</v>
      </c>
      <c r="J15" s="43"/>
      <c r="K15" s="43">
        <f>'2023 Bean Description'!Q8</f>
        <v>3</v>
      </c>
      <c r="L15" s="50">
        <f>'2023 Bean Description'!Q9</f>
        <v>6</v>
      </c>
      <c r="M15" s="43"/>
      <c r="N15" s="50">
        <f>'2023 Bean Description'!Q10</f>
        <v>2</v>
      </c>
      <c r="O15" s="50">
        <f>'2023 Bean Description'!Q11</f>
        <v>5</v>
      </c>
    </row>
    <row r="16">
      <c r="A16" s="44" t="s">
        <v>185</v>
      </c>
      <c r="B16" s="50">
        <f>'2023 Bean Description'!R2</f>
        <v>0</v>
      </c>
      <c r="C16" s="50">
        <f>'2023 Bean Description'!R3</f>
        <v>10</v>
      </c>
      <c r="D16" s="43"/>
      <c r="E16" s="48">
        <f>'2023 Bean Description'!R4</f>
        <v>1</v>
      </c>
      <c r="F16" s="48">
        <f>'2023 Bean Description'!R5</f>
        <v>5</v>
      </c>
      <c r="G16" s="43"/>
      <c r="H16" s="43">
        <f>'2023 Bean Description'!R6</f>
        <v>0</v>
      </c>
      <c r="I16" s="50">
        <f>'2023 Bean Description'!R7</f>
        <v>0</v>
      </c>
      <c r="J16" s="43"/>
      <c r="K16" s="43">
        <f>'2023 Bean Description'!R8</f>
        <v>1</v>
      </c>
      <c r="L16" s="50">
        <f>'2023 Bean Description'!R9</f>
        <v>3</v>
      </c>
      <c r="M16" s="43"/>
      <c r="N16" s="50">
        <f>'2023 Bean Description'!R10</f>
        <v>2</v>
      </c>
      <c r="O16" s="50">
        <f>'2023 Bean Description'!R11</f>
        <v>5</v>
      </c>
    </row>
    <row r="17">
      <c r="A17" s="43"/>
      <c r="B17" s="50"/>
      <c r="C17" s="50"/>
      <c r="D17" s="43"/>
      <c r="E17" s="50"/>
      <c r="F17" s="50"/>
      <c r="G17" s="43"/>
      <c r="H17" s="43"/>
      <c r="I17" s="50"/>
      <c r="J17" s="43"/>
      <c r="K17" s="43"/>
      <c r="L17" s="50"/>
      <c r="M17" s="43"/>
      <c r="N17" s="50"/>
      <c r="O17" s="50"/>
    </row>
    <row r="18">
      <c r="A18" s="43"/>
      <c r="B18" s="44" t="str">
        <f>'2023 Bean Description'!C12</f>
        <v>3rd-Curr</v>
      </c>
      <c r="C18" s="46"/>
      <c r="D18" s="46"/>
      <c r="E18" s="44" t="str">
        <f>'2023 Bean Description'!C14</f>
        <v>6th-Curr</v>
      </c>
      <c r="F18" s="46"/>
      <c r="G18" s="46"/>
      <c r="H18" s="44" t="str">
        <f>'2023 Bean Description'!C16</f>
        <v>5th-Curr</v>
      </c>
      <c r="I18" s="46"/>
      <c r="J18" s="46"/>
      <c r="K18" s="44" t="str">
        <f>'2023 Bean Description'!C18</f>
        <v>6th-Curr</v>
      </c>
      <c r="L18" s="46"/>
      <c r="M18" s="46"/>
      <c r="N18" s="44" t="str">
        <f>'2023 Bean Description'!C20</f>
        <v>1st-Curr</v>
      </c>
      <c r="O18" s="43"/>
    </row>
    <row r="19">
      <c r="A19" s="46"/>
      <c r="B19" s="47" t="s">
        <v>44</v>
      </c>
      <c r="C19" s="47" t="s">
        <v>58</v>
      </c>
      <c r="D19" s="46"/>
      <c r="E19" s="47" t="s">
        <v>95</v>
      </c>
      <c r="F19" s="100" t="s">
        <v>69</v>
      </c>
      <c r="G19" s="46"/>
      <c r="H19" s="47" t="s">
        <v>29</v>
      </c>
      <c r="I19" s="47" t="s">
        <v>63</v>
      </c>
      <c r="J19" s="46"/>
      <c r="K19" s="47" t="s">
        <v>334</v>
      </c>
      <c r="L19" s="47" t="s">
        <v>51</v>
      </c>
      <c r="M19" s="46"/>
      <c r="N19" s="47" t="s">
        <v>67</v>
      </c>
      <c r="O19" s="47" t="s">
        <v>72</v>
      </c>
    </row>
    <row r="20">
      <c r="A20" s="44" t="s">
        <v>174</v>
      </c>
      <c r="B20" s="48">
        <f>'2023 Bean Description'!G12</f>
        <v>0</v>
      </c>
      <c r="C20" s="48">
        <f>'2023 Bean Description'!G13</f>
        <v>1</v>
      </c>
      <c r="D20" s="43"/>
      <c r="E20" s="48">
        <f>'2023 Bean Description'!G14</f>
        <v>0</v>
      </c>
      <c r="F20" s="48">
        <f>'2023 Bean Description'!G15</f>
        <v>2</v>
      </c>
      <c r="G20" s="43"/>
      <c r="H20" s="43">
        <f>'2023 Bean Description'!G16</f>
        <v>0</v>
      </c>
      <c r="I20" s="43">
        <f>'2023 Bean Description'!G17</f>
        <v>0</v>
      </c>
      <c r="J20" s="43"/>
      <c r="K20" s="48">
        <f>'2023 Bean Description'!G18</f>
        <v>2</v>
      </c>
      <c r="L20" s="48">
        <f>'2023 Bean Description'!G19</f>
        <v>3</v>
      </c>
      <c r="M20" s="43"/>
      <c r="N20" s="48">
        <f>'2023 Bean Description'!G20</f>
        <v>3</v>
      </c>
      <c r="O20" s="48">
        <f>'2023 Bean Description'!G21</f>
        <v>1</v>
      </c>
    </row>
    <row r="21">
      <c r="A21" s="44" t="s">
        <v>175</v>
      </c>
      <c r="B21" s="43">
        <f>'2023 Bean Description'!H12</f>
        <v>0</v>
      </c>
      <c r="C21" s="43">
        <f>'2023 Bean Description'!H13</f>
        <v>0</v>
      </c>
      <c r="D21" s="43"/>
      <c r="E21" s="43">
        <f>'2023 Bean Description'!H14</f>
        <v>0</v>
      </c>
      <c r="F21" s="43">
        <f>'2023 Bean Description'!H15</f>
        <v>0</v>
      </c>
      <c r="G21" s="43"/>
      <c r="H21" s="43">
        <f>'2023 Bean Description'!H16</f>
        <v>0</v>
      </c>
      <c r="I21" s="43">
        <f>'2023 Bean Description'!H17</f>
        <v>0</v>
      </c>
      <c r="J21" s="43"/>
      <c r="K21" s="43">
        <f>'2023 Bean Description'!H18</f>
        <v>0</v>
      </c>
      <c r="L21" s="43">
        <f>'2023 Bean Description'!H19</f>
        <v>0</v>
      </c>
      <c r="M21" s="43"/>
      <c r="N21" s="43">
        <f>'2023 Bean Description'!H20</f>
        <v>0</v>
      </c>
      <c r="O21" s="43">
        <f>'2023 Bean Description'!H21</f>
        <v>0</v>
      </c>
    </row>
    <row r="22">
      <c r="A22" s="44" t="s">
        <v>176</v>
      </c>
      <c r="B22" s="48">
        <f>'2023 Bean Description'!I12</f>
        <v>0</v>
      </c>
      <c r="C22" s="48">
        <f>'2023 Bean Description'!I13</f>
        <v>5</v>
      </c>
      <c r="D22" s="43"/>
      <c r="E22" s="43">
        <f>'2023 Bean Description'!I14</f>
        <v>0</v>
      </c>
      <c r="F22" s="43">
        <f>'2023 Bean Description'!I15</f>
        <v>0</v>
      </c>
      <c r="G22" s="43"/>
      <c r="H22" s="48">
        <f>'2023 Bean Description'!I16</f>
        <v>0</v>
      </c>
      <c r="I22" s="48">
        <f>'2023 Bean Description'!I17</f>
        <v>1</v>
      </c>
      <c r="J22" s="43"/>
      <c r="K22" s="43">
        <f>'2023 Bean Description'!I18</f>
        <v>0</v>
      </c>
      <c r="L22" s="43">
        <f>'2023 Bean Description'!I19</f>
        <v>0</v>
      </c>
      <c r="M22" s="43"/>
      <c r="N22" s="48">
        <f>'2023 Bean Description'!I20</f>
        <v>0</v>
      </c>
      <c r="O22" s="48">
        <f>'2023 Bean Description'!I21</f>
        <v>4</v>
      </c>
    </row>
    <row r="23">
      <c r="A23" s="44" t="s">
        <v>177</v>
      </c>
      <c r="B23" s="43">
        <f>'2023 Bean Description'!J12</f>
        <v>2</v>
      </c>
      <c r="C23" s="50">
        <f>'2023 Bean Description'!J13</f>
        <v>2</v>
      </c>
      <c r="D23" s="43"/>
      <c r="E23" s="43">
        <f>'2023 Bean Description'!J14</f>
        <v>1</v>
      </c>
      <c r="F23" s="43">
        <f>'2023 Bean Description'!J15</f>
        <v>2</v>
      </c>
      <c r="G23" s="43"/>
      <c r="H23" s="43">
        <f>'2023 Bean Description'!J16</f>
        <v>1</v>
      </c>
      <c r="I23" s="50">
        <f>'2023 Bean Description'!J17</f>
        <v>1</v>
      </c>
      <c r="J23" s="43"/>
      <c r="K23" s="43">
        <f>'2023 Bean Description'!J18</f>
        <v>0</v>
      </c>
      <c r="L23" s="49">
        <f>'2023 Bean Description'!J19</f>
        <v>2</v>
      </c>
      <c r="M23" s="43"/>
      <c r="N23" s="43">
        <f>'2023 Bean Description'!J20</f>
        <v>3</v>
      </c>
      <c r="O23" s="50">
        <f>'2023 Bean Description'!J21</f>
        <v>2</v>
      </c>
    </row>
    <row r="24">
      <c r="A24" s="44" t="s">
        <v>178</v>
      </c>
      <c r="B24" s="43">
        <f>'2023 Bean Description'!K12</f>
        <v>0</v>
      </c>
      <c r="C24" s="50">
        <f>'2023 Bean Description'!K13</f>
        <v>1</v>
      </c>
      <c r="D24" s="43"/>
      <c r="E24" s="43">
        <f>'2023 Bean Description'!K14</f>
        <v>2</v>
      </c>
      <c r="F24" s="43">
        <f>'2023 Bean Description'!K15</f>
        <v>1</v>
      </c>
      <c r="G24" s="43"/>
      <c r="H24" s="43">
        <f>'2023 Bean Description'!K16</f>
        <v>2</v>
      </c>
      <c r="I24" s="50">
        <f>'2023 Bean Description'!K17</f>
        <v>2</v>
      </c>
      <c r="J24" s="43"/>
      <c r="K24" s="43">
        <f>'2023 Bean Description'!K18</f>
        <v>1</v>
      </c>
      <c r="L24" s="49">
        <f>'2023 Bean Description'!K19</f>
        <v>0</v>
      </c>
      <c r="M24" s="43"/>
      <c r="N24" s="43">
        <f>'2023 Bean Description'!K20</f>
        <v>2</v>
      </c>
      <c r="O24" s="50">
        <f>'2023 Bean Description'!K21</f>
        <v>1</v>
      </c>
    </row>
    <row r="25">
      <c r="A25" s="44" t="s">
        <v>179</v>
      </c>
      <c r="B25" s="43">
        <f>'2023 Bean Description'!L12</f>
        <v>1</v>
      </c>
      <c r="C25" s="50">
        <f>'2023 Bean Description'!L13</f>
        <v>6</v>
      </c>
      <c r="D25" s="43"/>
      <c r="E25" s="43">
        <f>'2023 Bean Description'!L14</f>
        <v>4</v>
      </c>
      <c r="F25" s="43">
        <f>'2023 Bean Description'!L15</f>
        <v>9</v>
      </c>
      <c r="G25" s="43"/>
      <c r="H25" s="43">
        <f>'2023 Bean Description'!L16</f>
        <v>1</v>
      </c>
      <c r="I25" s="50">
        <f>'2023 Bean Description'!L17</f>
        <v>4</v>
      </c>
      <c r="J25" s="43"/>
      <c r="K25" s="43">
        <f>'2023 Bean Description'!L18</f>
        <v>0</v>
      </c>
      <c r="L25" s="49">
        <f>'2023 Bean Description'!L19</f>
        <v>1</v>
      </c>
      <c r="M25" s="43"/>
      <c r="N25" s="43">
        <f>'2023 Bean Description'!L20</f>
        <v>1</v>
      </c>
      <c r="O25" s="50">
        <f>'2023 Bean Description'!L21</f>
        <v>1</v>
      </c>
    </row>
    <row r="26">
      <c r="A26" s="44" t="s">
        <v>180</v>
      </c>
      <c r="B26" s="43">
        <f>'2023 Bean Description'!M12</f>
        <v>2</v>
      </c>
      <c r="C26" s="50">
        <f>'2023 Bean Description'!M13</f>
        <v>2</v>
      </c>
      <c r="D26" s="43"/>
      <c r="E26" s="43">
        <f>'2023 Bean Description'!M14</f>
        <v>2</v>
      </c>
      <c r="F26" s="43">
        <f>'2023 Bean Description'!M15</f>
        <v>1</v>
      </c>
      <c r="G26" s="43"/>
      <c r="H26" s="43">
        <f>'2023 Bean Description'!M16</f>
        <v>0</v>
      </c>
      <c r="I26" s="50">
        <f>'2023 Bean Description'!M17</f>
        <v>4</v>
      </c>
      <c r="J26" s="43"/>
      <c r="K26" s="43">
        <f>'2023 Bean Description'!M18</f>
        <v>0</v>
      </c>
      <c r="L26" s="49">
        <f>'2023 Bean Description'!M19</f>
        <v>2</v>
      </c>
      <c r="M26" s="43"/>
      <c r="N26" s="43">
        <f>'2023 Bean Description'!M20</f>
        <v>0</v>
      </c>
      <c r="O26" s="50">
        <f>'2023 Bean Description'!M21</f>
        <v>3</v>
      </c>
    </row>
    <row r="27">
      <c r="A27" s="44" t="s">
        <v>181</v>
      </c>
      <c r="B27" s="43">
        <f>'2023 Bean Description'!N12</f>
        <v>0</v>
      </c>
      <c r="C27" s="50">
        <f>'2023 Bean Description'!N13</f>
        <v>7</v>
      </c>
      <c r="D27" s="43"/>
      <c r="E27" s="43">
        <f>'2023 Bean Description'!N14</f>
        <v>4</v>
      </c>
      <c r="F27" s="43">
        <f>'2023 Bean Description'!N15</f>
        <v>0</v>
      </c>
      <c r="G27" s="43"/>
      <c r="H27" s="43">
        <f>'2023 Bean Description'!N16</f>
        <v>3</v>
      </c>
      <c r="I27" s="50">
        <f>'2023 Bean Description'!N17</f>
        <v>2</v>
      </c>
      <c r="J27" s="43"/>
      <c r="K27" s="43">
        <f>'2023 Bean Description'!N18</f>
        <v>0</v>
      </c>
      <c r="L27" s="49">
        <f>'2023 Bean Description'!N19</f>
        <v>8</v>
      </c>
      <c r="M27" s="43"/>
      <c r="N27" s="43">
        <f>'2023 Bean Description'!N20</f>
        <v>0</v>
      </c>
      <c r="O27" s="50">
        <f>'2023 Bean Description'!N21</f>
        <v>4</v>
      </c>
    </row>
    <row r="28">
      <c r="A28" s="44" t="s">
        <v>182</v>
      </c>
      <c r="B28" s="43">
        <f>'2023 Bean Description'!O12</f>
        <v>0</v>
      </c>
      <c r="C28" s="50">
        <f>'2023 Bean Description'!O13</f>
        <v>3</v>
      </c>
      <c r="D28" s="43"/>
      <c r="E28" s="43">
        <f>'2023 Bean Description'!O14</f>
        <v>4</v>
      </c>
      <c r="F28" s="43">
        <f>'2023 Bean Description'!O15</f>
        <v>3</v>
      </c>
      <c r="G28" s="43"/>
      <c r="H28" s="43">
        <f>'2023 Bean Description'!O16</f>
        <v>1</v>
      </c>
      <c r="I28" s="50">
        <f>'2023 Bean Description'!O17</f>
        <v>1</v>
      </c>
      <c r="J28" s="43"/>
      <c r="K28" s="43">
        <f>'2023 Bean Description'!O18</f>
        <v>1</v>
      </c>
      <c r="L28" s="49">
        <f>'2023 Bean Description'!O19</f>
        <v>3</v>
      </c>
      <c r="M28" s="43"/>
      <c r="N28" s="43">
        <f>'2023 Bean Description'!O20</f>
        <v>3</v>
      </c>
      <c r="O28" s="50">
        <f>'2023 Bean Description'!O21</f>
        <v>2</v>
      </c>
    </row>
    <row r="29">
      <c r="A29" s="44" t="s">
        <v>183</v>
      </c>
      <c r="B29" s="43">
        <f>'2023 Bean Description'!P12</f>
        <v>3</v>
      </c>
      <c r="C29" s="50">
        <f>'2023 Bean Description'!P13</f>
        <v>5</v>
      </c>
      <c r="D29" s="43"/>
      <c r="E29" s="43">
        <f>'2023 Bean Description'!P14</f>
        <v>7</v>
      </c>
      <c r="F29" s="43">
        <f>'2023 Bean Description'!P15</f>
        <v>3</v>
      </c>
      <c r="G29" s="43"/>
      <c r="H29" s="43">
        <f>'2023 Bean Description'!P16</f>
        <v>2</v>
      </c>
      <c r="I29" s="50">
        <f>'2023 Bean Description'!P17</f>
        <v>4</v>
      </c>
      <c r="J29" s="43"/>
      <c r="K29" s="43">
        <f>'2023 Bean Description'!P18</f>
        <v>2</v>
      </c>
      <c r="L29" s="49">
        <f>'2023 Bean Description'!P19</f>
        <v>3</v>
      </c>
      <c r="M29" s="43"/>
      <c r="N29" s="43">
        <f>'2023 Bean Description'!P20</f>
        <v>2</v>
      </c>
      <c r="O29" s="50">
        <f>'2023 Bean Description'!P21</f>
        <v>1</v>
      </c>
    </row>
    <row r="30">
      <c r="A30" s="44" t="s">
        <v>184</v>
      </c>
      <c r="B30" s="43">
        <f>'2023 Bean Description'!Q12</f>
        <v>2</v>
      </c>
      <c r="C30" s="50">
        <f>'2023 Bean Description'!Q13</f>
        <v>6</v>
      </c>
      <c r="D30" s="43"/>
      <c r="E30" s="43">
        <f>'2023 Bean Description'!Q14</f>
        <v>1</v>
      </c>
      <c r="F30" s="43">
        <f>'2023 Bean Description'!Q15</f>
        <v>7</v>
      </c>
      <c r="G30" s="43"/>
      <c r="H30" s="43">
        <f>'2023 Bean Description'!Q16</f>
        <v>1</v>
      </c>
      <c r="I30" s="50">
        <f>'2023 Bean Description'!Q17</f>
        <v>7</v>
      </c>
      <c r="J30" s="43"/>
      <c r="K30" s="43">
        <f>'2023 Bean Description'!Q18</f>
        <v>3</v>
      </c>
      <c r="L30" s="49">
        <f>'2023 Bean Description'!Q19</f>
        <v>8</v>
      </c>
      <c r="M30" s="43"/>
      <c r="N30" s="43">
        <f>'2023 Bean Description'!Q20</f>
        <v>3</v>
      </c>
      <c r="O30" s="50">
        <f>'2023 Bean Description'!Q21</f>
        <v>2</v>
      </c>
    </row>
    <row r="31">
      <c r="A31" s="44" t="s">
        <v>185</v>
      </c>
      <c r="B31" s="43">
        <f>'2023 Bean Description'!R12</f>
        <v>2</v>
      </c>
      <c r="C31" s="50">
        <f>'2023 Bean Description'!R13</f>
        <v>4</v>
      </c>
      <c r="D31" s="43"/>
      <c r="E31" s="43">
        <f>'2023 Bean Description'!R14</f>
        <v>2</v>
      </c>
      <c r="F31" s="43">
        <f>'2023 Bean Description'!R15</f>
        <v>4</v>
      </c>
      <c r="G31" s="43"/>
      <c r="H31" s="43">
        <f>'2023 Bean Description'!R16</f>
        <v>2</v>
      </c>
      <c r="I31" s="50">
        <f>'2023 Bean Description'!R17</f>
        <v>4</v>
      </c>
      <c r="J31" s="43"/>
      <c r="K31" s="43">
        <f>'2023 Bean Description'!R18</f>
        <v>1</v>
      </c>
      <c r="L31" s="49">
        <f>'2023 Bean Description'!R19</f>
        <v>3</v>
      </c>
      <c r="M31" s="43"/>
      <c r="N31" s="43">
        <f>'2023 Bean Description'!R20</f>
        <v>3</v>
      </c>
      <c r="O31" s="50">
        <f>'2023 Bean Description'!R21</f>
        <v>2</v>
      </c>
    </row>
    <row r="32">
      <c r="A32" s="43"/>
      <c r="B32" s="43"/>
      <c r="C32" s="50"/>
      <c r="D32" s="43"/>
      <c r="E32" s="43"/>
      <c r="F32" s="43"/>
      <c r="G32" s="52"/>
      <c r="H32" s="52"/>
      <c r="I32" s="42"/>
      <c r="J32" s="52"/>
      <c r="K32" s="52"/>
      <c r="L32" s="52"/>
      <c r="M32" s="52"/>
      <c r="N32" s="52"/>
      <c r="O32" s="42"/>
    </row>
    <row r="33">
      <c r="A33" s="43"/>
      <c r="B33" s="44" t="str">
        <f>'2023 Bean Description'!C22</f>
        <v>2nd-5th</v>
      </c>
      <c r="C33" s="46"/>
      <c r="D33" s="46"/>
      <c r="E33" s="44" t="str">
        <f>'2023 Bean Description'!C24</f>
        <v>4th-5th</v>
      </c>
      <c r="F33" s="43"/>
      <c r="G33" s="52"/>
      <c r="H33" s="52"/>
      <c r="I33" s="52"/>
      <c r="J33" s="52"/>
      <c r="L33" s="52"/>
      <c r="M33" s="52"/>
      <c r="N33" s="52"/>
      <c r="O33" s="52"/>
    </row>
    <row r="34">
      <c r="A34" s="46"/>
      <c r="B34" s="47" t="s">
        <v>118</v>
      </c>
      <c r="C34" s="47" t="s">
        <v>122</v>
      </c>
      <c r="D34" s="46"/>
      <c r="E34" s="47" t="s">
        <v>124</v>
      </c>
      <c r="F34" s="47" t="s">
        <v>127</v>
      </c>
      <c r="G34" s="53"/>
      <c r="H34" s="101" t="s">
        <v>349</v>
      </c>
      <c r="I34" s="101" t="s">
        <v>350</v>
      </c>
      <c r="J34" s="53"/>
      <c r="L34" s="102"/>
      <c r="M34" s="53"/>
      <c r="N34" s="102"/>
      <c r="O34" s="102"/>
    </row>
    <row r="35">
      <c r="A35" s="44" t="s">
        <v>174</v>
      </c>
      <c r="B35" s="54">
        <f>'2023 Bean Description'!G22</f>
        <v>0</v>
      </c>
      <c r="C35" s="54">
        <f>'2023 Bean Description'!G23</f>
        <v>0</v>
      </c>
      <c r="D35" s="43"/>
      <c r="E35" s="54">
        <f>'2023 Bean Description'!G24</f>
        <v>0</v>
      </c>
      <c r="F35" s="54">
        <f>'2023 Bean Description'!G25</f>
        <v>0</v>
      </c>
      <c r="G35" s="53"/>
      <c r="H35" s="54">
        <f>'2023 Bean Description'!G31</f>
        <v>0</v>
      </c>
      <c r="I35" s="54">
        <f>'2023 Bean Description'!G32</f>
        <v>0</v>
      </c>
      <c r="J35" s="53"/>
      <c r="L35" s="102"/>
      <c r="M35" s="53"/>
      <c r="N35" s="102"/>
      <c r="O35" s="102"/>
    </row>
    <row r="36">
      <c r="A36" s="44" t="s">
        <v>175</v>
      </c>
      <c r="B36" s="49">
        <f>'2023 Bean Description'!H22</f>
        <v>0</v>
      </c>
      <c r="C36" s="43">
        <f>'2023 Bean Description'!H23</f>
        <v>0</v>
      </c>
      <c r="D36" s="43"/>
      <c r="E36" s="43">
        <f>'2023 Bean Description'!H24</f>
        <v>0</v>
      </c>
      <c r="F36" s="43">
        <f>'2023 Bean Description'!H25</f>
        <v>0</v>
      </c>
      <c r="G36" s="52"/>
      <c r="H36" s="43">
        <f>'2023 Bean Description'!H31</f>
        <v>0</v>
      </c>
      <c r="I36" s="43">
        <f>'2023 Bean Description'!H32</f>
        <v>0</v>
      </c>
      <c r="J36" s="52"/>
      <c r="L36" s="52"/>
      <c r="M36" s="52"/>
      <c r="N36" s="52"/>
      <c r="O36" s="52"/>
    </row>
    <row r="37">
      <c r="A37" s="44" t="s">
        <v>176</v>
      </c>
      <c r="B37" s="48">
        <f>'2023 Bean Description'!I22</f>
        <v>1</v>
      </c>
      <c r="C37" s="48">
        <f>'2023 Bean Description'!I23</f>
        <v>7</v>
      </c>
      <c r="D37" s="43"/>
      <c r="E37" s="48">
        <f>'2023 Bean Description'!I24</f>
        <v>3</v>
      </c>
      <c r="F37" s="48">
        <f>'2023 Bean Description'!I25</f>
        <v>1</v>
      </c>
      <c r="G37" s="52"/>
      <c r="H37" s="48">
        <f>'2023 Bean Description'!I31</f>
        <v>0</v>
      </c>
      <c r="I37" s="48">
        <f>'2023 Bean Description'!I32</f>
        <v>0</v>
      </c>
      <c r="J37" s="52"/>
      <c r="L37" s="52"/>
      <c r="M37" s="52"/>
      <c r="N37" s="52"/>
      <c r="O37" s="52"/>
    </row>
    <row r="38">
      <c r="A38" s="44" t="s">
        <v>177</v>
      </c>
      <c r="B38" s="43">
        <f>'2023 Bean Description'!J22</f>
        <v>0</v>
      </c>
      <c r="C38" s="50">
        <f>'2023 Bean Description'!J23</f>
        <v>9</v>
      </c>
      <c r="D38" s="43"/>
      <c r="E38" s="50">
        <f>'2023 Bean Description'!J24</f>
        <v>3</v>
      </c>
      <c r="F38" s="43">
        <f>'2023 Bean Description'!J25</f>
        <v>2</v>
      </c>
      <c r="G38" s="52"/>
      <c r="H38" s="49">
        <f>'2023 Bean Description'!J31</f>
        <v>1</v>
      </c>
      <c r="I38" s="49">
        <f>'2023 Bean Description'!J32</f>
        <v>1</v>
      </c>
      <c r="J38" s="52"/>
      <c r="L38" s="52"/>
      <c r="M38" s="52"/>
      <c r="N38" s="52"/>
      <c r="O38" s="52"/>
    </row>
    <row r="39">
      <c r="A39" s="44" t="s">
        <v>178</v>
      </c>
      <c r="B39" s="57">
        <f>'2023 Bean Description'!K22</f>
        <v>0</v>
      </c>
      <c r="C39" s="57">
        <f>'2023 Bean Description'!K23</f>
        <v>0</v>
      </c>
      <c r="D39" s="57"/>
      <c r="E39" s="57">
        <f>'2023 Bean Description'!K24</f>
        <v>0</v>
      </c>
      <c r="F39" s="58">
        <f>'2023 Bean Description'!K25</f>
        <v>0</v>
      </c>
      <c r="G39" s="57"/>
      <c r="H39" s="49">
        <f>'2023 Bean Description'!K31</f>
        <v>0</v>
      </c>
      <c r="I39" s="57">
        <f>'2023 Bean Description'!K32</f>
        <v>0</v>
      </c>
      <c r="J39" s="52"/>
      <c r="L39" s="52"/>
      <c r="M39" s="52"/>
      <c r="N39" s="52"/>
      <c r="O39" s="52"/>
    </row>
    <row r="40">
      <c r="A40" s="44" t="s">
        <v>179</v>
      </c>
      <c r="B40" s="57">
        <f>'2023 Bean Description'!L22</f>
        <v>0</v>
      </c>
      <c r="C40" s="57">
        <f>'2023 Bean Description'!L23</f>
        <v>0</v>
      </c>
      <c r="D40" s="57"/>
      <c r="E40" s="57">
        <f>'2023 Bean Description'!L24</f>
        <v>0</v>
      </c>
      <c r="F40" s="58">
        <f>'2023 Bean Description'!L25</f>
        <v>0</v>
      </c>
      <c r="G40" s="57"/>
      <c r="H40" s="49">
        <f>'2023 Bean Description'!L31</f>
        <v>0</v>
      </c>
      <c r="I40" s="59">
        <f>'2023 Bean Description'!L32</f>
        <v>0</v>
      </c>
      <c r="J40" s="52"/>
      <c r="L40" s="52"/>
      <c r="M40" s="52"/>
      <c r="N40" s="52"/>
      <c r="O40" s="52"/>
    </row>
    <row r="41">
      <c r="A41" s="44" t="s">
        <v>180</v>
      </c>
      <c r="B41" s="57">
        <f>'2023 Bean Description'!M22</f>
        <v>0</v>
      </c>
      <c r="C41" s="57">
        <f>'2023 Bean Description'!M23</f>
        <v>0</v>
      </c>
      <c r="D41" s="57"/>
      <c r="E41" s="57">
        <f>'2023 Bean Description'!M24</f>
        <v>0</v>
      </c>
      <c r="F41" s="58">
        <f>'2023 Bean Description'!M25</f>
        <v>0</v>
      </c>
      <c r="G41" s="57"/>
      <c r="H41" s="49">
        <f>'2023 Bean Description'!M31</f>
        <v>0</v>
      </c>
      <c r="I41" s="59">
        <f>'2023 Bean Description'!M32</f>
        <v>0</v>
      </c>
      <c r="J41" s="52"/>
      <c r="L41" s="52"/>
      <c r="M41" s="52"/>
      <c r="N41" s="52"/>
      <c r="O41" s="52"/>
    </row>
    <row r="42">
      <c r="A42" s="44" t="s">
        <v>181</v>
      </c>
      <c r="B42" s="57">
        <f>'2023 Bean Description'!N22</f>
        <v>0</v>
      </c>
      <c r="C42" s="57">
        <f>'2023 Bean Description'!N23</f>
        <v>0</v>
      </c>
      <c r="D42" s="57"/>
      <c r="E42" s="57">
        <f>'2023 Bean Description'!N24</f>
        <v>0</v>
      </c>
      <c r="F42" s="58">
        <f>'2023 Bean Description'!N25</f>
        <v>0</v>
      </c>
      <c r="G42" s="57"/>
      <c r="H42" s="49">
        <f>'2023 Bean Description'!N31</f>
        <v>0</v>
      </c>
      <c r="I42" s="59">
        <f>'2023 Bean Description'!N32</f>
        <v>0</v>
      </c>
      <c r="J42" s="52"/>
      <c r="L42" s="52"/>
      <c r="M42" s="52"/>
      <c r="N42" s="52"/>
      <c r="O42" s="52"/>
    </row>
    <row r="43">
      <c r="A43" s="44" t="s">
        <v>182</v>
      </c>
      <c r="B43" s="57">
        <f>'2023 Bean Description'!O22</f>
        <v>0</v>
      </c>
      <c r="C43" s="57">
        <f>'2023 Bean Description'!O23</f>
        <v>0</v>
      </c>
      <c r="D43" s="57"/>
      <c r="E43" s="57">
        <f>'2023 Bean Description'!O24</f>
        <v>0</v>
      </c>
      <c r="F43" s="58">
        <f>'2023 Bean Description'!O25</f>
        <v>0</v>
      </c>
      <c r="G43" s="57"/>
      <c r="H43" s="49">
        <f>'2023 Bean Description'!O31</f>
        <v>1</v>
      </c>
      <c r="I43" s="59">
        <f>'2023 Bean Description'!O32</f>
        <v>0</v>
      </c>
      <c r="J43" s="52"/>
      <c r="L43" s="52"/>
      <c r="M43" s="52"/>
      <c r="N43" s="52"/>
      <c r="O43" s="52"/>
    </row>
    <row r="44">
      <c r="A44" s="60" t="s">
        <v>183</v>
      </c>
      <c r="B44" s="61">
        <f>'2023 Bean Description'!P22</f>
        <v>0</v>
      </c>
      <c r="C44" s="61">
        <f>'2023 Bean Description'!P23</f>
        <v>0</v>
      </c>
      <c r="D44" s="62"/>
      <c r="E44" s="61">
        <f>'2023 Bean Description'!P24</f>
        <v>0</v>
      </c>
      <c r="F44" s="61">
        <f>'2023 Bean Description'!P25</f>
        <v>0</v>
      </c>
      <c r="G44" s="62"/>
      <c r="H44" s="61">
        <f>'2023 Bean Description'!P31</f>
        <v>1</v>
      </c>
      <c r="I44" s="61">
        <f>'2023 Bean Description'!P32</f>
        <v>0</v>
      </c>
      <c r="J44" s="62"/>
      <c r="K44" s="62"/>
      <c r="L44" s="62"/>
      <c r="M44" s="62"/>
      <c r="N44" s="103"/>
      <c r="O44" s="104"/>
      <c r="P44" s="63"/>
      <c r="Q44" s="64"/>
      <c r="R44" s="63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</row>
    <row r="45">
      <c r="A45" s="60" t="s">
        <v>184</v>
      </c>
      <c r="B45" s="61">
        <f>'2023 Bean Description'!Q22</f>
        <v>0</v>
      </c>
      <c r="C45" s="61">
        <f>'2023 Bean Description'!Q23</f>
        <v>0</v>
      </c>
      <c r="D45" s="62"/>
      <c r="E45" s="61">
        <f>'2023 Bean Description'!Q24</f>
        <v>0</v>
      </c>
      <c r="F45" s="61">
        <f>'2023 Bean Description'!Q25</f>
        <v>0</v>
      </c>
      <c r="G45" s="62"/>
      <c r="H45" s="61">
        <f>'2023 Bean Description'!Q31</f>
        <v>0</v>
      </c>
      <c r="I45" s="61">
        <f>'2023 Bean Description'!Q32</f>
        <v>0</v>
      </c>
      <c r="J45" s="62"/>
      <c r="K45" s="62"/>
      <c r="L45" s="62"/>
      <c r="M45" s="62"/>
      <c r="N45" s="103"/>
      <c r="O45" s="104"/>
      <c r="P45" s="63"/>
      <c r="Q45" s="64"/>
      <c r="R45" s="63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</row>
    <row r="46">
      <c r="A46" s="60" t="s">
        <v>185</v>
      </c>
      <c r="B46" s="61">
        <f>'2023 Bean Description'!R22</f>
        <v>0</v>
      </c>
      <c r="C46" s="61">
        <f>'2023 Bean Description'!R23</f>
        <v>0</v>
      </c>
      <c r="D46" s="62"/>
      <c r="E46" s="61">
        <f>'2023 Bean Description'!R24</f>
        <v>0</v>
      </c>
      <c r="F46" s="61">
        <f>'2023 Bean Description'!R25</f>
        <v>0</v>
      </c>
      <c r="G46" s="62"/>
      <c r="H46" s="61">
        <f>'2023 Bean Description'!R31</f>
        <v>0</v>
      </c>
      <c r="I46" s="61">
        <f>'2023 Bean Description'!R32</f>
        <v>0</v>
      </c>
      <c r="J46" s="62"/>
      <c r="K46" s="62"/>
      <c r="L46" s="62"/>
      <c r="M46" s="62"/>
      <c r="N46" s="103"/>
      <c r="O46" s="104"/>
      <c r="P46" s="63"/>
      <c r="Q46" s="64"/>
      <c r="R46" s="63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</row>
    <row r="47">
      <c r="G47" s="52"/>
      <c r="I47" s="52"/>
      <c r="J47" s="52"/>
      <c r="L47" s="52"/>
      <c r="M47" s="52"/>
      <c r="N47" s="52"/>
      <c r="O47" s="52"/>
    </row>
    <row r="48">
      <c r="A48" s="43"/>
      <c r="B48" s="47" t="s">
        <v>137</v>
      </c>
      <c r="C48" s="47" t="s">
        <v>139</v>
      </c>
      <c r="D48" s="47" t="s">
        <v>140</v>
      </c>
      <c r="E48" s="47" t="s">
        <v>141</v>
      </c>
      <c r="F48" s="47" t="s">
        <v>145</v>
      </c>
      <c r="G48" s="52"/>
      <c r="I48" s="52"/>
      <c r="J48" s="52"/>
      <c r="L48" s="52"/>
      <c r="M48" s="52"/>
      <c r="N48" s="52"/>
      <c r="O48" s="52"/>
    </row>
    <row r="49">
      <c r="A49" s="44" t="s">
        <v>174</v>
      </c>
      <c r="B49" s="43">
        <f>'2023 Bean Description'!G2</f>
        <v>0</v>
      </c>
      <c r="C49" s="43">
        <f>'2023 Bean Description'!G27</f>
        <v>0</v>
      </c>
      <c r="D49" s="43">
        <f>'2023 Bean Description'!G28</f>
        <v>0</v>
      </c>
      <c r="E49" s="43">
        <f>'2023 Bean Description'!G29</f>
        <v>0</v>
      </c>
      <c r="F49" s="48">
        <f>'2023 Bean Description'!G30</f>
        <v>1</v>
      </c>
      <c r="G49" s="52"/>
      <c r="I49" s="65" t="s">
        <v>209</v>
      </c>
      <c r="J49" s="65" t="s">
        <v>210</v>
      </c>
      <c r="L49" s="52"/>
      <c r="M49" s="52"/>
      <c r="N49" s="52"/>
      <c r="O49" s="52"/>
    </row>
    <row r="50">
      <c r="A50" s="44" t="s">
        <v>175</v>
      </c>
      <c r="B50" s="43">
        <f>'2023 Bean Description'!H26</f>
        <v>0</v>
      </c>
      <c r="C50" s="43">
        <f>'2023 Bean Description'!H27</f>
        <v>0</v>
      </c>
      <c r="D50" s="43">
        <f>'2023 Bean Description'!H28</f>
        <v>0</v>
      </c>
      <c r="E50" s="43">
        <f>'2023 Bean Description'!H29</f>
        <v>0</v>
      </c>
      <c r="F50" s="43">
        <f>'2023 Bean Description'!H30</f>
        <v>0</v>
      </c>
      <c r="G50" s="52"/>
      <c r="I50" s="62"/>
      <c r="J50" s="66" t="s">
        <v>211</v>
      </c>
    </row>
    <row r="51">
      <c r="A51" s="44" t="s">
        <v>176</v>
      </c>
      <c r="B51" s="43">
        <f>'2023 Bean Description'!I26</f>
        <v>0</v>
      </c>
      <c r="C51" s="43">
        <f>'2023 Bean Description'!I27</f>
        <v>0</v>
      </c>
      <c r="D51" s="43">
        <f>'2023 Bean Description'!I28</f>
        <v>0</v>
      </c>
      <c r="E51" s="43">
        <f>'2023 Bean Description'!I29</f>
        <v>0</v>
      </c>
      <c r="F51" s="48">
        <f>'2023 Bean Description'!I30</f>
        <v>1</v>
      </c>
    </row>
    <row r="52">
      <c r="A52" s="44" t="s">
        <v>177</v>
      </c>
      <c r="B52" s="49">
        <f>'2023 Bean Description'!J26</f>
        <v>1</v>
      </c>
      <c r="C52" s="49">
        <f>'2023 Bean Description'!J27</f>
        <v>2</v>
      </c>
      <c r="D52" s="49">
        <f>'2023 Bean Description'!J28</f>
        <v>2</v>
      </c>
      <c r="E52" s="49">
        <f>'2023 Bean Description'!J29</f>
        <v>6</v>
      </c>
      <c r="F52" s="49">
        <f>'2023 Bean Description'!J30</f>
        <v>8</v>
      </c>
    </row>
    <row r="53">
      <c r="A53" s="44" t="s">
        <v>178</v>
      </c>
      <c r="B53" s="49">
        <f>'2023 Bean Description'!K26</f>
        <v>0</v>
      </c>
      <c r="C53" s="49">
        <f>'2023 Bean Description'!K27</f>
        <v>0</v>
      </c>
      <c r="D53" s="49">
        <f>'2023 Bean Description'!K28</f>
        <v>0</v>
      </c>
      <c r="E53" s="49">
        <f>'2023 Bean Description'!K29</f>
        <v>0</v>
      </c>
      <c r="F53" s="49">
        <f>'2023 Bean Description'!K30</f>
        <v>0</v>
      </c>
    </row>
    <row r="54">
      <c r="A54" s="44" t="s">
        <v>179</v>
      </c>
      <c r="B54" s="49">
        <f>'2023 Bean Description'!L26</f>
        <v>0</v>
      </c>
      <c r="C54" s="49">
        <f>'2023 Bean Description'!L27</f>
        <v>0</v>
      </c>
      <c r="D54" s="49">
        <f>'2023 Bean Description'!L28</f>
        <v>0</v>
      </c>
      <c r="E54" s="49">
        <f>'2023 Bean Description'!L29</f>
        <v>0</v>
      </c>
      <c r="F54" s="49">
        <f>'2023 Bean Description'!L30</f>
        <v>0</v>
      </c>
    </row>
    <row r="55">
      <c r="A55" s="44" t="s">
        <v>180</v>
      </c>
      <c r="B55" s="49">
        <f>'2023 Bean Description'!M26</f>
        <v>0</v>
      </c>
      <c r="C55" s="49">
        <f>'2023 Bean Description'!M27</f>
        <v>0</v>
      </c>
      <c r="D55" s="49">
        <f>'2023 Bean Description'!M28</f>
        <v>0</v>
      </c>
      <c r="E55" s="49">
        <f>'2023 Bean Description'!M29</f>
        <v>4</v>
      </c>
      <c r="F55" s="49">
        <f>'2023 Bean Description'!M30</f>
        <v>0</v>
      </c>
    </row>
    <row r="56">
      <c r="A56" s="44" t="s">
        <v>181</v>
      </c>
      <c r="B56" s="49">
        <f>'2023 Bean Description'!N26</f>
        <v>0</v>
      </c>
      <c r="C56" s="49">
        <f>'2023 Bean Description'!N27</f>
        <v>0</v>
      </c>
      <c r="D56" s="49">
        <f>'2023 Bean Description'!N28</f>
        <v>0</v>
      </c>
      <c r="E56" s="49">
        <f>'2023 Bean Description'!N29</f>
        <v>0</v>
      </c>
      <c r="F56" s="49">
        <f>'2023 Bean Description'!N30</f>
        <v>0</v>
      </c>
    </row>
    <row r="57">
      <c r="A57" s="44" t="s">
        <v>182</v>
      </c>
      <c r="B57" s="49">
        <f>'2023 Bean Description'!O26</f>
        <v>0</v>
      </c>
      <c r="C57" s="49">
        <f>'2023 Bean Description'!O27</f>
        <v>0</v>
      </c>
      <c r="D57" s="49">
        <f>'2023 Bean Description'!O28</f>
        <v>0</v>
      </c>
      <c r="E57" s="49">
        <f>'2023 Bean Description'!O29</f>
        <v>0</v>
      </c>
      <c r="F57" s="49">
        <f>'2023 Bean Description'!O30</f>
        <v>0</v>
      </c>
    </row>
    <row r="58">
      <c r="A58" s="44" t="s">
        <v>183</v>
      </c>
      <c r="B58" s="49">
        <f>'2023 Bean Description'!P26</f>
        <v>0</v>
      </c>
      <c r="C58" s="49">
        <f>'2023 Bean Description'!P27</f>
        <v>0</v>
      </c>
      <c r="D58" s="49">
        <f>'2023 Bean Description'!P28</f>
        <v>0</v>
      </c>
      <c r="E58" s="49">
        <f>'2023 Bean Description'!P29</f>
        <v>0</v>
      </c>
      <c r="F58" s="49">
        <f>'2023 Bean Description'!P30</f>
        <v>0</v>
      </c>
    </row>
    <row r="59">
      <c r="A59" s="44" t="s">
        <v>184</v>
      </c>
      <c r="B59" s="49">
        <f>'2023 Bean Description'!Q26</f>
        <v>0</v>
      </c>
      <c r="C59" s="49">
        <f>'2023 Bean Description'!Q27</f>
        <v>0</v>
      </c>
      <c r="D59" s="49">
        <f>'2023 Bean Description'!Q28</f>
        <v>0</v>
      </c>
      <c r="E59" s="49">
        <f>'2023 Bean Description'!Q29</f>
        <v>0</v>
      </c>
      <c r="F59" s="49">
        <f>'2023 Bean Description'!Q30</f>
        <v>0</v>
      </c>
    </row>
    <row r="60">
      <c r="A60" s="44" t="s">
        <v>185</v>
      </c>
      <c r="B60" s="49">
        <f>'2023 Bean Description'!R2</f>
        <v>0</v>
      </c>
      <c r="C60" s="49">
        <f>'2023 Bean Description'!R27</f>
        <v>0</v>
      </c>
      <c r="D60" s="49">
        <f>'2023 Bean Description'!R28</f>
        <v>0</v>
      </c>
      <c r="E60" s="49">
        <f>'2023 Bean Description'!R29</f>
        <v>0</v>
      </c>
      <c r="F60" s="49">
        <f>'2023 Bean Description'!R30</f>
        <v>0</v>
      </c>
    </row>
    <row r="63">
      <c r="A63" s="67"/>
      <c r="B63" s="68" t="s">
        <v>16</v>
      </c>
      <c r="C63" s="68" t="s">
        <v>21</v>
      </c>
      <c r="D63" s="68" t="s">
        <v>27</v>
      </c>
      <c r="E63" s="69" t="s">
        <v>25</v>
      </c>
    </row>
    <row r="64">
      <c r="A64" s="68" t="s">
        <v>174</v>
      </c>
      <c r="B64" s="70">
        <f t="shared" ref="B64:B75" si="1">B5+E5+H5+K5+N5+B20+E20+H20+K20+N20+B35+E35+H35</f>
        <v>11</v>
      </c>
      <c r="C64" s="70">
        <f t="shared" ref="C64:C66" si="2">C5+F5+I5+L5+O5+C20+F20+I20+L20+O20+C35+F35</f>
        <v>31</v>
      </c>
      <c r="D64" s="70">
        <f t="shared" ref="D64:D75" si="3">SUM(B49:F49)</f>
        <v>1</v>
      </c>
      <c r="E64" s="71">
        <f t="shared" ref="E64:E75" si="4">SUM(B64:D64)</f>
        <v>43</v>
      </c>
      <c r="F64" s="72">
        <f t="shared" ref="F64:F75" si="5">E64/((31/7)*5)</f>
        <v>1.941935484</v>
      </c>
      <c r="G64" s="5" t="s">
        <v>213</v>
      </c>
      <c r="I64" s="15" t="str">
        <f t="shared" ref="I64:I66" si="6">CONCATENATE(A64, " BEANS ", "Good: ", B64, " Bad: ", C64, " Spicy: ", D64)</f>
        <v>January BEANS Good: 11 Bad: 31 Spicy: 1</v>
      </c>
    </row>
    <row r="65">
      <c r="A65" s="68" t="s">
        <v>175</v>
      </c>
      <c r="B65" s="70">
        <f t="shared" si="1"/>
        <v>0</v>
      </c>
      <c r="C65" s="70">
        <f t="shared" si="2"/>
        <v>0</v>
      </c>
      <c r="D65" s="70">
        <f t="shared" si="3"/>
        <v>0</v>
      </c>
      <c r="E65" s="71">
        <f t="shared" si="4"/>
        <v>0</v>
      </c>
      <c r="F65" s="72">
        <f t="shared" si="5"/>
        <v>0</v>
      </c>
      <c r="G65" s="5" t="s">
        <v>213</v>
      </c>
      <c r="I65" s="15" t="str">
        <f t="shared" si="6"/>
        <v>February BEANS Good: 0 Bad: 0 Spicy: 0</v>
      </c>
      <c r="M65" s="5" t="s">
        <v>371</v>
      </c>
    </row>
    <row r="66">
      <c r="A66" s="68" t="s">
        <v>176</v>
      </c>
      <c r="B66" s="70">
        <f t="shared" si="1"/>
        <v>11</v>
      </c>
      <c r="C66" s="70">
        <f t="shared" si="2"/>
        <v>45</v>
      </c>
      <c r="D66" s="70">
        <f t="shared" si="3"/>
        <v>1</v>
      </c>
      <c r="E66" s="71">
        <f t="shared" si="4"/>
        <v>57</v>
      </c>
      <c r="F66" s="72">
        <f t="shared" si="5"/>
        <v>2.574193548</v>
      </c>
      <c r="G66" s="5" t="s">
        <v>213</v>
      </c>
      <c r="I66" s="15" t="str">
        <f t="shared" si="6"/>
        <v>March BEANS Good: 11 Bad: 45 Spicy: 1</v>
      </c>
    </row>
    <row r="67">
      <c r="A67" s="73" t="s">
        <v>177</v>
      </c>
      <c r="B67" s="70">
        <f t="shared" si="1"/>
        <v>17</v>
      </c>
      <c r="C67" s="70">
        <f t="shared" ref="C67:C75" si="7">C8+F8+I8+L8+O8+C23+F23+I23+L23+O23+C38+F38+I38</f>
        <v>38</v>
      </c>
      <c r="D67" s="70">
        <f t="shared" si="3"/>
        <v>19</v>
      </c>
      <c r="E67" s="71">
        <f t="shared" si="4"/>
        <v>74</v>
      </c>
      <c r="F67" s="72">
        <f t="shared" si="5"/>
        <v>3.341935484</v>
      </c>
      <c r="G67" s="5" t="s">
        <v>213</v>
      </c>
      <c r="I67" s="15" t="str">
        <f>CONCATENATE(A67, " BEANS ", "Good: ", B67, " Bad: ", C67, " Spicy: ", D67, " Pickled Eggs: 1")</f>
        <v>April BEANS Good: 17 Bad: 38 Spicy: 19 Pickled Eggs: 1</v>
      </c>
    </row>
    <row r="68">
      <c r="A68" s="73" t="s">
        <v>178</v>
      </c>
      <c r="B68" s="70">
        <f t="shared" si="1"/>
        <v>10</v>
      </c>
      <c r="C68" s="70">
        <f t="shared" si="7"/>
        <v>28</v>
      </c>
      <c r="D68" s="70">
        <f t="shared" si="3"/>
        <v>0</v>
      </c>
      <c r="E68" s="71">
        <f t="shared" si="4"/>
        <v>38</v>
      </c>
      <c r="F68" s="72">
        <f t="shared" si="5"/>
        <v>1.716129032</v>
      </c>
      <c r="G68" s="5" t="s">
        <v>213</v>
      </c>
      <c r="I68" s="15" t="str">
        <f t="shared" ref="I68:I75" si="8">CONCATENATE(A68, " BEANS ", "Good: ", B68, " Bad: ", C68, " Spicy: ", D68)</f>
        <v>May BEANS Good: 10 Bad: 28 Spicy: 0</v>
      </c>
      <c r="M68" s="5" t="s">
        <v>385</v>
      </c>
    </row>
    <row r="69">
      <c r="A69" s="73" t="s">
        <v>179</v>
      </c>
      <c r="B69" s="70">
        <f t="shared" si="1"/>
        <v>12</v>
      </c>
      <c r="C69" s="70">
        <f t="shared" si="7"/>
        <v>48</v>
      </c>
      <c r="D69" s="70">
        <f t="shared" si="3"/>
        <v>0</v>
      </c>
      <c r="E69" s="71">
        <f t="shared" si="4"/>
        <v>60</v>
      </c>
      <c r="F69" s="72">
        <f t="shared" si="5"/>
        <v>2.709677419</v>
      </c>
      <c r="G69" s="5" t="s">
        <v>213</v>
      </c>
      <c r="I69" s="15" t="str">
        <f t="shared" si="8"/>
        <v>June BEANS Good: 12 Bad: 48 Spicy: 0</v>
      </c>
    </row>
    <row r="70">
      <c r="A70" s="73" t="s">
        <v>180</v>
      </c>
      <c r="B70" s="70">
        <f t="shared" si="1"/>
        <v>5</v>
      </c>
      <c r="C70" s="70">
        <f t="shared" si="7"/>
        <v>28</v>
      </c>
      <c r="D70" s="70">
        <f t="shared" si="3"/>
        <v>4</v>
      </c>
      <c r="E70" s="71">
        <f t="shared" si="4"/>
        <v>37</v>
      </c>
      <c r="F70" s="72">
        <f t="shared" si="5"/>
        <v>1.670967742</v>
      </c>
      <c r="G70" s="5" t="s">
        <v>213</v>
      </c>
      <c r="I70" s="15" t="str">
        <f t="shared" si="8"/>
        <v>July BEANS Good: 5 Bad: 28 Spicy: 4</v>
      </c>
    </row>
    <row r="71">
      <c r="A71" s="73" t="s">
        <v>181</v>
      </c>
      <c r="B71" s="70">
        <f t="shared" si="1"/>
        <v>13</v>
      </c>
      <c r="C71" s="70">
        <f t="shared" si="7"/>
        <v>32</v>
      </c>
      <c r="D71" s="70">
        <f t="shared" si="3"/>
        <v>0</v>
      </c>
      <c r="E71" s="71">
        <f t="shared" si="4"/>
        <v>45</v>
      </c>
      <c r="F71" s="72">
        <f t="shared" si="5"/>
        <v>2.032258065</v>
      </c>
      <c r="G71" s="5" t="s">
        <v>213</v>
      </c>
      <c r="I71" s="15" t="str">
        <f t="shared" si="8"/>
        <v>August BEANS Good: 13 Bad: 32 Spicy: 0</v>
      </c>
    </row>
    <row r="72">
      <c r="A72" s="73" t="s">
        <v>182</v>
      </c>
      <c r="B72" s="70">
        <f t="shared" si="1"/>
        <v>11</v>
      </c>
      <c r="C72" s="70">
        <f t="shared" si="7"/>
        <v>21</v>
      </c>
      <c r="D72" s="70">
        <f t="shared" si="3"/>
        <v>0</v>
      </c>
      <c r="E72" s="71">
        <f t="shared" si="4"/>
        <v>32</v>
      </c>
      <c r="F72" s="72">
        <f t="shared" si="5"/>
        <v>1.44516129</v>
      </c>
      <c r="G72" s="5" t="s">
        <v>213</v>
      </c>
      <c r="I72" s="15" t="str">
        <f t="shared" si="8"/>
        <v>September BEANS Good: 11 Bad: 21 Spicy: 0</v>
      </c>
    </row>
    <row r="73">
      <c r="A73" s="73" t="s">
        <v>183</v>
      </c>
      <c r="B73" s="70">
        <f t="shared" si="1"/>
        <v>23</v>
      </c>
      <c r="C73" s="70">
        <f t="shared" si="7"/>
        <v>32</v>
      </c>
      <c r="D73" s="70">
        <f t="shared" si="3"/>
        <v>0</v>
      </c>
      <c r="E73" s="71">
        <f t="shared" si="4"/>
        <v>55</v>
      </c>
      <c r="F73" s="72">
        <f t="shared" si="5"/>
        <v>2.483870968</v>
      </c>
      <c r="G73" s="5" t="s">
        <v>213</v>
      </c>
      <c r="I73" s="15" t="str">
        <f t="shared" si="8"/>
        <v>October BEANS Good: 23 Bad: 32 Spicy: 0</v>
      </c>
    </row>
    <row r="74">
      <c r="A74" s="73" t="s">
        <v>184</v>
      </c>
      <c r="B74" s="70">
        <f t="shared" si="1"/>
        <v>21</v>
      </c>
      <c r="C74" s="70">
        <f t="shared" si="7"/>
        <v>53</v>
      </c>
      <c r="D74" s="70">
        <f t="shared" si="3"/>
        <v>0</v>
      </c>
      <c r="E74" s="71">
        <f t="shared" si="4"/>
        <v>74</v>
      </c>
      <c r="F74" s="72">
        <f t="shared" si="5"/>
        <v>3.341935484</v>
      </c>
      <c r="G74" s="5" t="s">
        <v>213</v>
      </c>
      <c r="I74" s="15" t="str">
        <f t="shared" si="8"/>
        <v>November BEANS Good: 21 Bad: 53 Spicy: 0</v>
      </c>
    </row>
    <row r="75">
      <c r="A75" s="73" t="s">
        <v>185</v>
      </c>
      <c r="B75" s="70">
        <f t="shared" si="1"/>
        <v>14</v>
      </c>
      <c r="C75" s="70">
        <f t="shared" si="7"/>
        <v>40</v>
      </c>
      <c r="D75" s="70">
        <f t="shared" si="3"/>
        <v>0</v>
      </c>
      <c r="E75" s="71">
        <f t="shared" si="4"/>
        <v>54</v>
      </c>
      <c r="F75" s="72">
        <f t="shared" si="5"/>
        <v>2.438709677</v>
      </c>
      <c r="G75" s="5" t="s">
        <v>213</v>
      </c>
      <c r="I75" s="15" t="str">
        <f t="shared" si="8"/>
        <v>December BEANS Good: 14 Bad: 40 Spicy: 0</v>
      </c>
    </row>
    <row r="76">
      <c r="A76" s="5" t="s">
        <v>25</v>
      </c>
      <c r="B76" s="74">
        <f t="shared" ref="B76:E76" si="9">SUM(B64:B75)</f>
        <v>148</v>
      </c>
      <c r="C76" s="74">
        <f t="shared" si="9"/>
        <v>396</v>
      </c>
      <c r="D76" s="74">
        <f t="shared" si="9"/>
        <v>25</v>
      </c>
      <c r="E76" s="74">
        <f t="shared" si="9"/>
        <v>569</v>
      </c>
      <c r="F76" s="75">
        <f>(E76 / 365)</f>
        <v>1.55890411</v>
      </c>
      <c r="G76" s="5" t="s">
        <v>221</v>
      </c>
      <c r="I76" s="15" t="str">
        <f>CONCATENATE(A76, " BEANS ", "Good: ", B76, " Bad: ", C76, " Spicy: ", D76, " Pickled Eggs: 1 | Kay Good:0 Bad:1 Spicy:1 | Milton Good:0 Bad:3 Spicy:0")</f>
        <v>Total BEANS Good: 148 Bad: 396 Spicy: 25 Pickled Eggs: 1 | Kay Good:0 Bad:1 Spicy:1 | Milton Good:0 Bad:3 Spicy:0</v>
      </c>
    </row>
    <row r="77">
      <c r="B77" s="25">
        <f>B76/(E76-D76)</f>
        <v>0.2720588235</v>
      </c>
      <c r="C77" s="25">
        <f>C76/(E76-D76)</f>
        <v>0.7279411765</v>
      </c>
      <c r="D77" s="25"/>
      <c r="E77" s="72"/>
      <c r="F77" s="72">
        <f>E76 / (52*5)</f>
        <v>2.188461538</v>
      </c>
      <c r="G77" s="5" t="s">
        <v>213</v>
      </c>
    </row>
    <row r="78">
      <c r="A78" s="7"/>
      <c r="B78" s="6"/>
      <c r="C78" s="6"/>
      <c r="D78" s="6"/>
      <c r="E78" s="5"/>
    </row>
    <row r="79">
      <c r="A79" s="76" t="s">
        <v>390</v>
      </c>
      <c r="B79" s="77">
        <f>ROUNDDOWN((B76/E76)*E79,0)</f>
        <v>202</v>
      </c>
      <c r="C79" s="77">
        <f>ROUNDDOWN((C76/E76)*E79,0)</f>
        <v>540</v>
      </c>
      <c r="D79" s="77">
        <f>ROUNDDOWN((D76/E76)*E79,0)</f>
        <v>34</v>
      </c>
      <c r="E79" s="78">
        <f>ROUNDDOWN((E76 / (DATE(YEAR(TODAY()),MONTH(TODAY()),DAY(TODAY()))-DATE(YEAR(TODAY()),1,0))) * 365,0)</f>
        <v>777</v>
      </c>
      <c r="G79" s="15" t="str">
        <f>CONCATENATE(A79, " BEANS ", "Good: ", B79, " Bad: ", C79, " Spicy: ", D79)</f>
        <v>Estimated 2023 BEANS Good: 202 Bad: 540 Spicy: 34</v>
      </c>
    </row>
    <row r="80">
      <c r="A80" s="7"/>
      <c r="B80" s="6"/>
      <c r="C80" s="6"/>
      <c r="D80" s="6"/>
    </row>
    <row r="81">
      <c r="A81" s="7"/>
      <c r="B81" s="6"/>
      <c r="C81" s="6"/>
      <c r="D81" s="6"/>
    </row>
    <row r="82">
      <c r="A82" s="7"/>
      <c r="B82" s="6"/>
      <c r="C82" s="6"/>
      <c r="D82" s="6"/>
    </row>
    <row r="83">
      <c r="A83" s="6"/>
      <c r="B83" s="6"/>
      <c r="C83" s="6"/>
      <c r="D83" s="10"/>
    </row>
    <row r="84">
      <c r="A84" s="6"/>
      <c r="B84" s="6"/>
      <c r="C84" s="7"/>
      <c r="D84" s="79"/>
    </row>
    <row r="85">
      <c r="A85" s="6"/>
      <c r="B85" s="6"/>
      <c r="C85" s="7"/>
      <c r="D85" s="10"/>
    </row>
    <row r="86">
      <c r="A86" s="6"/>
      <c r="B86" s="6"/>
      <c r="C86" s="7"/>
      <c r="D86" s="10"/>
    </row>
    <row r="87">
      <c r="A87" s="6"/>
      <c r="B87" s="6"/>
      <c r="C87" s="7"/>
      <c r="D87" s="10"/>
    </row>
    <row r="88">
      <c r="A88" s="6"/>
      <c r="B88" s="6"/>
      <c r="C88" s="7"/>
      <c r="D88" s="10"/>
    </row>
    <row r="89">
      <c r="A89" s="6"/>
      <c r="B89" s="6"/>
      <c r="C89" s="7"/>
      <c r="D89" s="10"/>
    </row>
    <row r="90">
      <c r="A90" s="6"/>
      <c r="B90" s="6"/>
      <c r="C90" s="7"/>
      <c r="D90" s="10"/>
    </row>
    <row r="91">
      <c r="A91" s="6"/>
      <c r="B91" s="6"/>
      <c r="C91" s="7"/>
      <c r="D91" s="10"/>
    </row>
    <row r="92">
      <c r="A92" s="6"/>
      <c r="B92" s="6"/>
      <c r="C92" s="7"/>
      <c r="D92" s="10"/>
    </row>
    <row r="93">
      <c r="A93" s="6"/>
      <c r="B93" s="6"/>
      <c r="C93" s="7"/>
      <c r="D93" s="10"/>
    </row>
    <row r="94">
      <c r="A94" s="6"/>
      <c r="B94" s="6"/>
      <c r="C94" s="7"/>
      <c r="D94" s="10"/>
    </row>
    <row r="95">
      <c r="A95" s="6"/>
      <c r="B95" s="6"/>
      <c r="C95" s="7"/>
      <c r="D95" s="10"/>
    </row>
    <row r="96">
      <c r="A96" s="6"/>
      <c r="B96" s="6"/>
      <c r="C96" s="7"/>
      <c r="D96" s="10"/>
    </row>
    <row r="97">
      <c r="A97" s="6"/>
      <c r="B97" s="6"/>
      <c r="C97" s="7"/>
      <c r="D97" s="10"/>
    </row>
    <row r="98">
      <c r="A98" s="6"/>
      <c r="B98" s="6"/>
      <c r="C98" s="7"/>
      <c r="D98" s="10"/>
    </row>
    <row r="99">
      <c r="A99" s="6"/>
      <c r="B99" s="6"/>
      <c r="C99" s="7"/>
      <c r="D99" s="79"/>
    </row>
    <row r="100">
      <c r="A100" s="6"/>
      <c r="B100" s="6"/>
      <c r="C100" s="7"/>
      <c r="D100" s="79"/>
    </row>
    <row r="101">
      <c r="A101" s="6"/>
      <c r="B101" s="6"/>
      <c r="C101" s="7"/>
      <c r="D101" s="10"/>
    </row>
    <row r="102">
      <c r="A102" s="6"/>
      <c r="B102" s="6"/>
      <c r="C102" s="7"/>
      <c r="D102" s="10"/>
    </row>
    <row r="103">
      <c r="A103" s="6"/>
      <c r="B103" s="6"/>
      <c r="C103" s="7"/>
      <c r="D103" s="10"/>
    </row>
    <row r="104">
      <c r="A104" s="6"/>
      <c r="B104" s="6"/>
      <c r="C104" s="7"/>
      <c r="D104" s="79"/>
    </row>
    <row r="105">
      <c r="A105" s="6"/>
      <c r="B105" s="6"/>
      <c r="C105" s="7"/>
      <c r="D105" s="10"/>
    </row>
    <row r="106">
      <c r="A106" s="6"/>
      <c r="B106" s="6"/>
      <c r="C106" s="7"/>
      <c r="D106" s="10"/>
    </row>
    <row r="107">
      <c r="A107" s="6"/>
      <c r="B107" s="6"/>
      <c r="C107" s="7"/>
      <c r="D107" s="10"/>
    </row>
    <row r="108">
      <c r="A108" s="6"/>
      <c r="B108" s="6"/>
      <c r="C108" s="7"/>
      <c r="D108" s="10"/>
    </row>
    <row r="109">
      <c r="A109" s="6"/>
      <c r="B109" s="6"/>
      <c r="C109" s="7"/>
      <c r="D109" s="10"/>
    </row>
    <row r="110">
      <c r="A110" s="6"/>
      <c r="B110" s="6"/>
      <c r="C110" s="7"/>
      <c r="D110" s="10"/>
    </row>
    <row r="111">
      <c r="A111" s="6"/>
      <c r="B111" s="6"/>
      <c r="C111" s="7"/>
      <c r="D111" s="79"/>
    </row>
    <row r="112">
      <c r="A112" s="6"/>
      <c r="B112" s="6"/>
      <c r="C112" s="7"/>
      <c r="D112" s="10"/>
    </row>
    <row r="113">
      <c r="A113" s="6"/>
      <c r="B113" s="6"/>
      <c r="C113" s="7"/>
      <c r="D113" s="10"/>
    </row>
    <row r="114">
      <c r="A114" s="6"/>
      <c r="B114" s="6"/>
      <c r="C114" s="7"/>
      <c r="D114" s="10"/>
    </row>
    <row r="115">
      <c r="A115" s="6"/>
      <c r="B115" s="6"/>
      <c r="C115" s="7"/>
      <c r="D115" s="10"/>
    </row>
    <row r="116">
      <c r="A116" s="6"/>
      <c r="B116" s="6"/>
      <c r="C116" s="7"/>
      <c r="D116" s="10"/>
    </row>
    <row r="117">
      <c r="A117" s="6"/>
      <c r="B117" s="6"/>
      <c r="C117" s="7"/>
      <c r="D117" s="10"/>
    </row>
    <row r="118">
      <c r="A118" s="6"/>
      <c r="B118" s="6"/>
      <c r="C118" s="7"/>
      <c r="D118" s="10"/>
    </row>
    <row r="119">
      <c r="A119" s="6"/>
      <c r="B119" s="6"/>
      <c r="C119" s="7"/>
      <c r="D119" s="10"/>
    </row>
    <row r="120">
      <c r="A120" s="6"/>
      <c r="B120" s="6"/>
      <c r="C120" s="7"/>
      <c r="D120" s="10"/>
    </row>
    <row r="121">
      <c r="A121" s="6"/>
      <c r="B121" s="6"/>
      <c r="C121" s="7"/>
      <c r="D121" s="10"/>
    </row>
    <row r="122">
      <c r="A122" s="6"/>
      <c r="B122" s="6"/>
      <c r="C122" s="7"/>
      <c r="D122" s="10"/>
    </row>
    <row r="123">
      <c r="A123" s="6"/>
      <c r="B123" s="6"/>
      <c r="C123" s="7"/>
      <c r="D123" s="10"/>
    </row>
    <row r="124">
      <c r="A124" s="6"/>
      <c r="B124" s="6"/>
      <c r="C124" s="7"/>
      <c r="D124" s="10"/>
    </row>
    <row r="125">
      <c r="A125" s="6"/>
      <c r="B125" s="6"/>
      <c r="C125" s="7"/>
      <c r="D125" s="10"/>
    </row>
    <row r="126">
      <c r="A126" s="6"/>
      <c r="B126" s="6"/>
      <c r="C126" s="7"/>
      <c r="D126" s="10"/>
    </row>
    <row r="127">
      <c r="A127" s="6"/>
      <c r="B127" s="7"/>
      <c r="C127" s="7"/>
      <c r="D127" s="10"/>
    </row>
    <row r="128">
      <c r="A128" s="6"/>
      <c r="B128" s="7"/>
      <c r="C128" s="7"/>
      <c r="D128" s="10"/>
    </row>
    <row r="129">
      <c r="A129" s="6"/>
      <c r="B129" s="7"/>
      <c r="C129" s="7"/>
      <c r="D129" s="10"/>
    </row>
    <row r="130">
      <c r="A130" s="6"/>
      <c r="B130" s="7"/>
      <c r="C130" s="7"/>
      <c r="D130" s="10"/>
    </row>
    <row r="131">
      <c r="A131" s="6"/>
      <c r="B131" s="7"/>
      <c r="C131" s="7"/>
      <c r="D131" s="10"/>
    </row>
    <row r="132">
      <c r="A132" s="6"/>
      <c r="B132" s="7"/>
      <c r="C132" s="7"/>
      <c r="D132" s="10"/>
    </row>
    <row r="133">
      <c r="A133" s="6"/>
      <c r="B133" s="7"/>
      <c r="C133" s="7"/>
      <c r="D133" s="10"/>
    </row>
    <row r="134">
      <c r="A134" s="6"/>
      <c r="B134" s="7"/>
      <c r="C134" s="7"/>
      <c r="D134" s="10"/>
    </row>
    <row r="135">
      <c r="A135" s="6"/>
      <c r="B135" s="7"/>
      <c r="C135" s="7"/>
      <c r="D135" s="10"/>
    </row>
    <row r="136">
      <c r="A136" s="6"/>
      <c r="B136" s="7"/>
      <c r="C136" s="7"/>
      <c r="D136" s="10"/>
    </row>
    <row r="137">
      <c r="A137" s="6"/>
      <c r="B137" s="7"/>
      <c r="C137" s="7"/>
      <c r="D137" s="10"/>
    </row>
    <row r="138">
      <c r="A138" s="6"/>
      <c r="B138" s="7"/>
      <c r="C138" s="7"/>
      <c r="D138" s="6"/>
    </row>
    <row r="139">
      <c r="A139" s="6"/>
      <c r="B139" s="7"/>
      <c r="C139" s="7"/>
      <c r="D139" s="6"/>
    </row>
  </sheetData>
  <mergeCells count="1">
    <mergeCell ref="B1:C1"/>
  </mergeCell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4" max="4" width="9.25"/>
    <col customWidth="1" min="5" max="5" width="7.38"/>
  </cols>
  <sheetData>
    <row r="1">
      <c r="A1" s="8" t="s">
        <v>1</v>
      </c>
      <c r="B1" s="8" t="s">
        <v>22</v>
      </c>
      <c r="C1" s="8" t="s">
        <v>23</v>
      </c>
      <c r="D1" s="8" t="s">
        <v>24</v>
      </c>
      <c r="E1" s="8" t="s">
        <v>25</v>
      </c>
      <c r="F1" s="6" t="s">
        <v>26</v>
      </c>
      <c r="G1" s="6" t="s">
        <v>174</v>
      </c>
      <c r="H1" s="6" t="s">
        <v>175</v>
      </c>
      <c r="I1" s="6" t="s">
        <v>176</v>
      </c>
      <c r="J1" s="6" t="s">
        <v>177</v>
      </c>
      <c r="K1" s="6" t="s">
        <v>178</v>
      </c>
      <c r="L1" s="6" t="s">
        <v>179</v>
      </c>
      <c r="M1" s="6" t="s">
        <v>180</v>
      </c>
      <c r="N1" s="6" t="s">
        <v>181</v>
      </c>
      <c r="O1" s="6" t="s">
        <v>182</v>
      </c>
      <c r="P1" s="6" t="s">
        <v>183</v>
      </c>
      <c r="Q1" s="6" t="s">
        <v>184</v>
      </c>
      <c r="R1" s="6" t="s">
        <v>185</v>
      </c>
    </row>
    <row r="2" ht="30.75" customHeight="1">
      <c r="A2" s="9" t="s">
        <v>34</v>
      </c>
      <c r="B2" s="6" t="s">
        <v>16</v>
      </c>
      <c r="C2" s="10" t="s">
        <v>35</v>
      </c>
      <c r="D2" s="11" t="str">
        <f>D3</f>
        <v/>
      </c>
      <c r="E2" s="11">
        <f t="shared" ref="E2:E32" si="1">SUM(G2:R2)</f>
        <v>1</v>
      </c>
      <c r="F2" s="12">
        <f>E2/(E2+E3)</f>
        <v>0.5</v>
      </c>
      <c r="G2" s="11">
        <f>COUNTIFS(Beans!B:B, A2, Beans!A:A, "&gt;=2022-1-1", Beans!A:A,"&lt;2022-2-1" )</f>
        <v>0</v>
      </c>
      <c r="H2" s="7">
        <f>COUNTIFS(Beans!B:B, A2, Beans!A:A, "&gt;=2022-2-1", Beans!A:A,"&lt;2022-3-1" )</f>
        <v>0</v>
      </c>
      <c r="I2" s="11">
        <f>COUNTIFS(Beans!B:B, A2, Beans!A:A, "&gt;=2022-3-1", Beans!A:A,"&lt;2022-4-1" )</f>
        <v>0</v>
      </c>
      <c r="J2" s="11">
        <f>COUNTIFS(Beans!B:B, A2, Beans!A:A, "&gt;=2022-4-1", Beans!A:A,"&lt;2022-5-1" )</f>
        <v>0</v>
      </c>
      <c r="K2" s="7">
        <f>COUNTIFS(Beans!B:B, A2, Beans!A:A, "&gt;=2022-5-1", Beans!A:A,"&lt;2022-6-1" )</f>
        <v>0</v>
      </c>
      <c r="L2" s="11">
        <f>COUNTIFS(Beans!B:B, A2, Beans!A:A, "&gt;=2022-6-1", Beans!A:A,"&lt;2022-7-1" )</f>
        <v>0</v>
      </c>
      <c r="M2" s="11">
        <f>COUNTIFS(Beans!B:B, A2, Beans!A:A, "&gt;=2022-7-1", Beans!A:A,"&lt;2022-8-1" )</f>
        <v>0</v>
      </c>
      <c r="N2" s="7">
        <f>COUNTIFS(Beans!B:B, A2, Beans!A:A, "&gt;=2022-8-1", Beans!A:A,"&lt;2022-9-1" )</f>
        <v>0</v>
      </c>
      <c r="O2" s="11">
        <f>COUNTIFS(Beans!B:B, A2, Beans!A:A, "&gt;=2022-9-1", Beans!A:A,"&lt;2022-10-1" )</f>
        <v>0</v>
      </c>
      <c r="P2" s="11">
        <f>COUNTIFS(Beans!B:B, A2, Beans!A:A, "&gt;=2022-10-1", Beans!A:A,"&lt;2022-11-1" )</f>
        <v>0</v>
      </c>
      <c r="Q2" s="7">
        <f>COUNTIFS(Beans!B:B, A2, Beans!A:A, "&gt;=2022-11-1", Beans!A:A,"&lt;2022-12-1" )</f>
        <v>1</v>
      </c>
      <c r="R2" s="15">
        <f>COUNTIFS(Beans!B:B, A2, Beans!A:A, "&gt;=2022-12-1", Beans!A:A,"&lt;2023-1-1" )</f>
        <v>0</v>
      </c>
    </row>
    <row r="3" ht="30.75" customHeight="1">
      <c r="A3" s="9" t="s">
        <v>40</v>
      </c>
      <c r="B3" s="6" t="s">
        <v>21</v>
      </c>
      <c r="C3" s="10" t="s">
        <v>35</v>
      </c>
      <c r="D3" s="11"/>
      <c r="E3" s="11">
        <f t="shared" si="1"/>
        <v>1</v>
      </c>
      <c r="F3" s="12">
        <f>E3/(E2+E3)</f>
        <v>0.5</v>
      </c>
      <c r="G3" s="11">
        <f>COUNTIFS(Beans!B:B, A3, Beans!A:A, "&gt;=2022-1-1", Beans!A:A,"&lt;2022-2-1" )</f>
        <v>0</v>
      </c>
      <c r="H3" s="7">
        <f>COUNTIFS(Beans!B:B, A3, Beans!A:A, "&gt;=2022-2-1", Beans!A:A,"&lt;2022-3-1" )</f>
        <v>0</v>
      </c>
      <c r="I3" s="11">
        <f>COUNTIFS(Beans!B:B, A3, Beans!A:A, "&gt;=2022-3-1", Beans!A:A,"&lt;2022-4-1" )</f>
        <v>0</v>
      </c>
      <c r="J3" s="11">
        <f>COUNTIFS(Beans!B:B, A3, Beans!A:A, "&gt;=2022-4-1", Beans!A:A,"&lt;2022-5-1" )</f>
        <v>0</v>
      </c>
      <c r="K3" s="7">
        <f>COUNTIFS(Beans!B:B, A3, Beans!A:A, "&gt;=2022-5-1", Beans!A:A,"&lt;2022-6-1" )</f>
        <v>0</v>
      </c>
      <c r="L3" s="11">
        <f>COUNTIFS(Beans!B:B, A3, Beans!A:A, "&gt;=2022-6-1", Beans!A:A,"&lt;2022-7-1" )</f>
        <v>0</v>
      </c>
      <c r="M3" s="11">
        <f>COUNTIFS(Beans!B:B, A3, Beans!A:A, "&gt;=2022-7-1", Beans!A:A,"&lt;2022-8-1" )</f>
        <v>0</v>
      </c>
      <c r="N3" s="7">
        <f>COUNTIFS(Beans!B:B, A3, Beans!A:A, "&gt;=2022-8-1", Beans!A:A,"&lt;2022-9-1" )</f>
        <v>0</v>
      </c>
      <c r="O3" s="11">
        <f>COUNTIFS(Beans!B:B, A3, Beans!A:A, "&gt;=2022-9-1", Beans!A:A,"&lt;2022-10-1" )</f>
        <v>0</v>
      </c>
      <c r="P3" s="11">
        <f>COUNTIFS(Beans!B:B, A3, Beans!A:A, "&gt;=2022-10-1", Beans!A:A,"&lt;2022-11-1" )</f>
        <v>0</v>
      </c>
      <c r="Q3" s="7">
        <f>COUNTIFS(Beans!B:B, A3, Beans!A:A, "&gt;=2022-11-1", Beans!A:A,"&lt;2022-12-1" )</f>
        <v>0</v>
      </c>
      <c r="R3" s="15">
        <f>COUNTIFS(Beans!B:B, A3, Beans!A:A, "&gt;=2022-12-1", Beans!A:A,"&lt;2023-1-1" )</f>
        <v>1</v>
      </c>
    </row>
    <row r="4" ht="31.5" customHeight="1">
      <c r="A4" s="9" t="s">
        <v>45</v>
      </c>
      <c r="B4" s="6" t="s">
        <v>16</v>
      </c>
      <c r="C4" s="10" t="s">
        <v>46</v>
      </c>
      <c r="D4" s="11" t="str">
        <f>D5</f>
        <v/>
      </c>
      <c r="E4" s="11">
        <f t="shared" si="1"/>
        <v>4</v>
      </c>
      <c r="F4" s="12">
        <f>E4/(E4+E5)</f>
        <v>0.5714285714</v>
      </c>
      <c r="G4" s="11">
        <f>COUNTIFS(Beans!B:B, A4, Beans!A:A, "&gt;=2022-1-1", Beans!A:A,"&lt;2022-2-1" )</f>
        <v>0</v>
      </c>
      <c r="H4" s="7">
        <f>COUNTIFS(Beans!B:B, A4, Beans!A:A, "&gt;=2022-2-1", Beans!A:A,"&lt;2022-3-1" )</f>
        <v>0</v>
      </c>
      <c r="I4" s="11">
        <f>COUNTIFS(Beans!B:B, A4, Beans!A:A, "&gt;=2022-3-1", Beans!A:A,"&lt;2022-4-1" )</f>
        <v>0</v>
      </c>
      <c r="J4" s="11">
        <f>COUNTIFS(Beans!B:B, A4, Beans!A:A, "&gt;=2022-4-1", Beans!A:A,"&lt;2022-5-1" )</f>
        <v>0</v>
      </c>
      <c r="K4" s="7">
        <f>COUNTIFS(Beans!B:B, A4, Beans!A:A, "&gt;=2022-5-1", Beans!A:A,"&lt;2022-6-1" )</f>
        <v>0</v>
      </c>
      <c r="L4" s="11">
        <f>COUNTIFS(Beans!B:B, A4, Beans!A:A, "&gt;=2022-6-1", Beans!A:A,"&lt;2022-7-1" )</f>
        <v>0</v>
      </c>
      <c r="M4" s="11">
        <f>COUNTIFS(Beans!B:B, A4, Beans!A:A, "&gt;=2022-7-1", Beans!A:A,"&lt;2022-8-1" )</f>
        <v>0</v>
      </c>
      <c r="N4" s="7">
        <f>COUNTIFS(Beans!B:B, A4, Beans!A:A, "&gt;=2022-8-1", Beans!A:A,"&lt;2022-9-1" )</f>
        <v>0</v>
      </c>
      <c r="O4" s="11">
        <f>COUNTIFS(Beans!B:B, A4, Beans!A:A, "&gt;=2022-9-1", Beans!A:A,"&lt;2022-10-1" )</f>
        <v>0</v>
      </c>
      <c r="P4" s="11">
        <f>COUNTIFS(Beans!B:B, A4, Beans!A:A, "&gt;=2022-10-1", Beans!A:A,"&lt;2022-11-1" )</f>
        <v>0</v>
      </c>
      <c r="Q4" s="7">
        <f>COUNTIFS(Beans!B:B, A4, Beans!A:A, "&gt;=2022-11-1", Beans!A:A,"&lt;2022-12-1" )</f>
        <v>1</v>
      </c>
      <c r="R4" s="15">
        <f>COUNTIFS(Beans!B:B, A4, Beans!A:A, "&gt;=2022-12-1", Beans!A:A,"&lt;2023-1-1" )</f>
        <v>3</v>
      </c>
    </row>
    <row r="5" ht="31.5" customHeight="1">
      <c r="A5" s="9" t="s">
        <v>48</v>
      </c>
      <c r="B5" s="6" t="s">
        <v>21</v>
      </c>
      <c r="C5" s="10" t="s">
        <v>46</v>
      </c>
      <c r="D5" s="11"/>
      <c r="E5" s="11">
        <f t="shared" si="1"/>
        <v>3</v>
      </c>
      <c r="F5" s="12">
        <f>E5/(E4+E5)</f>
        <v>0.4285714286</v>
      </c>
      <c r="G5" s="11">
        <f>COUNTIFS(Beans!B:B, A5, Beans!A:A, "&gt;=2022-1-1", Beans!A:A,"&lt;2022-2-1" )</f>
        <v>0</v>
      </c>
      <c r="H5" s="7">
        <f>COUNTIFS(Beans!B:B, A5, Beans!A:A, "&gt;=2022-2-1", Beans!A:A,"&lt;2022-3-1" )</f>
        <v>0</v>
      </c>
      <c r="I5" s="11">
        <f>COUNTIFS(Beans!B:B, A5, Beans!A:A, "&gt;=2022-3-1", Beans!A:A,"&lt;2022-4-1" )</f>
        <v>0</v>
      </c>
      <c r="J5" s="11">
        <f>COUNTIFS(Beans!B:B, A5, Beans!A:A, "&gt;=2022-4-1", Beans!A:A,"&lt;2022-5-1" )</f>
        <v>0</v>
      </c>
      <c r="K5" s="7">
        <f>COUNTIFS(Beans!B:B, A5, Beans!A:A, "&gt;=2022-5-1", Beans!A:A,"&lt;2022-6-1" )</f>
        <v>0</v>
      </c>
      <c r="L5" s="11">
        <f>COUNTIFS(Beans!B:B, A5, Beans!A:A, "&gt;=2022-6-1", Beans!A:A,"&lt;2022-7-1" )</f>
        <v>0</v>
      </c>
      <c r="M5" s="11">
        <f>COUNTIFS(Beans!B:B, A5, Beans!A:A, "&gt;=2022-7-1", Beans!A:A,"&lt;2022-8-1" )</f>
        <v>0</v>
      </c>
      <c r="N5" s="7">
        <f>COUNTIFS(Beans!B:B, A5, Beans!A:A, "&gt;=2022-8-1", Beans!A:A,"&lt;2022-9-1" )</f>
        <v>0</v>
      </c>
      <c r="O5" s="11">
        <f>COUNTIFS(Beans!B:B, A5, Beans!A:A, "&gt;=2022-9-1", Beans!A:A,"&lt;2022-10-1" )</f>
        <v>0</v>
      </c>
      <c r="P5" s="11">
        <f>COUNTIFS(Beans!B:B, A5, Beans!A:A, "&gt;=2022-10-1", Beans!A:A,"&lt;2022-11-1" )</f>
        <v>1</v>
      </c>
      <c r="Q5" s="7">
        <f>COUNTIFS(Beans!B:B, A5, Beans!A:A, "&gt;=2022-11-1", Beans!A:A,"&lt;2022-12-1" )</f>
        <v>1</v>
      </c>
      <c r="R5" s="15">
        <f>COUNTIFS(Beans!B:B, A5, Beans!A:A, "&gt;=2022-12-1", Beans!A:A,"&lt;2023-1-1" )</f>
        <v>1</v>
      </c>
    </row>
    <row r="6" ht="32.25" customHeight="1">
      <c r="A6" s="9" t="s">
        <v>59</v>
      </c>
      <c r="B6" s="6" t="s">
        <v>16</v>
      </c>
      <c r="C6" s="10" t="s">
        <v>35</v>
      </c>
      <c r="D6" s="11"/>
      <c r="E6" s="11">
        <f t="shared" si="1"/>
        <v>1</v>
      </c>
      <c r="F6" s="12">
        <f>E6/(E6+E7)</f>
        <v>0.3333333333</v>
      </c>
      <c r="G6" s="11">
        <f>COUNTIFS(Beans!B:B, A6, Beans!A:A, "&gt;=2022-1-1", Beans!A:A,"&lt;2022-2-1" )</f>
        <v>0</v>
      </c>
      <c r="H6" s="7">
        <f>COUNTIFS(Beans!B:B, A6, Beans!A:A, "&gt;=2022-2-1", Beans!A:A,"&lt;2022-3-1" )</f>
        <v>0</v>
      </c>
      <c r="I6" s="11">
        <f>COUNTIFS(Beans!B:B, A6, Beans!A:A, "&gt;=2022-3-1", Beans!A:A,"&lt;2022-4-1" )</f>
        <v>0</v>
      </c>
      <c r="J6" s="11">
        <f>COUNTIFS(Beans!B:B, A6, Beans!A:A, "&gt;=2022-4-1", Beans!A:A,"&lt;2022-5-1" )</f>
        <v>0</v>
      </c>
      <c r="K6" s="7">
        <f>COUNTIFS(Beans!B:B, A6, Beans!A:A, "&gt;=2022-5-1", Beans!A:A,"&lt;2022-6-1" )</f>
        <v>0</v>
      </c>
      <c r="L6" s="11">
        <f>COUNTIFS(Beans!B:B, A6, Beans!A:A, "&gt;=2022-6-1", Beans!A:A,"&lt;2022-7-1" )</f>
        <v>0</v>
      </c>
      <c r="M6" s="11">
        <f>COUNTIFS(Beans!B:B, A6, Beans!A:A, "&gt;=2022-7-1", Beans!A:A,"&lt;2022-8-1" )</f>
        <v>0</v>
      </c>
      <c r="N6" s="7">
        <f>COUNTIFS(Beans!B:B, A6, Beans!A:A, "&gt;=2022-8-1", Beans!A:A,"&lt;2022-9-1" )</f>
        <v>0</v>
      </c>
      <c r="O6" s="11">
        <f>COUNTIFS(Beans!B:B, A6, Beans!A:A, "&gt;=2022-9-1", Beans!A:A,"&lt;2022-10-1" )</f>
        <v>0</v>
      </c>
      <c r="P6" s="11">
        <f>COUNTIFS(Beans!B:B, A6, Beans!A:A, "&gt;=2022-10-1", Beans!A:A,"&lt;2022-11-1" )</f>
        <v>0</v>
      </c>
      <c r="Q6" s="7">
        <f>COUNTIFS(Beans!B:B, A6, Beans!A:A, "&gt;=2022-11-1", Beans!A:A,"&lt;2022-12-1" )</f>
        <v>1</v>
      </c>
      <c r="R6" s="15">
        <f>COUNTIFS(Beans!B:B, A6, Beans!A:A, "&gt;=2022-12-1", Beans!A:A,"&lt;2023-1-1" )</f>
        <v>0</v>
      </c>
    </row>
    <row r="7" ht="30.75" customHeight="1">
      <c r="A7" s="9" t="s">
        <v>41</v>
      </c>
      <c r="B7" s="6" t="s">
        <v>21</v>
      </c>
      <c r="C7" s="10" t="s">
        <v>35</v>
      </c>
      <c r="D7" s="11" t="str">
        <f>D6</f>
        <v/>
      </c>
      <c r="E7" s="11">
        <f t="shared" si="1"/>
        <v>2</v>
      </c>
      <c r="F7" s="12">
        <f>E7/(E6+E7)</f>
        <v>0.6666666667</v>
      </c>
      <c r="G7" s="11">
        <f>COUNTIFS(Beans!B:B, A7, Beans!A:A, "&gt;=2022-1-1", Beans!A:A,"&lt;2022-2-1" )</f>
        <v>0</v>
      </c>
      <c r="H7" s="7">
        <f>COUNTIFS(Beans!B:B, A7, Beans!A:A, "&gt;=2022-2-1", Beans!A:A,"&lt;2022-3-1" )</f>
        <v>0</v>
      </c>
      <c r="I7" s="11">
        <f>COUNTIFS(Beans!B:B, A7, Beans!A:A, "&gt;=2022-3-1", Beans!A:A,"&lt;2022-4-1" )</f>
        <v>0</v>
      </c>
      <c r="J7" s="11">
        <f>COUNTIFS(Beans!B:B, A7, Beans!A:A, "&gt;=2022-4-1", Beans!A:A,"&lt;2022-5-1" )</f>
        <v>0</v>
      </c>
      <c r="K7" s="7">
        <f>COUNTIFS(Beans!B:B, A7, Beans!A:A, "&gt;=2022-5-1", Beans!A:A,"&lt;2022-6-1" )</f>
        <v>0</v>
      </c>
      <c r="L7" s="11">
        <f>COUNTIFS(Beans!B:B, A7, Beans!A:A, "&gt;=2022-6-1", Beans!A:A,"&lt;2022-7-1" )</f>
        <v>0</v>
      </c>
      <c r="M7" s="11">
        <f>COUNTIFS(Beans!B:B, A7, Beans!A:A, "&gt;=2022-7-1", Beans!A:A,"&lt;2022-8-1" )</f>
        <v>0</v>
      </c>
      <c r="N7" s="7">
        <f>COUNTIFS(Beans!B:B, A7, Beans!A:A, "&gt;=2022-8-1", Beans!A:A,"&lt;2022-9-1" )</f>
        <v>0</v>
      </c>
      <c r="O7" s="11">
        <f>COUNTIFS(Beans!B:B, A7, Beans!A:A, "&gt;=2022-9-1", Beans!A:A,"&lt;2022-10-1" )</f>
        <v>0</v>
      </c>
      <c r="P7" s="11">
        <f>COUNTIFS(Beans!B:B, A7, Beans!A:A, "&gt;=2022-10-1", Beans!A:A,"&lt;2022-11-1" )</f>
        <v>1</v>
      </c>
      <c r="Q7" s="7">
        <f>COUNTIFS(Beans!B:B, A7, Beans!A:A, "&gt;=2022-11-1", Beans!A:A,"&lt;2022-12-1" )</f>
        <v>1</v>
      </c>
      <c r="R7" s="15">
        <f>COUNTIFS(Beans!B:B, A7, Beans!A:A, "&gt;=2022-12-1", Beans!A:A,"&lt;2023-1-1" )</f>
        <v>0</v>
      </c>
    </row>
    <row r="8" ht="30.0" customHeight="1">
      <c r="A8" s="9" t="s">
        <v>53</v>
      </c>
      <c r="B8" s="6" t="s">
        <v>16</v>
      </c>
      <c r="C8" s="10" t="s">
        <v>102</v>
      </c>
      <c r="D8" s="11" t="str">
        <f>D9</f>
        <v/>
      </c>
      <c r="E8" s="11">
        <f t="shared" si="1"/>
        <v>2</v>
      </c>
      <c r="F8" s="12">
        <f>E8/(E8+E9)</f>
        <v>0.1538461538</v>
      </c>
      <c r="G8" s="11">
        <f>COUNTIFS(Beans!B:B, A8, Beans!A:A, "&gt;=2022-1-1", Beans!A:A,"&lt;2022-2-1" )</f>
        <v>0</v>
      </c>
      <c r="H8" s="7">
        <f>COUNTIFS(Beans!B:B, A8, Beans!A:A, "&gt;=2022-2-1", Beans!A:A,"&lt;2022-3-1" )</f>
        <v>0</v>
      </c>
      <c r="I8" s="11">
        <f>COUNTIFS(Beans!B:B, A8, Beans!A:A, "&gt;=2022-3-1", Beans!A:A,"&lt;2022-4-1" )</f>
        <v>0</v>
      </c>
      <c r="J8" s="11">
        <f>COUNTIFS(Beans!B:B, A8, Beans!A:A, "&gt;=2022-4-1", Beans!A:A,"&lt;2022-5-1" )</f>
        <v>0</v>
      </c>
      <c r="K8" s="7">
        <f>COUNTIFS(Beans!B:B, A8, Beans!A:A, "&gt;=2022-5-1", Beans!A:A,"&lt;2022-6-1" )</f>
        <v>0</v>
      </c>
      <c r="L8" s="11">
        <f>COUNTIFS(Beans!B:B, A8, Beans!A:A, "&gt;=2022-6-1", Beans!A:A,"&lt;2022-7-1" )</f>
        <v>0</v>
      </c>
      <c r="M8" s="11">
        <f>COUNTIFS(Beans!B:B, A8, Beans!A:A, "&gt;=2022-7-1", Beans!A:A,"&lt;2022-8-1" )</f>
        <v>0</v>
      </c>
      <c r="N8" s="7">
        <f>COUNTIFS(Beans!B:B, A8, Beans!A:A, "&gt;=2022-8-1", Beans!A:A,"&lt;2022-9-1" )</f>
        <v>0</v>
      </c>
      <c r="O8" s="11">
        <f>COUNTIFS(Beans!B:B, A8, Beans!A:A, "&gt;=2022-9-1", Beans!A:A,"&lt;2022-10-1" )</f>
        <v>0</v>
      </c>
      <c r="P8" s="11">
        <f>COUNTIFS(Beans!B:B, A8, Beans!A:A, "&gt;=2022-10-1", Beans!A:A,"&lt;2022-11-1" )</f>
        <v>1</v>
      </c>
      <c r="Q8" s="7">
        <f>COUNTIFS(Beans!B:B, A8, Beans!A:A, "&gt;=2022-11-1", Beans!A:A,"&lt;2022-12-1" )</f>
        <v>0</v>
      </c>
      <c r="R8" s="15">
        <f>COUNTIFS(Beans!B:B, A8, Beans!A:A, "&gt;=2022-12-1", Beans!A:A,"&lt;2023-1-1" )</f>
        <v>1</v>
      </c>
    </row>
    <row r="9" ht="30.0" customHeight="1">
      <c r="A9" s="9" t="s">
        <v>14</v>
      </c>
      <c r="B9" s="6" t="s">
        <v>21</v>
      </c>
      <c r="C9" s="10" t="s">
        <v>102</v>
      </c>
      <c r="D9" s="11"/>
      <c r="E9" s="11">
        <f t="shared" si="1"/>
        <v>11</v>
      </c>
      <c r="F9" s="12">
        <f>E9/(E8+E9)</f>
        <v>0.8461538462</v>
      </c>
      <c r="G9" s="11">
        <f>COUNTIFS(Beans!B:B, A9, Beans!A:A, "&gt;=2022-1-1", Beans!A:A,"&lt;2022-2-1" )</f>
        <v>0</v>
      </c>
      <c r="H9" s="7">
        <f>COUNTIFS(Beans!B:B, A9, Beans!A:A, "&gt;=2022-2-1", Beans!A:A,"&lt;2022-3-1" )</f>
        <v>0</v>
      </c>
      <c r="I9" s="11">
        <f>COUNTIFS(Beans!B:B, A9, Beans!A:A, "&gt;=2022-3-1", Beans!A:A,"&lt;2022-4-1" )</f>
        <v>0</v>
      </c>
      <c r="J9" s="11">
        <f>COUNTIFS(Beans!B:B, A9, Beans!A:A, "&gt;=2022-4-1", Beans!A:A,"&lt;2022-5-1" )</f>
        <v>0</v>
      </c>
      <c r="K9" s="7">
        <f>COUNTIFS(Beans!B:B, A9, Beans!A:A, "&gt;=2022-5-1", Beans!A:A,"&lt;2022-6-1" )</f>
        <v>0</v>
      </c>
      <c r="L9" s="11">
        <f>COUNTIFS(Beans!B:B, A9, Beans!A:A, "&gt;=2022-6-1", Beans!A:A,"&lt;2022-7-1" )</f>
        <v>0</v>
      </c>
      <c r="M9" s="11">
        <f>COUNTIFS(Beans!B:B, A9, Beans!A:A, "&gt;=2022-7-1", Beans!A:A,"&lt;2022-8-1" )</f>
        <v>0</v>
      </c>
      <c r="N9" s="7">
        <f>COUNTIFS(Beans!B:B, A9, Beans!A:A, "&gt;=2022-8-1", Beans!A:A,"&lt;2022-9-1" )</f>
        <v>0</v>
      </c>
      <c r="O9" s="11">
        <f>COUNTIFS(Beans!B:B, A9, Beans!A:A, "&gt;=2022-9-1", Beans!A:A,"&lt;2022-10-1" )</f>
        <v>0</v>
      </c>
      <c r="P9" s="11">
        <f>COUNTIFS(Beans!B:B, A9, Beans!A:A, "&gt;=2022-10-1", Beans!A:A,"&lt;2022-11-1" )</f>
        <v>1</v>
      </c>
      <c r="Q9" s="7">
        <f>COUNTIFS(Beans!B:B, A9, Beans!A:A, "&gt;=2022-11-1", Beans!A:A,"&lt;2022-12-1" )</f>
        <v>4</v>
      </c>
      <c r="R9" s="15">
        <f>COUNTIFS(Beans!B:B, A9, Beans!A:A, "&gt;=2022-12-1", Beans!A:A,"&lt;2023-1-1" )</f>
        <v>6</v>
      </c>
    </row>
    <row r="10" ht="30.75" customHeight="1">
      <c r="A10" s="9" t="s">
        <v>56</v>
      </c>
      <c r="B10" s="6" t="s">
        <v>16</v>
      </c>
      <c r="C10" s="10" t="s">
        <v>35</v>
      </c>
      <c r="D10" s="11" t="str">
        <f>D11</f>
        <v/>
      </c>
      <c r="E10" s="11">
        <f t="shared" si="1"/>
        <v>3</v>
      </c>
      <c r="F10" s="12">
        <f>E10/(E10+E11)</f>
        <v>0.375</v>
      </c>
      <c r="G10" s="11">
        <f>COUNTIFS(Beans!B:B, A10, Beans!A:A, "&gt;=2022-1-1", Beans!A:A,"&lt;2022-2-1" )</f>
        <v>0</v>
      </c>
      <c r="H10" s="7">
        <f>COUNTIFS(Beans!B:B, A10, Beans!A:A, "&gt;=2022-2-1", Beans!A:A,"&lt;2022-3-1" )</f>
        <v>0</v>
      </c>
      <c r="I10" s="11">
        <f>COUNTIFS(Beans!B:B, A10, Beans!A:A, "&gt;=2022-3-1", Beans!A:A,"&lt;2022-4-1" )</f>
        <v>0</v>
      </c>
      <c r="J10" s="11">
        <f>COUNTIFS(Beans!B:B, A10, Beans!A:A, "&gt;=2022-4-1", Beans!A:A,"&lt;2022-5-1" )</f>
        <v>0</v>
      </c>
      <c r="K10" s="7">
        <f>COUNTIFS(Beans!B:B, A10, Beans!A:A, "&gt;=2022-5-1", Beans!A:A,"&lt;2022-6-1" )</f>
        <v>0</v>
      </c>
      <c r="L10" s="11">
        <f>COUNTIFS(Beans!B:B, A10, Beans!A:A, "&gt;=2022-6-1", Beans!A:A,"&lt;2022-7-1" )</f>
        <v>0</v>
      </c>
      <c r="M10" s="11">
        <f>COUNTIFS(Beans!B:B, A10, Beans!A:A, "&gt;=2022-7-1", Beans!A:A,"&lt;2022-8-1" )</f>
        <v>0</v>
      </c>
      <c r="N10" s="7">
        <f>COUNTIFS(Beans!B:B, A10, Beans!A:A, "&gt;=2022-8-1", Beans!A:A,"&lt;2022-9-1" )</f>
        <v>0</v>
      </c>
      <c r="O10" s="11">
        <f>COUNTIFS(Beans!B:B, A10, Beans!A:A, "&gt;=2022-9-1", Beans!A:A,"&lt;2022-10-1" )</f>
        <v>0</v>
      </c>
      <c r="P10" s="11">
        <f>COUNTIFS(Beans!B:B, A10, Beans!A:A, "&gt;=2022-10-1", Beans!A:A,"&lt;2022-11-1" )</f>
        <v>2</v>
      </c>
      <c r="Q10" s="7">
        <f>COUNTIFS(Beans!B:B, A10, Beans!A:A, "&gt;=2022-11-1", Beans!A:A,"&lt;2022-12-1" )</f>
        <v>1</v>
      </c>
      <c r="R10" s="15">
        <f>COUNTIFS(Beans!B:B, A10, Beans!A:A, "&gt;=2022-12-1", Beans!A:A,"&lt;2023-1-1" )</f>
        <v>0</v>
      </c>
    </row>
    <row r="11" ht="30.75" customHeight="1">
      <c r="A11" s="9" t="s">
        <v>80</v>
      </c>
      <c r="B11" s="6" t="s">
        <v>21</v>
      </c>
      <c r="C11" s="10" t="s">
        <v>35</v>
      </c>
      <c r="D11" s="11"/>
      <c r="E11" s="11">
        <f t="shared" si="1"/>
        <v>5</v>
      </c>
      <c r="F11" s="12">
        <f>E11/(E10+E11)</f>
        <v>0.625</v>
      </c>
      <c r="G11" s="11">
        <f>COUNTIFS(Beans!B:B, A11, Beans!A:A, "&gt;=2022-1-1", Beans!A:A,"&lt;2022-2-1" )</f>
        <v>0</v>
      </c>
      <c r="H11" s="7">
        <f>COUNTIFS(Beans!B:B, A11, Beans!A:A, "&gt;=2022-2-1", Beans!A:A,"&lt;2022-3-1" )</f>
        <v>0</v>
      </c>
      <c r="I11" s="11">
        <f>COUNTIFS(Beans!B:B, A11, Beans!A:A, "&gt;=2022-3-1", Beans!A:A,"&lt;2022-4-1" )</f>
        <v>0</v>
      </c>
      <c r="J11" s="11">
        <f>COUNTIFS(Beans!B:B, A11, Beans!A:A, "&gt;=2022-4-1", Beans!A:A,"&lt;2022-5-1" )</f>
        <v>0</v>
      </c>
      <c r="K11" s="7">
        <f>COUNTIFS(Beans!B:B, A11, Beans!A:A, "&gt;=2022-5-1", Beans!A:A,"&lt;2022-6-1" )</f>
        <v>0</v>
      </c>
      <c r="L11" s="11">
        <f>COUNTIFS(Beans!B:B, A11, Beans!A:A, "&gt;=2022-6-1", Beans!A:A,"&lt;2022-7-1" )</f>
        <v>0</v>
      </c>
      <c r="M11" s="11">
        <f>COUNTIFS(Beans!B:B, A11, Beans!A:A, "&gt;=2022-7-1", Beans!A:A,"&lt;2022-8-1" )</f>
        <v>0</v>
      </c>
      <c r="N11" s="7">
        <f>COUNTIFS(Beans!B:B, A11, Beans!A:A, "&gt;=2022-8-1", Beans!A:A,"&lt;2022-9-1" )</f>
        <v>0</v>
      </c>
      <c r="O11" s="11">
        <f>COUNTIFS(Beans!B:B, A11, Beans!A:A, "&gt;=2022-9-1", Beans!A:A,"&lt;2022-10-1" )</f>
        <v>0</v>
      </c>
      <c r="P11" s="11">
        <f>COUNTIFS(Beans!B:B, A11, Beans!A:A, "&gt;=2022-10-1", Beans!A:A,"&lt;2022-11-1" )</f>
        <v>0</v>
      </c>
      <c r="Q11" s="7">
        <f>COUNTIFS(Beans!B:B, A11, Beans!A:A, "&gt;=2022-11-1", Beans!A:A,"&lt;2022-12-1" )</f>
        <v>2</v>
      </c>
      <c r="R11" s="15">
        <f>COUNTIFS(Beans!B:B, A11, Beans!A:A, "&gt;=2022-12-1", Beans!A:A,"&lt;2023-1-1" )</f>
        <v>3</v>
      </c>
    </row>
    <row r="12" ht="31.5" customHeight="1">
      <c r="A12" s="9" t="s">
        <v>44</v>
      </c>
      <c r="B12" s="6" t="s">
        <v>16</v>
      </c>
      <c r="C12" s="10" t="s">
        <v>89</v>
      </c>
      <c r="D12" s="11" t="str">
        <f>D13</f>
        <v/>
      </c>
      <c r="E12" s="11">
        <f t="shared" si="1"/>
        <v>1</v>
      </c>
      <c r="F12" s="12">
        <f>E12/(E12+E13)</f>
        <v>0.1666666667</v>
      </c>
      <c r="G12" s="11">
        <f>COUNTIFS(Beans!B:B, A12, Beans!A:A, "&gt;=2022-1-1", Beans!A:A,"&lt;2022-2-1" )</f>
        <v>0</v>
      </c>
      <c r="H12" s="7">
        <f>COUNTIFS(Beans!B:B, A12, Beans!A:A, "&gt;=2022-2-1", Beans!A:A,"&lt;2022-3-1" )</f>
        <v>0</v>
      </c>
      <c r="I12" s="11">
        <f>COUNTIFS(Beans!B:B, A12, Beans!A:A, "&gt;=2022-3-1", Beans!A:A,"&lt;2022-4-1" )</f>
        <v>0</v>
      </c>
      <c r="J12" s="11">
        <f>COUNTIFS(Beans!B:B, A12, Beans!A:A, "&gt;=2022-4-1", Beans!A:A,"&lt;2022-5-1" )</f>
        <v>0</v>
      </c>
      <c r="K12" s="7">
        <f>COUNTIFS(Beans!B:B, A12, Beans!A:A, "&gt;=2022-5-1", Beans!A:A,"&lt;2022-6-1" )</f>
        <v>0</v>
      </c>
      <c r="L12" s="11">
        <f>COUNTIFS(Beans!B:B, A12, Beans!A:A, "&gt;=2022-6-1", Beans!A:A,"&lt;2022-7-1" )</f>
        <v>0</v>
      </c>
      <c r="M12" s="11">
        <f>COUNTIFS(Beans!B:B, A12, Beans!A:A, "&gt;=2022-7-1", Beans!A:A,"&lt;2022-8-1" )</f>
        <v>0</v>
      </c>
      <c r="N12" s="7">
        <f>COUNTIFS(Beans!B:B, A12, Beans!A:A, "&gt;=2022-8-1", Beans!A:A,"&lt;2022-9-1" )</f>
        <v>0</v>
      </c>
      <c r="O12" s="11">
        <f>COUNTIFS(Beans!B:B, A12, Beans!A:A, "&gt;=2022-9-1", Beans!A:A,"&lt;2022-10-1" )</f>
        <v>0</v>
      </c>
      <c r="P12" s="11">
        <f>COUNTIFS(Beans!B:B, A12, Beans!A:A, "&gt;=2022-10-1", Beans!A:A,"&lt;2022-11-1" )</f>
        <v>1</v>
      </c>
      <c r="Q12" s="7">
        <f>COUNTIFS(Beans!B:B, A12, Beans!A:A, "&gt;=2022-11-1", Beans!A:A,"&lt;2022-12-1" )</f>
        <v>0</v>
      </c>
      <c r="R12" s="15">
        <f>COUNTIFS(Beans!B:B, A12, Beans!A:A, "&gt;=2022-12-1", Beans!A:A,"&lt;2023-1-1" )</f>
        <v>0</v>
      </c>
    </row>
    <row r="13" ht="31.5" customHeight="1">
      <c r="A13" s="9" t="s">
        <v>58</v>
      </c>
      <c r="B13" s="6" t="s">
        <v>21</v>
      </c>
      <c r="C13" s="10" t="s">
        <v>89</v>
      </c>
      <c r="D13" s="11"/>
      <c r="E13" s="11">
        <f t="shared" si="1"/>
        <v>5</v>
      </c>
      <c r="F13" s="12">
        <f>E13/(E12+E13)</f>
        <v>0.8333333333</v>
      </c>
      <c r="G13" s="11">
        <f>COUNTIFS(Beans!B:B, A13, Beans!A:A, "&gt;=2022-1-1", Beans!A:A,"&lt;2022-2-1" )</f>
        <v>0</v>
      </c>
      <c r="H13" s="7">
        <f>COUNTIFS(Beans!B:B, A13, Beans!A:A, "&gt;=2022-2-1", Beans!A:A,"&lt;2022-3-1" )</f>
        <v>0</v>
      </c>
      <c r="I13" s="11">
        <f>COUNTIFS(Beans!B:B, A13, Beans!A:A, "&gt;=2022-3-1", Beans!A:A,"&lt;2022-4-1" )</f>
        <v>0</v>
      </c>
      <c r="J13" s="11">
        <f>COUNTIFS(Beans!B:B, A13, Beans!A:A, "&gt;=2022-4-1", Beans!A:A,"&lt;2022-5-1" )</f>
        <v>0</v>
      </c>
      <c r="K13" s="7">
        <f>COUNTIFS(Beans!B:B, A13, Beans!A:A, "&gt;=2022-5-1", Beans!A:A,"&lt;2022-6-1" )</f>
        <v>0</v>
      </c>
      <c r="L13" s="11">
        <f>COUNTIFS(Beans!B:B, A13, Beans!A:A, "&gt;=2022-6-1", Beans!A:A,"&lt;2022-7-1" )</f>
        <v>0</v>
      </c>
      <c r="M13" s="11">
        <f>COUNTIFS(Beans!B:B, A13, Beans!A:A, "&gt;=2022-7-1", Beans!A:A,"&lt;2022-8-1" )</f>
        <v>0</v>
      </c>
      <c r="N13" s="7">
        <f>COUNTIFS(Beans!B:B, A13, Beans!A:A, "&gt;=2022-8-1", Beans!A:A,"&lt;2022-9-1" )</f>
        <v>0</v>
      </c>
      <c r="O13" s="11">
        <f>COUNTIFS(Beans!B:B, A13, Beans!A:A, "&gt;=2022-9-1", Beans!A:A,"&lt;2022-10-1" )</f>
        <v>0</v>
      </c>
      <c r="P13" s="11">
        <f>COUNTIFS(Beans!B:B, A13, Beans!A:A, "&gt;=2022-10-1", Beans!A:A,"&lt;2022-11-1" )</f>
        <v>1</v>
      </c>
      <c r="Q13" s="7">
        <f>COUNTIFS(Beans!B:B, A13, Beans!A:A, "&gt;=2022-11-1", Beans!A:A,"&lt;2022-12-1" )</f>
        <v>1</v>
      </c>
      <c r="R13" s="15">
        <f>COUNTIFS(Beans!B:B, A13, Beans!A:A, "&gt;=2022-12-1", Beans!A:A,"&lt;2023-1-1" )</f>
        <v>3</v>
      </c>
    </row>
    <row r="14" ht="30.75" customHeight="1">
      <c r="A14" s="9" t="s">
        <v>95</v>
      </c>
      <c r="B14" s="6" t="s">
        <v>16</v>
      </c>
      <c r="C14" s="10" t="s">
        <v>96</v>
      </c>
      <c r="D14" s="11" t="str">
        <f>D15</f>
        <v/>
      </c>
      <c r="E14" s="11">
        <f t="shared" si="1"/>
        <v>2</v>
      </c>
      <c r="F14" s="12">
        <f>E14/(E14+E15)</f>
        <v>0.5</v>
      </c>
      <c r="G14" s="11">
        <f>COUNTIFS(Beans!B:B, A14, Beans!A:A, "&gt;=2022-1-1", Beans!A:A,"&lt;2022-2-1" )</f>
        <v>0</v>
      </c>
      <c r="H14" s="7">
        <f>COUNTIFS(Beans!B:B, A14, Beans!A:A, "&gt;=2022-2-1", Beans!A:A,"&lt;2022-3-1" )</f>
        <v>0</v>
      </c>
      <c r="I14" s="11">
        <f>COUNTIFS(Beans!B:B, A14, Beans!A:A, "&gt;=2022-3-1", Beans!A:A,"&lt;2022-4-1" )</f>
        <v>0</v>
      </c>
      <c r="J14" s="11">
        <f>COUNTIFS(Beans!B:B, A14, Beans!A:A, "&gt;=2022-4-1", Beans!A:A,"&lt;2022-5-1" )</f>
        <v>0</v>
      </c>
      <c r="K14" s="7">
        <f>COUNTIFS(Beans!B:B, A14, Beans!A:A, "&gt;=2022-5-1", Beans!A:A,"&lt;2022-6-1" )</f>
        <v>0</v>
      </c>
      <c r="L14" s="11">
        <f>COUNTIFS(Beans!B:B, A14, Beans!A:A, "&gt;=2022-6-1", Beans!A:A,"&lt;2022-7-1" )</f>
        <v>0</v>
      </c>
      <c r="M14" s="11">
        <f>COUNTIFS(Beans!B:B, A14, Beans!A:A, "&gt;=2022-7-1", Beans!A:A,"&lt;2022-8-1" )</f>
        <v>0</v>
      </c>
      <c r="N14" s="7">
        <f>COUNTIFS(Beans!B:B, A14, Beans!A:A, "&gt;=2022-8-1", Beans!A:A,"&lt;2022-9-1" )</f>
        <v>0</v>
      </c>
      <c r="O14" s="11">
        <f>COUNTIFS(Beans!B:B, A14, Beans!A:A, "&gt;=2022-9-1", Beans!A:A,"&lt;2022-10-1" )</f>
        <v>0</v>
      </c>
      <c r="P14" s="11">
        <f>COUNTIFS(Beans!B:B, A14, Beans!A:A, "&gt;=2022-10-1", Beans!A:A,"&lt;2022-11-1" )</f>
        <v>0</v>
      </c>
      <c r="Q14" s="7">
        <f>COUNTIFS(Beans!B:B, A14, Beans!A:A, "&gt;=2022-11-1", Beans!A:A,"&lt;2022-12-1" )</f>
        <v>0</v>
      </c>
      <c r="R14" s="15">
        <f>COUNTIFS(Beans!B:B, A14, Beans!A:A, "&gt;=2022-12-1", Beans!A:A,"&lt;2023-1-1" )</f>
        <v>2</v>
      </c>
    </row>
    <row r="15" ht="30.75" customHeight="1">
      <c r="A15" s="10" t="s">
        <v>69</v>
      </c>
      <c r="B15" s="6" t="s">
        <v>21</v>
      </c>
      <c r="C15" s="10" t="s">
        <v>96</v>
      </c>
      <c r="D15" s="11"/>
      <c r="E15" s="11">
        <f t="shared" si="1"/>
        <v>2</v>
      </c>
      <c r="F15" s="12">
        <f>E15/(E14+E15)</f>
        <v>0.5</v>
      </c>
      <c r="G15" s="11">
        <f>COUNTIFS(Beans!B:B, A15, Beans!A:A, "&gt;=2022-1-1", Beans!A:A,"&lt;2022-2-1" )</f>
        <v>0</v>
      </c>
      <c r="H15" s="7">
        <f>COUNTIFS(Beans!B:B, A15, Beans!A:A, "&gt;=2022-2-1", Beans!A:A,"&lt;2022-3-1" )</f>
        <v>0</v>
      </c>
      <c r="I15" s="11">
        <f>COUNTIFS(Beans!B:B, A15, Beans!A:A, "&gt;=2022-3-1", Beans!A:A,"&lt;2022-4-1" )</f>
        <v>0</v>
      </c>
      <c r="J15" s="11">
        <f>COUNTIFS(Beans!B:B, A15, Beans!A:A, "&gt;=2022-4-1", Beans!A:A,"&lt;2022-5-1" )</f>
        <v>0</v>
      </c>
      <c r="K15" s="7">
        <f>COUNTIFS(Beans!B:B, A15, Beans!A:A, "&gt;=2022-5-1", Beans!A:A,"&lt;2022-6-1" )</f>
        <v>0</v>
      </c>
      <c r="L15" s="11">
        <f>COUNTIFS(Beans!B:B, A15, Beans!A:A, "&gt;=2022-6-1", Beans!A:A,"&lt;2022-7-1" )</f>
        <v>0</v>
      </c>
      <c r="M15" s="11">
        <f>COUNTIFS(Beans!B:B, A15, Beans!A:A, "&gt;=2022-7-1", Beans!A:A,"&lt;2022-8-1" )</f>
        <v>0</v>
      </c>
      <c r="N15" s="7">
        <f>COUNTIFS(Beans!B:B, A15, Beans!A:A, "&gt;=2022-8-1", Beans!A:A,"&lt;2022-9-1" )</f>
        <v>0</v>
      </c>
      <c r="O15" s="11">
        <f>COUNTIFS(Beans!B:B, A15, Beans!A:A, "&gt;=2022-9-1", Beans!A:A,"&lt;2022-10-1" )</f>
        <v>0</v>
      </c>
      <c r="P15" s="11">
        <f>COUNTIFS(Beans!B:B, A15, Beans!A:A, "&gt;=2022-10-1", Beans!A:A,"&lt;2022-11-1" )</f>
        <v>0</v>
      </c>
      <c r="Q15" s="7">
        <f>COUNTIFS(Beans!B:B, A15, Beans!A:A, "&gt;=2022-11-1", Beans!A:A,"&lt;2022-12-1" )</f>
        <v>2</v>
      </c>
      <c r="R15" s="15">
        <f>COUNTIFS(Beans!B:B, A15, Beans!A:A, "&gt;=2022-12-1", Beans!A:A,"&lt;2023-1-1" )</f>
        <v>0</v>
      </c>
    </row>
    <row r="16" ht="31.5" customHeight="1">
      <c r="A16" s="9" t="s">
        <v>29</v>
      </c>
      <c r="B16" s="6" t="s">
        <v>16</v>
      </c>
      <c r="C16" s="10" t="s">
        <v>102</v>
      </c>
      <c r="D16" s="11" t="str">
        <f>D17</f>
        <v/>
      </c>
      <c r="E16" s="11">
        <f t="shared" si="1"/>
        <v>1</v>
      </c>
      <c r="F16" s="12">
        <f>E16/(E16+E17)</f>
        <v>0.1</v>
      </c>
      <c r="G16" s="11">
        <f>COUNTIFS(Beans!B:B, A16, Beans!A:A, "&gt;=2022-1-1", Beans!A:A,"&lt;2022-2-1" )</f>
        <v>0</v>
      </c>
      <c r="H16" s="7">
        <f>COUNTIFS(Beans!B:B, A16, Beans!A:A, "&gt;=2022-2-1", Beans!A:A,"&lt;2022-3-1" )</f>
        <v>0</v>
      </c>
      <c r="I16" s="11">
        <f>COUNTIFS(Beans!B:B, A16, Beans!A:A, "&gt;=2022-3-1", Beans!A:A,"&lt;2022-4-1" )</f>
        <v>0</v>
      </c>
      <c r="J16" s="11">
        <f>COUNTIFS(Beans!B:B, A16, Beans!A:A, "&gt;=2022-4-1", Beans!A:A,"&lt;2022-5-1" )</f>
        <v>0</v>
      </c>
      <c r="K16" s="7">
        <f>COUNTIFS(Beans!B:B, A16, Beans!A:A, "&gt;=2022-5-1", Beans!A:A,"&lt;2022-6-1" )</f>
        <v>0</v>
      </c>
      <c r="L16" s="11">
        <f>COUNTIFS(Beans!B:B, A16, Beans!A:A, "&gt;=2022-6-1", Beans!A:A,"&lt;2022-7-1" )</f>
        <v>0</v>
      </c>
      <c r="M16" s="11">
        <f>COUNTIFS(Beans!B:B, A16, Beans!A:A, "&gt;=2022-7-1", Beans!A:A,"&lt;2022-8-1" )</f>
        <v>0</v>
      </c>
      <c r="N16" s="7">
        <f>COUNTIFS(Beans!B:B, A16, Beans!A:A, "&gt;=2022-8-1", Beans!A:A,"&lt;2022-9-1" )</f>
        <v>0</v>
      </c>
      <c r="O16" s="11">
        <f>COUNTIFS(Beans!B:B, A16, Beans!A:A, "&gt;=2022-9-1", Beans!A:A,"&lt;2022-10-1" )</f>
        <v>0</v>
      </c>
      <c r="P16" s="11">
        <f>COUNTIFS(Beans!B:B, A16, Beans!A:A, "&gt;=2022-10-1", Beans!A:A,"&lt;2022-11-1" )</f>
        <v>1</v>
      </c>
      <c r="Q16" s="7">
        <f>COUNTIFS(Beans!B:B, A16, Beans!A:A, "&gt;=2022-11-1", Beans!A:A,"&lt;2022-12-1" )</f>
        <v>0</v>
      </c>
      <c r="R16" s="15">
        <f>COUNTIFS(Beans!B:B, A16, Beans!A:A, "&gt;=2022-12-1", Beans!A:A,"&lt;2023-1-1" )</f>
        <v>0</v>
      </c>
    </row>
    <row r="17" ht="30.75" customHeight="1">
      <c r="A17" s="9" t="s">
        <v>63</v>
      </c>
      <c r="B17" s="6" t="s">
        <v>21</v>
      </c>
      <c r="C17" s="10" t="s">
        <v>102</v>
      </c>
      <c r="D17" s="11"/>
      <c r="E17" s="11">
        <f t="shared" si="1"/>
        <v>9</v>
      </c>
      <c r="F17" s="12">
        <f>E17/(E16+E17)</f>
        <v>0.9</v>
      </c>
      <c r="G17" s="11">
        <f>COUNTIFS(Beans!B:B, A17, Beans!A:A, "&gt;=2022-1-1", Beans!A:A,"&lt;2022-2-1" )</f>
        <v>0</v>
      </c>
      <c r="H17" s="7">
        <f>COUNTIFS(Beans!B:B, A17, Beans!A:A, "&gt;=2022-2-1", Beans!A:A,"&lt;2022-3-1" )</f>
        <v>0</v>
      </c>
      <c r="I17" s="11">
        <f>COUNTIFS(Beans!B:B, A17, Beans!A:A, "&gt;=2022-3-1", Beans!A:A,"&lt;2022-4-1" )</f>
        <v>0</v>
      </c>
      <c r="J17" s="11">
        <f>COUNTIFS(Beans!B:B, A17, Beans!A:A, "&gt;=2022-4-1", Beans!A:A,"&lt;2022-5-1" )</f>
        <v>0</v>
      </c>
      <c r="K17" s="7">
        <f>COUNTIFS(Beans!B:B, A17, Beans!A:A, "&gt;=2022-5-1", Beans!A:A,"&lt;2022-6-1" )</f>
        <v>0</v>
      </c>
      <c r="L17" s="11">
        <f>COUNTIFS(Beans!B:B, A17, Beans!A:A, "&gt;=2022-6-1", Beans!A:A,"&lt;2022-7-1" )</f>
        <v>0</v>
      </c>
      <c r="M17" s="11">
        <f>COUNTIFS(Beans!B:B, A17, Beans!A:A, "&gt;=2022-7-1", Beans!A:A,"&lt;2022-8-1" )</f>
        <v>0</v>
      </c>
      <c r="N17" s="7">
        <f>COUNTIFS(Beans!B:B, A17, Beans!A:A, "&gt;=2022-8-1", Beans!A:A,"&lt;2022-9-1" )</f>
        <v>0</v>
      </c>
      <c r="O17" s="11">
        <f>COUNTIFS(Beans!B:B, A17, Beans!A:A, "&gt;=2022-9-1", Beans!A:A,"&lt;2022-10-1" )</f>
        <v>0</v>
      </c>
      <c r="P17" s="11">
        <f>COUNTIFS(Beans!B:B, A17, Beans!A:A, "&gt;=2022-10-1", Beans!A:A,"&lt;2022-11-1" )</f>
        <v>0</v>
      </c>
      <c r="Q17" s="7">
        <f>COUNTIFS(Beans!B:B, A17, Beans!A:A, "&gt;=2022-11-1", Beans!A:A,"&lt;2022-12-1" )</f>
        <v>1</v>
      </c>
      <c r="R17" s="15">
        <f>COUNTIFS(Beans!B:B, A17, Beans!A:A, "&gt;=2022-12-1", Beans!A:A,"&lt;2023-1-1" )</f>
        <v>8</v>
      </c>
    </row>
    <row r="18" ht="30.75" customHeight="1">
      <c r="A18" s="9" t="s">
        <v>85</v>
      </c>
      <c r="B18" s="6" t="s">
        <v>16</v>
      </c>
      <c r="C18" s="10" t="s">
        <v>96</v>
      </c>
      <c r="D18" s="11" t="str">
        <f>D19</f>
        <v/>
      </c>
      <c r="E18" s="11">
        <f t="shared" si="1"/>
        <v>2</v>
      </c>
      <c r="F18" s="12">
        <f>E18/(E18+E19)</f>
        <v>0.4</v>
      </c>
      <c r="G18" s="11">
        <f>COUNTIFS(Beans!B:B, A18, Beans!A:A, "&gt;=2022-1-1", Beans!A:A,"&lt;2022-2-1" )</f>
        <v>0</v>
      </c>
      <c r="H18" s="7">
        <f>COUNTIFS(Beans!B:B, A18, Beans!A:A, "&gt;=2022-2-1", Beans!A:A,"&lt;2022-3-1" )</f>
        <v>0</v>
      </c>
      <c r="I18" s="11">
        <f>COUNTIFS(Beans!B:B, A18, Beans!A:A, "&gt;=2022-3-1", Beans!A:A,"&lt;2022-4-1" )</f>
        <v>0</v>
      </c>
      <c r="J18" s="11">
        <f>COUNTIFS(Beans!B:B, A18, Beans!A:A, "&gt;=2022-4-1", Beans!A:A,"&lt;2022-5-1" )</f>
        <v>0</v>
      </c>
      <c r="K18" s="7">
        <f>COUNTIFS(Beans!B:B, A18, Beans!A:A, "&gt;=2022-5-1", Beans!A:A,"&lt;2022-6-1" )</f>
        <v>0</v>
      </c>
      <c r="L18" s="11">
        <f>COUNTIFS(Beans!B:B, A18, Beans!A:A, "&gt;=2022-6-1", Beans!A:A,"&lt;2022-7-1" )</f>
        <v>0</v>
      </c>
      <c r="M18" s="11">
        <f>COUNTIFS(Beans!B:B, A18, Beans!A:A, "&gt;=2022-7-1", Beans!A:A,"&lt;2022-8-1" )</f>
        <v>0</v>
      </c>
      <c r="N18" s="7">
        <f>COUNTIFS(Beans!B:B, A18, Beans!A:A, "&gt;=2022-8-1", Beans!A:A,"&lt;2022-9-1" )</f>
        <v>0</v>
      </c>
      <c r="O18" s="11">
        <f>COUNTIFS(Beans!B:B, A18, Beans!A:A, "&gt;=2022-9-1", Beans!A:A,"&lt;2022-10-1" )</f>
        <v>0</v>
      </c>
      <c r="P18" s="11">
        <f>COUNTIFS(Beans!B:B, A18, Beans!A:A, "&gt;=2022-10-1", Beans!A:A,"&lt;2022-11-1" )</f>
        <v>0</v>
      </c>
      <c r="Q18" s="7">
        <f>COUNTIFS(Beans!B:B, A18, Beans!A:A, "&gt;=2022-11-1", Beans!A:A,"&lt;2022-12-1" )</f>
        <v>2</v>
      </c>
      <c r="R18" s="15">
        <f>COUNTIFS(Beans!B:B, A18, Beans!A:A, "&gt;=2022-12-1", Beans!A:A,"&lt;2023-1-1" )</f>
        <v>0</v>
      </c>
    </row>
    <row r="19" ht="31.5" customHeight="1">
      <c r="A19" s="9" t="s">
        <v>51</v>
      </c>
      <c r="B19" s="6" t="s">
        <v>21</v>
      </c>
      <c r="C19" s="10" t="s">
        <v>96</v>
      </c>
      <c r="D19" s="11"/>
      <c r="E19" s="11">
        <f t="shared" si="1"/>
        <v>3</v>
      </c>
      <c r="F19" s="12">
        <f>E19/(E18+E19)</f>
        <v>0.6</v>
      </c>
      <c r="G19" s="11">
        <f>COUNTIFS(Beans!B:B, A19, Beans!A:A, "&gt;=2022-1-1", Beans!A:A,"&lt;2022-2-1" )</f>
        <v>0</v>
      </c>
      <c r="H19" s="7">
        <f>COUNTIFS(Beans!B:B, A19, Beans!A:A, "&gt;=2022-2-1", Beans!A:A,"&lt;2022-3-1" )</f>
        <v>0</v>
      </c>
      <c r="I19" s="11">
        <f>COUNTIFS(Beans!B:B, A19, Beans!A:A, "&gt;=2022-3-1", Beans!A:A,"&lt;2022-4-1" )</f>
        <v>0</v>
      </c>
      <c r="J19" s="11">
        <f>COUNTIFS(Beans!B:B, A19, Beans!A:A, "&gt;=2022-4-1", Beans!A:A,"&lt;2022-5-1" )</f>
        <v>0</v>
      </c>
      <c r="K19" s="7">
        <f>COUNTIFS(Beans!B:B, A19, Beans!A:A, "&gt;=2022-5-1", Beans!A:A,"&lt;2022-6-1" )</f>
        <v>0</v>
      </c>
      <c r="L19" s="11">
        <f>COUNTIFS(Beans!B:B, A19, Beans!A:A, "&gt;=2022-6-1", Beans!A:A,"&lt;2022-7-1" )</f>
        <v>0</v>
      </c>
      <c r="M19" s="11">
        <f>COUNTIFS(Beans!B:B, A19, Beans!A:A, "&gt;=2022-7-1", Beans!A:A,"&lt;2022-8-1" )</f>
        <v>0</v>
      </c>
      <c r="N19" s="7">
        <f>COUNTIFS(Beans!B:B, A19, Beans!A:A, "&gt;=2022-8-1", Beans!A:A,"&lt;2022-9-1" )</f>
        <v>0</v>
      </c>
      <c r="O19" s="11">
        <f>COUNTIFS(Beans!B:B, A19, Beans!A:A, "&gt;=2022-9-1", Beans!A:A,"&lt;2022-10-1" )</f>
        <v>0</v>
      </c>
      <c r="P19" s="11">
        <f>COUNTIFS(Beans!B:B, A19, Beans!A:A, "&gt;=2022-10-1", Beans!A:A,"&lt;2022-11-1" )</f>
        <v>1</v>
      </c>
      <c r="Q19" s="7">
        <f>COUNTIFS(Beans!B:B, A19, Beans!A:A, "&gt;=2022-11-1", Beans!A:A,"&lt;2022-12-1" )</f>
        <v>2</v>
      </c>
      <c r="R19" s="15">
        <f>COUNTIFS(Beans!B:B, A19, Beans!A:A, "&gt;=2022-12-1", Beans!A:A,"&lt;2023-1-1" )</f>
        <v>0</v>
      </c>
    </row>
    <row r="20" ht="47.25" customHeight="1">
      <c r="A20" s="9" t="s">
        <v>67</v>
      </c>
      <c r="B20" s="6" t="s">
        <v>16</v>
      </c>
      <c r="C20" s="10" t="s">
        <v>35</v>
      </c>
      <c r="D20" s="11" t="str">
        <f>D21</f>
        <v/>
      </c>
      <c r="E20" s="11">
        <f t="shared" si="1"/>
        <v>2</v>
      </c>
      <c r="F20" s="12">
        <f>E20/(E20+E21)</f>
        <v>0.5</v>
      </c>
      <c r="G20" s="11">
        <f>COUNTIFS(Beans!B:B, A20, Beans!A:A, "&gt;=2022-1-1", Beans!A:A,"&lt;2022-2-1" )</f>
        <v>0</v>
      </c>
      <c r="H20" s="7">
        <f>COUNTIFS(Beans!B:B, A20, Beans!A:A, "&gt;=2022-2-1", Beans!A:A,"&lt;2022-3-1" )</f>
        <v>0</v>
      </c>
      <c r="I20" s="11">
        <f>COUNTIFS(Beans!B:B, A20, Beans!A:A, "&gt;=2022-3-1", Beans!A:A,"&lt;2022-4-1" )</f>
        <v>0</v>
      </c>
      <c r="J20" s="11">
        <f>COUNTIFS(Beans!B:B, A20, Beans!A:A, "&gt;=2022-4-1", Beans!A:A,"&lt;2022-5-1" )</f>
        <v>0</v>
      </c>
      <c r="K20" s="7">
        <f>COUNTIFS(Beans!B:B, A20, Beans!A:A, "&gt;=2022-5-1", Beans!A:A,"&lt;2022-6-1" )</f>
        <v>0</v>
      </c>
      <c r="L20" s="11">
        <f>COUNTIFS(Beans!B:B, A20, Beans!A:A, "&gt;=2022-6-1", Beans!A:A,"&lt;2022-7-1" )</f>
        <v>0</v>
      </c>
      <c r="M20" s="11">
        <f>COUNTIFS(Beans!B:B, A20, Beans!A:A, "&gt;=2022-7-1", Beans!A:A,"&lt;2022-8-1" )</f>
        <v>0</v>
      </c>
      <c r="N20" s="7">
        <f>COUNTIFS(Beans!B:B, A20, Beans!A:A, "&gt;=2022-8-1", Beans!A:A,"&lt;2022-9-1" )</f>
        <v>0</v>
      </c>
      <c r="O20" s="11">
        <f>COUNTIFS(Beans!B:B, A20, Beans!A:A, "&gt;=2022-9-1", Beans!A:A,"&lt;2022-10-1" )</f>
        <v>0</v>
      </c>
      <c r="P20" s="11">
        <f>COUNTIFS(Beans!B:B, A20, Beans!A:A, "&gt;=2022-10-1", Beans!A:A,"&lt;2022-11-1" )</f>
        <v>0</v>
      </c>
      <c r="Q20" s="7">
        <f>COUNTIFS(Beans!B:B, A20, Beans!A:A, "&gt;=2022-11-1", Beans!A:A,"&lt;2022-12-1" )</f>
        <v>1</v>
      </c>
      <c r="R20" s="15">
        <f>COUNTIFS(Beans!B:B, A20, Beans!A:A, "&gt;=2022-12-1", Beans!A:A,"&lt;2023-1-1" )</f>
        <v>1</v>
      </c>
    </row>
    <row r="21" ht="49.5" customHeight="1">
      <c r="A21" s="9" t="s">
        <v>72</v>
      </c>
      <c r="B21" s="6" t="s">
        <v>21</v>
      </c>
      <c r="C21" s="10" t="s">
        <v>35</v>
      </c>
      <c r="D21" s="11"/>
      <c r="E21" s="11">
        <f t="shared" si="1"/>
        <v>2</v>
      </c>
      <c r="F21" s="12">
        <f>E21/(E20+E21)</f>
        <v>0.5</v>
      </c>
      <c r="G21" s="11">
        <f>COUNTIFS(Beans!B:B, A21, Beans!A:A, "&gt;=2022-1-1", Beans!A:A,"&lt;2022-2-1" )</f>
        <v>0</v>
      </c>
      <c r="H21" s="7">
        <f>COUNTIFS(Beans!B:B, A21, Beans!A:A, "&gt;=2022-2-1", Beans!A:A,"&lt;2022-3-1" )</f>
        <v>0</v>
      </c>
      <c r="I21" s="11">
        <f>COUNTIFS(Beans!B:B, A21, Beans!A:A, "&gt;=2022-3-1", Beans!A:A,"&lt;2022-4-1" )</f>
        <v>0</v>
      </c>
      <c r="J21" s="11">
        <f>COUNTIFS(Beans!B:B, A21, Beans!A:A, "&gt;=2022-4-1", Beans!A:A,"&lt;2022-5-1" )</f>
        <v>0</v>
      </c>
      <c r="K21" s="7">
        <f>COUNTIFS(Beans!B:B, A21, Beans!A:A, "&gt;=2022-5-1", Beans!A:A,"&lt;2022-6-1" )</f>
        <v>0</v>
      </c>
      <c r="L21" s="11">
        <f>COUNTIFS(Beans!B:B, A21, Beans!A:A, "&gt;=2022-6-1", Beans!A:A,"&lt;2022-7-1" )</f>
        <v>0</v>
      </c>
      <c r="M21" s="11">
        <f>COUNTIFS(Beans!B:B, A21, Beans!A:A, "&gt;=2022-7-1", Beans!A:A,"&lt;2022-8-1" )</f>
        <v>0</v>
      </c>
      <c r="N21" s="7">
        <f>COUNTIFS(Beans!B:B, A21, Beans!A:A, "&gt;=2022-8-1", Beans!A:A,"&lt;2022-9-1" )</f>
        <v>0</v>
      </c>
      <c r="O21" s="11">
        <f>COUNTIFS(Beans!B:B, A21, Beans!A:A, "&gt;=2022-9-1", Beans!A:A,"&lt;2022-10-1" )</f>
        <v>0</v>
      </c>
      <c r="P21" s="11">
        <f>COUNTIFS(Beans!B:B, A21, Beans!A:A, "&gt;=2022-10-1", Beans!A:A,"&lt;2022-11-1" )</f>
        <v>0</v>
      </c>
      <c r="Q21" s="7">
        <f>COUNTIFS(Beans!B:B, A21, Beans!A:A, "&gt;=2022-11-1", Beans!A:A,"&lt;2022-12-1" )</f>
        <v>2</v>
      </c>
      <c r="R21" s="15">
        <f>COUNTIFS(Beans!B:B, A21, Beans!A:A, "&gt;=2022-12-1", Beans!A:A,"&lt;2023-1-1" )</f>
        <v>0</v>
      </c>
    </row>
    <row r="22" ht="33.75" customHeight="1">
      <c r="A22" s="9" t="s">
        <v>118</v>
      </c>
      <c r="B22" s="6" t="s">
        <v>16</v>
      </c>
      <c r="C22" s="10" t="s">
        <v>119</v>
      </c>
      <c r="D22" s="11" t="str">
        <f>D23</f>
        <v/>
      </c>
      <c r="E22" s="11">
        <f t="shared" si="1"/>
        <v>0</v>
      </c>
      <c r="F22" s="12" t="str">
        <f>E22/(E22+E23)</f>
        <v>#DIV/0!</v>
      </c>
      <c r="G22" s="11">
        <f>COUNTIFS(Beans!B:B, A22, Beans!A:A, "&gt;=2022-1-1", Beans!A:A,"&lt;2022-2-1" )</f>
        <v>0</v>
      </c>
      <c r="H22" s="7">
        <f>COUNTIFS(Beans!B:B, A22, Beans!A:A, "&gt;=2022-2-1", Beans!A:A,"&lt;2022-3-1" )</f>
        <v>0</v>
      </c>
      <c r="I22" s="11">
        <f>COUNTIFS(Beans!B:B, A22, Beans!A:A, "&gt;=2022-3-1", Beans!A:A,"&lt;2022-4-1" )</f>
        <v>0</v>
      </c>
      <c r="J22" s="11">
        <f>COUNTIFS(Beans!B:B, A22, Beans!A:A, "&gt;=2022-4-1", Beans!A:A,"&lt;2022-5-1" )</f>
        <v>0</v>
      </c>
      <c r="K22" s="7">
        <f>COUNTIFS(Beans!B:B, A22, Beans!A:A, "&gt;=2022-5-1", Beans!A:A,"&lt;2022-6-1" )</f>
        <v>0</v>
      </c>
      <c r="L22" s="11">
        <f>COUNTIFS(Beans!B:B, A22, Beans!A:A, "&gt;=2022-6-1", Beans!A:A,"&lt;2022-7-1" )</f>
        <v>0</v>
      </c>
      <c r="M22" s="11">
        <f>COUNTIFS(Beans!B:B, A22, Beans!A:A, "&gt;=2022-7-1", Beans!A:A,"&lt;2022-8-1" )</f>
        <v>0</v>
      </c>
      <c r="N22" s="7">
        <f>COUNTIFS(Beans!B:B, A22, Beans!A:A, "&gt;=2022-8-1", Beans!A:A,"&lt;2022-9-1" )</f>
        <v>0</v>
      </c>
      <c r="O22" s="11">
        <f>COUNTIFS(Beans!B:B, A22, Beans!A:A, "&gt;=2022-9-1", Beans!A:A,"&lt;2022-10-1" )</f>
        <v>0</v>
      </c>
      <c r="P22" s="11">
        <f>COUNTIFS(Beans!B:B, A22, Beans!A:A, "&gt;=2022-10-1", Beans!A:A,"&lt;2022-11-1" )</f>
        <v>0</v>
      </c>
      <c r="Q22" s="7">
        <f>COUNTIFS(Beans!B:B, A22, Beans!A:A, "&gt;=2022-11-1", Beans!A:A,"&lt;2022-12-1" )</f>
        <v>0</v>
      </c>
      <c r="R22" s="15">
        <f>COUNTIFS(Beans!B:B, A22, Beans!A:A, "&gt;=2022-12-1", Beans!A:A,"&lt;2023-1-1" )</f>
        <v>0</v>
      </c>
    </row>
    <row r="23" ht="31.5" customHeight="1">
      <c r="A23" s="9" t="s">
        <v>122</v>
      </c>
      <c r="B23" s="6" t="s">
        <v>21</v>
      </c>
      <c r="C23" s="10" t="s">
        <v>119</v>
      </c>
      <c r="D23" s="11"/>
      <c r="E23" s="11">
        <f t="shared" si="1"/>
        <v>0</v>
      </c>
      <c r="F23" s="12" t="str">
        <f>E23/(E22+E23)</f>
        <v>#DIV/0!</v>
      </c>
      <c r="G23" s="11">
        <f>COUNTIFS(Beans!B:B, A23, Beans!A:A, "&gt;=2022-1-1", Beans!A:A,"&lt;2022-2-1" )</f>
        <v>0</v>
      </c>
      <c r="H23" s="7">
        <f>COUNTIFS(Beans!B:B, A23, Beans!A:A, "&gt;=2022-2-1", Beans!A:A,"&lt;2022-3-1" )</f>
        <v>0</v>
      </c>
      <c r="I23" s="11">
        <f>COUNTIFS(Beans!B:B, A23, Beans!A:A, "&gt;=2022-3-1", Beans!A:A,"&lt;2022-4-1" )</f>
        <v>0</v>
      </c>
      <c r="J23" s="11">
        <f>COUNTIFS(Beans!B:B, A23, Beans!A:A, "&gt;=2022-4-1", Beans!A:A,"&lt;2022-5-1" )</f>
        <v>0</v>
      </c>
      <c r="K23" s="7">
        <f>COUNTIFS(Beans!B:B, A23, Beans!A:A, "&gt;=2022-5-1", Beans!A:A,"&lt;2022-6-1" )</f>
        <v>0</v>
      </c>
      <c r="L23" s="11">
        <f>COUNTIFS(Beans!B:B, A23, Beans!A:A, "&gt;=2022-6-1", Beans!A:A,"&lt;2022-7-1" )</f>
        <v>0</v>
      </c>
      <c r="M23" s="11">
        <f>COUNTIFS(Beans!B:B, A23, Beans!A:A, "&gt;=2022-7-1", Beans!A:A,"&lt;2022-8-1" )</f>
        <v>0</v>
      </c>
      <c r="N23" s="7">
        <f>COUNTIFS(Beans!B:B, A23, Beans!A:A, "&gt;=2022-8-1", Beans!A:A,"&lt;2022-9-1" )</f>
        <v>0</v>
      </c>
      <c r="O23" s="11">
        <f>COUNTIFS(Beans!B:B, A23, Beans!A:A, "&gt;=2022-9-1", Beans!A:A,"&lt;2022-10-1" )</f>
        <v>0</v>
      </c>
      <c r="P23" s="11">
        <f>COUNTIFS(Beans!B:B, A23, Beans!A:A, "&gt;=2022-10-1", Beans!A:A,"&lt;2022-11-1" )</f>
        <v>0</v>
      </c>
      <c r="Q23" s="7">
        <f>COUNTIFS(Beans!B:B, A23, Beans!A:A, "&gt;=2022-11-1", Beans!A:A,"&lt;2022-12-1" )</f>
        <v>0</v>
      </c>
      <c r="R23" s="15">
        <f>COUNTIFS(Beans!B:B, A23, Beans!A:A, "&gt;=2022-12-1", Beans!A:A,"&lt;2023-1-1" )</f>
        <v>0</v>
      </c>
    </row>
    <row r="24" ht="35.25" customHeight="1">
      <c r="A24" s="9" t="s">
        <v>124</v>
      </c>
      <c r="B24" s="6" t="s">
        <v>16</v>
      </c>
      <c r="C24" s="10" t="s">
        <v>125</v>
      </c>
      <c r="D24" s="11" t="str">
        <f>D25</f>
        <v/>
      </c>
      <c r="E24" s="11">
        <f t="shared" si="1"/>
        <v>0</v>
      </c>
      <c r="F24" s="12" t="str">
        <f>E24/(E24+E25)</f>
        <v>#DIV/0!</v>
      </c>
      <c r="G24" s="11">
        <f>COUNTIFS(Beans!B:B, A24, Beans!A:A, "&gt;=2022-1-1", Beans!A:A,"&lt;2022-2-1" )</f>
        <v>0</v>
      </c>
      <c r="H24" s="7">
        <f>COUNTIFS(Beans!B:B, A24, Beans!A:A, "&gt;=2022-2-1", Beans!A:A,"&lt;2022-3-1" )</f>
        <v>0</v>
      </c>
      <c r="I24" s="11">
        <f>COUNTIFS(Beans!B:B, A24, Beans!A:A, "&gt;=2022-3-1", Beans!A:A,"&lt;2022-4-1" )</f>
        <v>0</v>
      </c>
      <c r="J24" s="11">
        <f>COUNTIFS(Beans!B:B, A24, Beans!A:A, "&gt;=2022-4-1", Beans!A:A,"&lt;2022-5-1" )</f>
        <v>0</v>
      </c>
      <c r="K24" s="7">
        <f>COUNTIFS(Beans!B:B, A24, Beans!A:A, "&gt;=2022-5-1", Beans!A:A,"&lt;2022-6-1" )</f>
        <v>0</v>
      </c>
      <c r="L24" s="11">
        <f>COUNTIFS(Beans!B:B, A24, Beans!A:A, "&gt;=2022-6-1", Beans!A:A,"&lt;2022-7-1" )</f>
        <v>0</v>
      </c>
      <c r="M24" s="11">
        <f>COUNTIFS(Beans!B:B, A24, Beans!A:A, "&gt;=2022-7-1", Beans!A:A,"&lt;2022-8-1" )</f>
        <v>0</v>
      </c>
      <c r="N24" s="7">
        <f>COUNTIFS(Beans!B:B, A24, Beans!A:A, "&gt;=2022-8-1", Beans!A:A,"&lt;2022-9-1" )</f>
        <v>0</v>
      </c>
      <c r="O24" s="11">
        <f>COUNTIFS(Beans!B:B, A24, Beans!A:A, "&gt;=2022-9-1", Beans!A:A,"&lt;2022-10-1" )</f>
        <v>0</v>
      </c>
      <c r="P24" s="11">
        <f>COUNTIFS(Beans!B:B, A24, Beans!A:A, "&gt;=2022-10-1", Beans!A:A,"&lt;2022-11-1" )</f>
        <v>0</v>
      </c>
      <c r="Q24" s="7">
        <f>COUNTIFS(Beans!B:B, A24, Beans!A:A, "&gt;=2022-11-1", Beans!A:A,"&lt;2022-12-1" )</f>
        <v>0</v>
      </c>
      <c r="R24" s="15">
        <f>COUNTIFS(Beans!B:B, A24, Beans!A:A, "&gt;=2022-12-1", Beans!A:A,"&lt;2023-1-1" )</f>
        <v>0</v>
      </c>
    </row>
    <row r="25" ht="36.0" customHeight="1">
      <c r="A25" s="9" t="s">
        <v>127</v>
      </c>
      <c r="B25" s="6" t="s">
        <v>21</v>
      </c>
      <c r="C25" s="10" t="s">
        <v>125</v>
      </c>
      <c r="D25" s="11"/>
      <c r="E25" s="11">
        <f t="shared" si="1"/>
        <v>0</v>
      </c>
      <c r="F25" s="12" t="str">
        <f>E25/(E24+E25)</f>
        <v>#DIV/0!</v>
      </c>
      <c r="G25" s="11">
        <f>COUNTIFS(Beans!B:B, A25, Beans!A:A, "&gt;=2022-1-1", Beans!A:A,"&lt;2022-2-1" )</f>
        <v>0</v>
      </c>
      <c r="H25" s="7">
        <f>COUNTIFS(Beans!B:B, A25, Beans!A:A, "&gt;=2022-2-1", Beans!A:A,"&lt;2022-3-1" )</f>
        <v>0</v>
      </c>
      <c r="I25" s="11">
        <f>COUNTIFS(Beans!B:B, A25, Beans!A:A, "&gt;=2022-3-1", Beans!A:A,"&lt;2022-4-1" )</f>
        <v>0</v>
      </c>
      <c r="J25" s="11">
        <f>COUNTIFS(Beans!B:B, A25, Beans!A:A, "&gt;=2022-4-1", Beans!A:A,"&lt;2022-5-1" )</f>
        <v>0</v>
      </c>
      <c r="K25" s="7">
        <f>COUNTIFS(Beans!B:B, A25, Beans!A:A, "&gt;=2022-5-1", Beans!A:A,"&lt;2022-6-1" )</f>
        <v>0</v>
      </c>
      <c r="L25" s="11">
        <f>COUNTIFS(Beans!B:B, A25, Beans!A:A, "&gt;=2022-6-1", Beans!A:A,"&lt;2022-7-1" )</f>
        <v>0</v>
      </c>
      <c r="M25" s="11">
        <f>COUNTIFS(Beans!B:B, A25, Beans!A:A, "&gt;=2022-7-1", Beans!A:A,"&lt;2022-8-1" )</f>
        <v>0</v>
      </c>
      <c r="N25" s="7">
        <f>COUNTIFS(Beans!B:B, A25, Beans!A:A, "&gt;=2022-8-1", Beans!A:A,"&lt;2022-9-1" )</f>
        <v>0</v>
      </c>
      <c r="O25" s="11">
        <f>COUNTIFS(Beans!B:B, A25, Beans!A:A, "&gt;=2022-9-1", Beans!A:A,"&lt;2022-10-1" )</f>
        <v>0</v>
      </c>
      <c r="P25" s="11">
        <f>COUNTIFS(Beans!B:B, A25, Beans!A:A, "&gt;=2022-10-1", Beans!A:A,"&lt;2022-11-1" )</f>
        <v>0</v>
      </c>
      <c r="Q25" s="7">
        <f>COUNTIFS(Beans!B:B, A25, Beans!A:A, "&gt;=2022-11-1", Beans!A:A,"&lt;2022-12-1" )</f>
        <v>0</v>
      </c>
      <c r="R25" s="15">
        <f>COUNTIFS(Beans!B:B, A25, Beans!A:A, "&gt;=2022-12-1", Beans!A:A,"&lt;2023-1-1" )</f>
        <v>0</v>
      </c>
    </row>
    <row r="26" ht="44.25" customHeight="1">
      <c r="A26" s="9" t="s">
        <v>137</v>
      </c>
      <c r="B26" s="6" t="s">
        <v>27</v>
      </c>
      <c r="C26" s="51" t="s">
        <v>138</v>
      </c>
      <c r="D26" s="6"/>
      <c r="E26" s="11">
        <f t="shared" si="1"/>
        <v>0</v>
      </c>
      <c r="F26" s="12">
        <f>E26/(E26+E27+E27+E28+E29+E30)</f>
        <v>0</v>
      </c>
      <c r="G26" s="11">
        <f>COUNTIFS(Beans!B:B, A26, Beans!A:A, "&gt;=2022-1-1", Beans!A:A,"&lt;2022-2-1" )</f>
        <v>0</v>
      </c>
      <c r="H26" s="7">
        <f>COUNTIFS(Beans!B:B, A26, Beans!A:A, "&gt;=2022-2-1", Beans!A:A,"&lt;2022-3-1" )</f>
        <v>0</v>
      </c>
      <c r="I26" s="11">
        <f>COUNTIFS(Beans!B:B, A26, Beans!A:A, "&gt;=2022-3-1", Beans!A:A,"&lt;2022-4-1" )</f>
        <v>0</v>
      </c>
      <c r="J26" s="11">
        <f>COUNTIFS(Beans!B:B, A26, Beans!A:A, "&gt;=2022-4-1", Beans!A:A,"&lt;2022-5-1" )</f>
        <v>0</v>
      </c>
      <c r="K26" s="7">
        <f>COUNTIFS(Beans!B:B, A26, Beans!A:A, "&gt;=2022-5-1", Beans!A:A,"&lt;2022-6-1" )</f>
        <v>0</v>
      </c>
      <c r="L26" s="11">
        <f>COUNTIFS(Beans!B:B, A26, Beans!A:A, "&gt;=2022-6-1", Beans!A:A,"&lt;2022-7-1" )</f>
        <v>0</v>
      </c>
      <c r="M26" s="11">
        <f>COUNTIFS(Beans!B:B, A26, Beans!A:A, "&gt;=2022-7-1", Beans!A:A,"&lt;2022-8-1" )</f>
        <v>0</v>
      </c>
      <c r="N26" s="7">
        <f>COUNTIFS(Beans!B:B, A26, Beans!A:A, "&gt;=2022-8-1", Beans!A:A,"&lt;2022-9-1" )</f>
        <v>0</v>
      </c>
      <c r="O26" s="11">
        <f>COUNTIFS(Beans!B:B, A26, Beans!A:A, "&gt;=2022-9-1", Beans!A:A,"&lt;2022-10-1" )</f>
        <v>0</v>
      </c>
      <c r="P26" s="11">
        <f>COUNTIFS(Beans!B:B, A26, Beans!A:A, "&gt;=2022-10-1", Beans!A:A,"&lt;2022-11-1" )</f>
        <v>0</v>
      </c>
      <c r="Q26" s="7">
        <f>COUNTIFS(Beans!B:B, A26, Beans!A:A, "&gt;=2022-11-1", Beans!A:A,"&lt;2022-12-1" )</f>
        <v>0</v>
      </c>
      <c r="R26" s="15">
        <f>COUNTIFS(Beans!B:B, A26, Beans!A:A, "&gt;=2022-12-1", Beans!A:A,"&lt;2023-1-1" )</f>
        <v>0</v>
      </c>
    </row>
    <row r="27" ht="45.75" customHeight="1">
      <c r="A27" s="9" t="s">
        <v>139</v>
      </c>
      <c r="B27" s="6" t="s">
        <v>27</v>
      </c>
      <c r="C27" s="51" t="s">
        <v>138</v>
      </c>
      <c r="D27" s="7"/>
      <c r="E27" s="11">
        <f t="shared" si="1"/>
        <v>1</v>
      </c>
      <c r="F27" s="12">
        <f>E27/(E26+E27+E27+E28+E29+E30)</f>
        <v>0.1666666667</v>
      </c>
      <c r="G27" s="11">
        <f>COUNTIFS(Beans!B:B, A27, Beans!A:A, "&gt;=2022-1-1", Beans!A:A,"&lt;2022-2-1" )</f>
        <v>0</v>
      </c>
      <c r="H27" s="7">
        <f>COUNTIFS(Beans!B:B, A27, Beans!A:A, "&gt;=2022-2-1", Beans!A:A,"&lt;2022-3-1" )</f>
        <v>0</v>
      </c>
      <c r="I27" s="11">
        <f>COUNTIFS(Beans!B:B, A27, Beans!A:A, "&gt;=2022-3-1", Beans!A:A,"&lt;2022-4-1" )</f>
        <v>0</v>
      </c>
      <c r="J27" s="11">
        <f>COUNTIFS(Beans!B:B, A27, Beans!A:A, "&gt;=2022-4-1", Beans!A:A,"&lt;2022-5-1" )</f>
        <v>0</v>
      </c>
      <c r="K27" s="7">
        <f>COUNTIFS(Beans!B:B, A27, Beans!A:A, "&gt;=2022-5-1", Beans!A:A,"&lt;2022-6-1" )</f>
        <v>0</v>
      </c>
      <c r="L27" s="11">
        <f>COUNTIFS(Beans!B:B, A27, Beans!A:A, "&gt;=2022-6-1", Beans!A:A,"&lt;2022-7-1" )</f>
        <v>0</v>
      </c>
      <c r="M27" s="11">
        <f>COUNTIFS(Beans!B:B, A27, Beans!A:A, "&gt;=2022-7-1", Beans!A:A,"&lt;2022-8-1" )</f>
        <v>0</v>
      </c>
      <c r="N27" s="7">
        <f>COUNTIFS(Beans!B:B, A27, Beans!A:A, "&gt;=2022-8-1", Beans!A:A,"&lt;2022-9-1" )</f>
        <v>0</v>
      </c>
      <c r="O27" s="11">
        <f>COUNTIFS(Beans!B:B, A27, Beans!A:A, "&gt;=2022-9-1", Beans!A:A,"&lt;2022-10-1" )</f>
        <v>0</v>
      </c>
      <c r="P27" s="11">
        <f>COUNTIFS(Beans!B:B, A27, Beans!A:A, "&gt;=2022-10-1", Beans!A:A,"&lt;2022-11-1" )</f>
        <v>0</v>
      </c>
      <c r="Q27" s="7">
        <f>COUNTIFS(Beans!B:B, A27, Beans!A:A, "&gt;=2022-11-1", Beans!A:A,"&lt;2022-12-1" )</f>
        <v>0</v>
      </c>
      <c r="R27" s="15">
        <f>COUNTIFS(Beans!B:B, A27, Beans!A:A, "&gt;=2022-12-1", Beans!A:A,"&lt;2023-1-1" )</f>
        <v>1</v>
      </c>
    </row>
    <row r="28" ht="46.5" customHeight="1">
      <c r="A28" s="9" t="s">
        <v>140</v>
      </c>
      <c r="B28" s="6" t="s">
        <v>27</v>
      </c>
      <c r="C28" s="51" t="s">
        <v>138</v>
      </c>
      <c r="D28" s="7"/>
      <c r="E28" s="11">
        <f t="shared" si="1"/>
        <v>1</v>
      </c>
      <c r="F28" s="12">
        <f>E28/(E26+E27+E27+E28+E29+E30)</f>
        <v>0.1666666667</v>
      </c>
      <c r="G28" s="11">
        <f>COUNTIFS(Beans!B:B, A28, Beans!A:A, "&gt;=2022-1-1", Beans!A:A,"&lt;2022-2-1" )</f>
        <v>0</v>
      </c>
      <c r="H28" s="7">
        <f>COUNTIFS(Beans!B:B, A28, Beans!A:A, "&gt;=2022-2-1", Beans!A:A,"&lt;2022-3-1" )</f>
        <v>0</v>
      </c>
      <c r="I28" s="11">
        <f>COUNTIFS(Beans!B:B, A28, Beans!A:A, "&gt;=2022-3-1", Beans!A:A,"&lt;2022-4-1" )</f>
        <v>0</v>
      </c>
      <c r="J28" s="11">
        <f>COUNTIFS(Beans!B:B, A28, Beans!A:A, "&gt;=2022-4-1", Beans!A:A,"&lt;2022-5-1" )</f>
        <v>0</v>
      </c>
      <c r="K28" s="7">
        <f>COUNTIFS(Beans!B:B, A28, Beans!A:A, "&gt;=2022-5-1", Beans!A:A,"&lt;2022-6-1" )</f>
        <v>0</v>
      </c>
      <c r="L28" s="11">
        <f>COUNTIFS(Beans!B:B, A28, Beans!A:A, "&gt;=2022-6-1", Beans!A:A,"&lt;2022-7-1" )</f>
        <v>0</v>
      </c>
      <c r="M28" s="11">
        <f>COUNTIFS(Beans!B:B, A28, Beans!A:A, "&gt;=2022-7-1", Beans!A:A,"&lt;2022-8-1" )</f>
        <v>0</v>
      </c>
      <c r="N28" s="7">
        <f>COUNTIFS(Beans!B:B, A28, Beans!A:A, "&gt;=2022-8-1", Beans!A:A,"&lt;2022-9-1" )</f>
        <v>0</v>
      </c>
      <c r="O28" s="11">
        <f>COUNTIFS(Beans!B:B, A28, Beans!A:A, "&gt;=2022-9-1", Beans!A:A,"&lt;2022-10-1" )</f>
        <v>0</v>
      </c>
      <c r="P28" s="11">
        <f>COUNTIFS(Beans!B:B, A28, Beans!A:A, "&gt;=2022-10-1", Beans!A:A,"&lt;2022-11-1" )</f>
        <v>0</v>
      </c>
      <c r="Q28" s="7">
        <f>COUNTIFS(Beans!B:B, A28, Beans!A:A, "&gt;=2022-11-1", Beans!A:A,"&lt;2022-12-1" )</f>
        <v>0</v>
      </c>
      <c r="R28" s="15">
        <f>COUNTIFS(Beans!B:B, A28, Beans!A:A, "&gt;=2022-12-1", Beans!A:A,"&lt;2023-1-1" )</f>
        <v>1</v>
      </c>
    </row>
    <row r="29" ht="45.75" customHeight="1">
      <c r="A29" s="9" t="s">
        <v>141</v>
      </c>
      <c r="B29" s="6" t="s">
        <v>27</v>
      </c>
      <c r="C29" s="51" t="s">
        <v>138</v>
      </c>
      <c r="D29" s="7"/>
      <c r="E29" s="11">
        <f t="shared" si="1"/>
        <v>1</v>
      </c>
      <c r="F29" s="12">
        <f>E29/(E26+E27+E27+E28+E29+E30)</f>
        <v>0.1666666667</v>
      </c>
      <c r="G29" s="11">
        <f>COUNTIFS(Beans!B:B, A29, Beans!A:A, "&gt;=2022-1-1", Beans!A:A,"&lt;2022-2-1" )</f>
        <v>0</v>
      </c>
      <c r="H29" s="7">
        <f>COUNTIFS(Beans!B:B, A29, Beans!A:A, "&gt;=2022-2-1", Beans!A:A,"&lt;2022-3-1" )</f>
        <v>0</v>
      </c>
      <c r="I29" s="11">
        <f>COUNTIFS(Beans!B:B, A29, Beans!A:A, "&gt;=2022-3-1", Beans!A:A,"&lt;2022-4-1" )</f>
        <v>0</v>
      </c>
      <c r="J29" s="11">
        <f>COUNTIFS(Beans!B:B, A29, Beans!A:A, "&gt;=2022-4-1", Beans!A:A,"&lt;2022-5-1" )</f>
        <v>0</v>
      </c>
      <c r="K29" s="7">
        <f>COUNTIFS(Beans!B:B, A29, Beans!A:A, "&gt;=2022-5-1", Beans!A:A,"&lt;2022-6-1" )</f>
        <v>0</v>
      </c>
      <c r="L29" s="11">
        <f>COUNTIFS(Beans!B:B, A29, Beans!A:A, "&gt;=2022-6-1", Beans!A:A,"&lt;2022-7-1" )</f>
        <v>0</v>
      </c>
      <c r="M29" s="11">
        <f>COUNTIFS(Beans!B:B, A29, Beans!A:A, "&gt;=2022-7-1", Beans!A:A,"&lt;2022-8-1" )</f>
        <v>0</v>
      </c>
      <c r="N29" s="7">
        <f>COUNTIFS(Beans!B:B, A29, Beans!A:A, "&gt;=2022-8-1", Beans!A:A,"&lt;2022-9-1" )</f>
        <v>0</v>
      </c>
      <c r="O29" s="11">
        <f>COUNTIFS(Beans!B:B, A29, Beans!A:A, "&gt;=2022-9-1", Beans!A:A,"&lt;2022-10-1" )</f>
        <v>0</v>
      </c>
      <c r="P29" s="11">
        <f>COUNTIFS(Beans!B:B, A29, Beans!A:A, "&gt;=2022-10-1", Beans!A:A,"&lt;2022-11-1" )</f>
        <v>0</v>
      </c>
      <c r="Q29" s="7">
        <f>COUNTIFS(Beans!B:B, A29, Beans!A:A, "&gt;=2022-11-1", Beans!A:A,"&lt;2022-12-1" )</f>
        <v>0</v>
      </c>
      <c r="R29" s="15">
        <f>COUNTIFS(Beans!B:B, A29, Beans!A:A, "&gt;=2022-12-1", Beans!A:A,"&lt;2023-1-1" )</f>
        <v>1</v>
      </c>
    </row>
    <row r="30" ht="43.5" customHeight="1">
      <c r="A30" s="9" t="s">
        <v>145</v>
      </c>
      <c r="B30" s="6" t="s">
        <v>27</v>
      </c>
      <c r="C30" s="51" t="s">
        <v>138</v>
      </c>
      <c r="D30" s="7"/>
      <c r="E30" s="11">
        <f t="shared" si="1"/>
        <v>2</v>
      </c>
      <c r="F30" s="105">
        <f>E30/(E26+E27+E27+E28+E29+E30)</f>
        <v>0.3333333333</v>
      </c>
      <c r="G30" s="11">
        <f>COUNTIFS(Beans!B:B, A30, Beans!A:A, "&gt;=2022-1-1", Beans!A:A,"&lt;2022-2-1" )</f>
        <v>0</v>
      </c>
      <c r="H30" s="7">
        <f>COUNTIFS(Beans!B:B, A30, Beans!A:A, "&gt;=2022-2-1", Beans!A:A,"&lt;2022-3-1" )</f>
        <v>0</v>
      </c>
      <c r="I30" s="11">
        <f>COUNTIFS(Beans!B:B, A30, Beans!A:A, "&gt;=2022-3-1", Beans!A:A,"&lt;2022-4-1" )</f>
        <v>0</v>
      </c>
      <c r="J30" s="11">
        <f>COUNTIFS(Beans!B:B, A30, Beans!A:A, "&gt;=2022-4-1", Beans!A:A,"&lt;2022-5-1" )</f>
        <v>0</v>
      </c>
      <c r="K30" s="7">
        <f>COUNTIFS(Beans!B:B, A30, Beans!A:A, "&gt;=2022-5-1", Beans!A:A,"&lt;2022-6-1" )</f>
        <v>0</v>
      </c>
      <c r="L30" s="11">
        <f>COUNTIFS(Beans!B:B, A30, Beans!A:A, "&gt;=2022-6-1", Beans!A:A,"&lt;2022-7-1" )</f>
        <v>0</v>
      </c>
      <c r="M30" s="11">
        <f>COUNTIFS(Beans!B:B, A30, Beans!A:A, "&gt;=2022-7-1", Beans!A:A,"&lt;2022-8-1" )</f>
        <v>0</v>
      </c>
      <c r="N30" s="7">
        <f>COUNTIFS(Beans!B:B, A30, Beans!A:A, "&gt;=2022-8-1", Beans!A:A,"&lt;2022-9-1" )</f>
        <v>0</v>
      </c>
      <c r="O30" s="11">
        <f>COUNTIFS(Beans!B:B, A30, Beans!A:A, "&gt;=2022-9-1", Beans!A:A,"&lt;2022-10-1" )</f>
        <v>0</v>
      </c>
      <c r="P30" s="11">
        <f>COUNTIFS(Beans!B:B, A30, Beans!A:A, "&gt;=2022-10-1", Beans!A:A,"&lt;2022-11-1" )</f>
        <v>0</v>
      </c>
      <c r="Q30" s="7">
        <f>COUNTIFS(Beans!B:B, A30, Beans!A:A, "&gt;=2022-11-1", Beans!A:A,"&lt;2022-12-1" )</f>
        <v>0</v>
      </c>
      <c r="R30" s="15">
        <f>COUNTIFS(Beans!B:B, A30, Beans!A:A, "&gt;=2022-12-1", Beans!A:A,"&lt;2023-1-1" )</f>
        <v>2</v>
      </c>
    </row>
    <row r="31">
      <c r="A31" s="6" t="s">
        <v>99</v>
      </c>
      <c r="B31" s="6" t="s">
        <v>16</v>
      </c>
      <c r="C31" s="5" t="s">
        <v>146</v>
      </c>
      <c r="D31" s="11"/>
      <c r="E31" s="11">
        <f t="shared" si="1"/>
        <v>1</v>
      </c>
      <c r="F31" s="12">
        <f>E31/(E31+E32)</f>
        <v>0.5</v>
      </c>
      <c r="G31" s="11">
        <f>COUNTIFS(Beans!B:B, A31, Beans!A:A, "&gt;=2022-1-1", Beans!A:A,"&lt;2022-2-1" )</f>
        <v>0</v>
      </c>
      <c r="H31" s="7">
        <f>COUNTIFS(Beans!B:B, A31, Beans!A:A, "&gt;=2022-2-1", Beans!A:A,"&lt;2022-3-1" )</f>
        <v>0</v>
      </c>
      <c r="I31" s="11">
        <f>COUNTIFS(Beans!B:B, A31, Beans!A:A, "&gt;=2022-3-1", Beans!A:A,"&lt;2022-4-1" )</f>
        <v>0</v>
      </c>
      <c r="J31" s="11">
        <f>COUNTIFS(Beans!B:B, A31, Beans!A:A, "&gt;=2022-4-1", Beans!A:A,"&lt;2022-5-1" )</f>
        <v>0</v>
      </c>
      <c r="K31" s="7">
        <f>COUNTIFS(Beans!B:B, A31, Beans!A:A, "&gt;=2022-5-1", Beans!A:A,"&lt;2022-6-1" )</f>
        <v>0</v>
      </c>
      <c r="L31" s="11">
        <f>COUNTIFS(Beans!B:B, A31, Beans!A:A, "&gt;=2022-6-1", Beans!A:A,"&lt;2022-7-1" )</f>
        <v>0</v>
      </c>
      <c r="M31" s="11">
        <f>COUNTIFS(Beans!B:B, A31, Beans!A:A, "&gt;=2022-7-1", Beans!A:A,"&lt;2022-8-1" )</f>
        <v>0</v>
      </c>
      <c r="N31" s="7">
        <f>COUNTIFS(Beans!B:B, A31, Beans!A:A, "&gt;=2022-8-1", Beans!A:A,"&lt;2022-9-1" )</f>
        <v>0</v>
      </c>
      <c r="O31" s="11">
        <f>COUNTIFS(Beans!B:B, A31, Beans!A:A, "&gt;=2022-9-1", Beans!A:A,"&lt;2022-10-1" )</f>
        <v>0</v>
      </c>
      <c r="P31" s="11">
        <f>COUNTIFS(Beans!B:B, A31, Beans!A:A, "&gt;=2022-10-1", Beans!A:A,"&lt;2022-11-1" )</f>
        <v>0</v>
      </c>
      <c r="Q31" s="7">
        <f>COUNTIFS(Beans!B:B, A31, Beans!A:A, "&gt;=2022-11-1", Beans!A:A,"&lt;2022-12-1" )</f>
        <v>0</v>
      </c>
      <c r="R31" s="15">
        <f>COUNTIFS(Beans!B:B, A31, Beans!A:A, "&gt;=2022-12-1", Beans!A:A,"&lt;2023-1-1" )</f>
        <v>1</v>
      </c>
    </row>
    <row r="32">
      <c r="A32" s="6" t="s">
        <v>111</v>
      </c>
      <c r="B32" s="6" t="s">
        <v>21</v>
      </c>
      <c r="C32" s="5" t="s">
        <v>146</v>
      </c>
      <c r="D32" s="11"/>
      <c r="E32" s="11">
        <f t="shared" si="1"/>
        <v>1</v>
      </c>
      <c r="F32" s="12">
        <f>E32/(E31+E32)</f>
        <v>0.5</v>
      </c>
      <c r="G32" s="11">
        <f>COUNTIFS(Beans!B:B, A32, Beans!A:A, "&gt;=2022-1-1", Beans!A:A,"&lt;2022-2-1" )</f>
        <v>0</v>
      </c>
      <c r="H32" s="7">
        <f>COUNTIFS(Beans!B:B, A32, Beans!A:A, "&gt;=2022-2-1", Beans!A:A,"&lt;2022-3-1" )</f>
        <v>0</v>
      </c>
      <c r="I32" s="11">
        <f>COUNTIFS(Beans!B:B, A32, Beans!A:A, "&gt;=2022-3-1", Beans!A:A,"&lt;2022-4-1" )</f>
        <v>0</v>
      </c>
      <c r="J32" s="11">
        <f>COUNTIFS(Beans!B:B, A32, Beans!A:A, "&gt;=2022-4-1", Beans!A:A,"&lt;2022-5-1" )</f>
        <v>0</v>
      </c>
      <c r="K32" s="7">
        <f>COUNTIFS(Beans!B:B, A32, Beans!A:A, "&gt;=2022-5-1", Beans!A:A,"&lt;2022-6-1" )</f>
        <v>0</v>
      </c>
      <c r="L32" s="11">
        <f>COUNTIFS(Beans!B:B, A32, Beans!A:A, "&gt;=2022-6-1", Beans!A:A,"&lt;2022-7-1" )</f>
        <v>0</v>
      </c>
      <c r="M32" s="11">
        <f>COUNTIFS(Beans!B:B, A32, Beans!A:A, "&gt;=2022-7-1", Beans!A:A,"&lt;2022-8-1" )</f>
        <v>0</v>
      </c>
      <c r="N32" s="7">
        <f>COUNTIFS(Beans!B:B, A32, Beans!A:A, "&gt;=2022-8-1", Beans!A:A,"&lt;2022-9-1" )</f>
        <v>0</v>
      </c>
      <c r="O32" s="11">
        <f>COUNTIFS(Beans!B:B, A32, Beans!A:A, "&gt;=2022-9-1", Beans!A:A,"&lt;2022-10-1" )</f>
        <v>0</v>
      </c>
      <c r="P32" s="11">
        <f>COUNTIFS(Beans!B:B, A32, Beans!A:A, "&gt;=2022-10-1", Beans!A:A,"&lt;2022-11-1" )</f>
        <v>0</v>
      </c>
      <c r="Q32" s="7">
        <f>COUNTIFS(Beans!B:B, A32, Beans!A:A, "&gt;=2022-11-1", Beans!A:A,"&lt;2022-12-1" )</f>
        <v>0</v>
      </c>
      <c r="R32" s="15">
        <f>COUNTIFS(Beans!B:B, A32, Beans!A:A, "&gt;=2022-12-1", Beans!A:A,"&lt;2023-1-1" )</f>
        <v>1</v>
      </c>
    </row>
    <row r="33">
      <c r="A33" s="7"/>
      <c r="B33" s="7"/>
      <c r="D33" s="7"/>
      <c r="E33" s="7">
        <f>SUM(E2:E32)</f>
        <v>69</v>
      </c>
      <c r="F33" s="7"/>
      <c r="G33" s="7">
        <f t="shared" ref="G33:R33" si="2">SUM(G2:G30)</f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  <c r="L33" s="7">
        <f t="shared" si="2"/>
        <v>0</v>
      </c>
      <c r="M33" s="7">
        <f t="shared" si="2"/>
        <v>0</v>
      </c>
      <c r="N33" s="7">
        <f t="shared" si="2"/>
        <v>0</v>
      </c>
      <c r="O33" s="7">
        <f t="shared" si="2"/>
        <v>0</v>
      </c>
      <c r="P33" s="7">
        <f t="shared" si="2"/>
        <v>10</v>
      </c>
      <c r="Q33" s="7">
        <f t="shared" si="2"/>
        <v>23</v>
      </c>
      <c r="R33" s="7">
        <f t="shared" si="2"/>
        <v>34</v>
      </c>
    </row>
    <row r="35">
      <c r="A35" s="5" t="s">
        <v>16</v>
      </c>
      <c r="B35" s="35">
        <f t="shared" ref="B35:B36" si="3">E2+E4+E6+E8+E10+E12+E14+E16+E18+E20+E22+E24+E31</f>
        <v>20</v>
      </c>
    </row>
    <row r="36">
      <c r="A36" s="5" t="s">
        <v>21</v>
      </c>
      <c r="B36" s="35">
        <f t="shared" si="3"/>
        <v>44</v>
      </c>
    </row>
    <row r="37">
      <c r="A37" s="5" t="s">
        <v>27</v>
      </c>
      <c r="B37" s="35">
        <f>SUM(E26:E30)</f>
        <v>5</v>
      </c>
    </row>
    <row r="38">
      <c r="B38" s="35">
        <f>SUM(B35:B37)</f>
        <v>69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6" t="s">
        <v>372</v>
      </c>
      <c r="B1" s="35"/>
      <c r="C1" s="35"/>
      <c r="F1" s="5" t="s">
        <v>373</v>
      </c>
      <c r="G1" s="5" t="s">
        <v>374</v>
      </c>
      <c r="H1" s="5" t="s">
        <v>375</v>
      </c>
    </row>
    <row r="2">
      <c r="A2" s="107"/>
      <c r="B2" s="35"/>
      <c r="C2" s="35"/>
      <c r="F2" s="24">
        <f>COUNTIFS(Beans!C:C, "Good", Beans!A:A, "&gt;=2022-1-1", Beans!A:A,"&lt;2023-1-1" )</f>
        <v>20</v>
      </c>
      <c r="G2" s="24">
        <f>COUNTIFS(Beans!C:C, "Bad", Beans!A:A, "&gt;=2022-1-1", Beans!A:A,"&lt;2023-1-1" )</f>
        <v>44</v>
      </c>
      <c r="H2" s="35">
        <f>COUNTIFS(Beans!C:C, "Spicy", Beans!A:A, "&gt;=2022-1-1", Beans!A:A,"&lt;2023-1-1" )</f>
        <v>5</v>
      </c>
    </row>
    <row r="3">
      <c r="A3" s="106" t="s">
        <v>376</v>
      </c>
      <c r="B3" s="35"/>
      <c r="C3" s="35"/>
    </row>
    <row r="4">
      <c r="A4" s="107"/>
      <c r="B4" s="35"/>
      <c r="C4" s="35"/>
    </row>
    <row r="5">
      <c r="A5" s="106" t="s">
        <v>377</v>
      </c>
      <c r="B5" s="35"/>
      <c r="C5" s="35"/>
    </row>
    <row r="6">
      <c r="A6" s="107"/>
      <c r="B6" s="35"/>
      <c r="C6" s="35"/>
    </row>
    <row r="7">
      <c r="A7" s="106" t="s">
        <v>378</v>
      </c>
      <c r="B7" s="35"/>
      <c r="C7" s="35"/>
    </row>
    <row r="8">
      <c r="A8" s="108" t="s">
        <v>379</v>
      </c>
      <c r="B8" s="35"/>
      <c r="C8" s="35"/>
    </row>
    <row r="9">
      <c r="A9" s="108" t="s">
        <v>16</v>
      </c>
      <c r="B9" s="5" t="s">
        <v>21</v>
      </c>
      <c r="C9" s="5" t="s">
        <v>380</v>
      </c>
    </row>
    <row r="10">
      <c r="A10" s="108">
        <v>20.0</v>
      </c>
      <c r="B10" s="5">
        <v>44.0</v>
      </c>
      <c r="C10" s="5">
        <v>1.0</v>
      </c>
    </row>
    <row r="11">
      <c r="A11" s="109"/>
      <c r="B11" s="35"/>
      <c r="C11" s="35"/>
    </row>
    <row r="12">
      <c r="A12" s="108" t="s">
        <v>381</v>
      </c>
      <c r="B12" s="35"/>
      <c r="C12" s="35"/>
    </row>
    <row r="13">
      <c r="A13" s="108" t="s">
        <v>16</v>
      </c>
      <c r="B13" s="5" t="s">
        <v>21</v>
      </c>
      <c r="C13" s="5" t="s">
        <v>380</v>
      </c>
    </row>
    <row r="14">
      <c r="A14" s="108">
        <v>20.0</v>
      </c>
      <c r="B14" s="5">
        <v>43.0</v>
      </c>
      <c r="C14" s="5">
        <v>1.0</v>
      </c>
    </row>
    <row r="15">
      <c r="A15" s="110"/>
      <c r="B15" s="35"/>
      <c r="C15" s="35"/>
    </row>
    <row r="16">
      <c r="A16" s="109" t="s">
        <v>382</v>
      </c>
      <c r="B16" s="35"/>
      <c r="C16" s="35"/>
    </row>
    <row r="17">
      <c r="A17" s="108" t="s">
        <v>16</v>
      </c>
      <c r="B17" s="5" t="s">
        <v>21</v>
      </c>
      <c r="C17" s="5" t="s">
        <v>380</v>
      </c>
    </row>
    <row r="18">
      <c r="A18" s="108">
        <v>0.0</v>
      </c>
      <c r="B18" s="5">
        <v>1.0</v>
      </c>
      <c r="C18" s="35"/>
    </row>
    <row r="19">
      <c r="A19" s="110"/>
      <c r="B19" s="35"/>
      <c r="C19" s="35"/>
    </row>
    <row r="20">
      <c r="A20" s="109" t="s">
        <v>383</v>
      </c>
      <c r="B20" s="35"/>
      <c r="C20" s="35"/>
    </row>
    <row r="21">
      <c r="A21" s="109" t="s">
        <v>384</v>
      </c>
      <c r="B21" s="35"/>
      <c r="C21" s="35"/>
    </row>
    <row r="22">
      <c r="A22" s="107"/>
      <c r="B22" s="35"/>
      <c r="C22" s="35"/>
    </row>
    <row r="23">
      <c r="A23" s="106" t="s">
        <v>386</v>
      </c>
      <c r="B23" s="35"/>
      <c r="C23" s="35"/>
    </row>
    <row r="24">
      <c r="A24" s="106"/>
      <c r="B24" s="35"/>
      <c r="C24" s="35"/>
    </row>
    <row r="25">
      <c r="A25" s="111" t="s">
        <v>387</v>
      </c>
      <c r="B25" s="5" t="s">
        <v>3</v>
      </c>
      <c r="C25" s="5" t="s">
        <v>388</v>
      </c>
    </row>
    <row r="26">
      <c r="A26" s="111">
        <v>1.0</v>
      </c>
      <c r="B26" s="5" t="s">
        <v>137</v>
      </c>
      <c r="C26" s="35"/>
    </row>
    <row r="27">
      <c r="A27" s="111">
        <v>2.0</v>
      </c>
      <c r="B27" s="5" t="s">
        <v>139</v>
      </c>
      <c r="C27" s="5">
        <v>1.0</v>
      </c>
    </row>
    <row r="28">
      <c r="A28" s="111">
        <v>3.0</v>
      </c>
      <c r="B28" s="5" t="s">
        <v>140</v>
      </c>
      <c r="C28" s="5">
        <v>1.0</v>
      </c>
    </row>
    <row r="29">
      <c r="A29" s="111">
        <v>4.0</v>
      </c>
      <c r="B29" s="5" t="s">
        <v>141</v>
      </c>
      <c r="C29" s="5">
        <v>1.0</v>
      </c>
    </row>
    <row r="30">
      <c r="A30" s="111">
        <v>5.0</v>
      </c>
      <c r="B30" s="5" t="s">
        <v>145</v>
      </c>
      <c r="C30" s="5">
        <v>2.0</v>
      </c>
    </row>
    <row r="31">
      <c r="A31" s="112"/>
    </row>
    <row r="32">
      <c r="A32" s="5" t="s">
        <v>389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25"/>
    <col customWidth="1" min="2" max="2" width="7.88"/>
    <col customWidth="1" min="3" max="3" width="10.88"/>
    <col customWidth="1" min="4" max="4" width="7.0"/>
  </cols>
  <sheetData>
    <row r="1">
      <c r="A1" s="115"/>
      <c r="B1" s="115" t="s">
        <v>406</v>
      </c>
      <c r="C1" s="115"/>
      <c r="D1" s="115" t="s">
        <v>407</v>
      </c>
    </row>
    <row r="2">
      <c r="A2" s="116" t="s">
        <v>34</v>
      </c>
      <c r="B2" s="117">
        <f>'Overall Bean Summary'!E2</f>
        <v>18</v>
      </c>
      <c r="C2" s="116" t="s">
        <v>40</v>
      </c>
      <c r="D2" s="117">
        <f>'Overall Bean Summary'!E3</f>
        <v>110</v>
      </c>
    </row>
    <row r="3">
      <c r="A3" s="116" t="s">
        <v>45</v>
      </c>
      <c r="B3" s="117">
        <f>'Overall Bean Summary'!E4</f>
        <v>41</v>
      </c>
      <c r="C3" s="116" t="s">
        <v>48</v>
      </c>
      <c r="D3" s="117">
        <f>'Overall Bean Summary'!E5</f>
        <v>88</v>
      </c>
    </row>
    <row r="4">
      <c r="A4" s="116" t="s">
        <v>59</v>
      </c>
      <c r="B4" s="117">
        <f>'Overall Bean Summary'!E6</f>
        <v>8</v>
      </c>
      <c r="C4" s="118" t="s">
        <v>41</v>
      </c>
      <c r="D4" s="117">
        <f>'Overall Bean Summary'!E7</f>
        <v>27</v>
      </c>
    </row>
    <row r="5">
      <c r="A5" s="116" t="s">
        <v>53</v>
      </c>
      <c r="B5" s="117">
        <f>'Overall Bean Summary'!E8</f>
        <v>17</v>
      </c>
      <c r="C5" s="118" t="s">
        <v>14</v>
      </c>
      <c r="D5" s="117">
        <f>'Overall Bean Summary'!E9</f>
        <v>93</v>
      </c>
    </row>
    <row r="6">
      <c r="A6" s="116" t="s">
        <v>56</v>
      </c>
      <c r="B6" s="117">
        <f>'Overall Bean Summary'!E10</f>
        <v>32</v>
      </c>
      <c r="C6" s="118" t="s">
        <v>80</v>
      </c>
      <c r="D6" s="117">
        <f>'Overall Bean Summary'!E11</f>
        <v>107</v>
      </c>
    </row>
    <row r="7">
      <c r="A7" s="116" t="s">
        <v>44</v>
      </c>
      <c r="B7" s="117">
        <f>'Overall Bean Summary'!E12</f>
        <v>34</v>
      </c>
      <c r="C7" s="118" t="s">
        <v>58</v>
      </c>
      <c r="D7" s="117">
        <f>'Overall Bean Summary'!E13</f>
        <v>98</v>
      </c>
    </row>
    <row r="8">
      <c r="A8" s="116" t="s">
        <v>95</v>
      </c>
      <c r="B8" s="117">
        <f>'Overall Bean Summary'!E14</f>
        <v>50</v>
      </c>
      <c r="C8" s="118" t="s">
        <v>69</v>
      </c>
      <c r="D8" s="117">
        <f>'Overall Bean Summary'!E15</f>
        <v>84</v>
      </c>
    </row>
    <row r="9">
      <c r="A9" s="116" t="s">
        <v>29</v>
      </c>
      <c r="B9" s="117">
        <f>'Overall Bean Summary'!E16</f>
        <v>31</v>
      </c>
      <c r="C9" s="118" t="s">
        <v>63</v>
      </c>
      <c r="D9" s="117">
        <f>'Overall Bean Summary'!E17</f>
        <v>76</v>
      </c>
    </row>
    <row r="10">
      <c r="A10" s="116" t="s">
        <v>85</v>
      </c>
      <c r="B10" s="117">
        <f>'Overall Bean Summary'!E18</f>
        <v>31</v>
      </c>
      <c r="C10" s="118" t="s">
        <v>51</v>
      </c>
      <c r="D10" s="117">
        <f>'Overall Bean Summary'!E19</f>
        <v>75</v>
      </c>
    </row>
    <row r="11">
      <c r="A11" s="116" t="s">
        <v>67</v>
      </c>
      <c r="B11" s="117">
        <f>'Overall Bean Summary'!E20</f>
        <v>36</v>
      </c>
      <c r="C11" s="118" t="s">
        <v>72</v>
      </c>
      <c r="D11" s="117">
        <f>'Overall Bean Summary'!E21</f>
        <v>67</v>
      </c>
    </row>
    <row r="12">
      <c r="A12" s="116" t="s">
        <v>118</v>
      </c>
      <c r="B12" s="117">
        <f>'Overall Bean Summary'!E22</f>
        <v>1</v>
      </c>
      <c r="C12" s="118" t="s">
        <v>122</v>
      </c>
      <c r="D12" s="117">
        <f>'Overall Bean Summary'!E23</f>
        <v>16</v>
      </c>
    </row>
    <row r="13">
      <c r="A13" s="116" t="s">
        <v>124</v>
      </c>
      <c r="B13" s="117">
        <f>'Overall Bean Summary'!E24</f>
        <v>6</v>
      </c>
      <c r="C13" s="118" t="s">
        <v>127</v>
      </c>
      <c r="D13" s="117">
        <f>'Overall Bean Summary'!E25</f>
        <v>3</v>
      </c>
    </row>
    <row r="14">
      <c r="A14" s="116" t="s">
        <v>128</v>
      </c>
      <c r="B14" s="117">
        <f>'Overall Bean Summary'!E26</f>
        <v>2</v>
      </c>
      <c r="C14" s="118" t="s">
        <v>132</v>
      </c>
      <c r="D14" s="117">
        <f>'Overall Bean Summary'!E27</f>
        <v>16</v>
      </c>
    </row>
    <row r="15">
      <c r="A15" s="116" t="s">
        <v>134</v>
      </c>
      <c r="B15" s="117">
        <f>'Overall Bean Summary'!E28</f>
        <v>4</v>
      </c>
      <c r="C15" s="118" t="s">
        <v>136</v>
      </c>
      <c r="D15" s="117">
        <f>'Overall Bean Summary'!E29</f>
        <v>6</v>
      </c>
    </row>
    <row r="16">
      <c r="A16" s="115" t="s">
        <v>25</v>
      </c>
      <c r="B16" s="118">
        <f>SUM(B2:B15)</f>
        <v>311</v>
      </c>
      <c r="C16" s="115" t="s">
        <v>25</v>
      </c>
      <c r="D16" s="117">
        <f>SUM(D2:D15)</f>
        <v>866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38"/>
  </cols>
  <sheetData>
    <row r="1">
      <c r="A1" s="114" t="s">
        <v>404</v>
      </c>
      <c r="B1" s="5" t="s">
        <v>405</v>
      </c>
    </row>
    <row r="2">
      <c r="A2" s="114">
        <v>4.0</v>
      </c>
    </row>
  </sheetData>
  <drawing r:id="rId1"/>
</worksheet>
</file>